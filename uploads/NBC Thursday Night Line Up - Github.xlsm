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9" codeName="{857A39E2-67AF-9BA6-E15C-A4B3A0C75593}"/>
  <workbookPr codeName="ThisWorkbook" hidePivotFieldList="1" defaultThemeVersion="166925"/>
  <mc:AlternateContent xmlns:mc="http://schemas.openxmlformats.org/markup-compatibility/2006">
    <mc:Choice Requires="x15">
      <x15ac:absPath xmlns:x15ac="http://schemas.microsoft.com/office/spreadsheetml/2010/11/ac" url="/Users/lenaburdick/Desktop/Portfolio Projects/GitHub/"/>
    </mc:Choice>
  </mc:AlternateContent>
  <xr:revisionPtr revIDLastSave="0" documentId="13_ncr:1_{B30E62B9-7165-7A44-B31E-7264D40EA8E4}" xr6:coauthVersionLast="47" xr6:coauthVersionMax="47" xr10:uidLastSave="{00000000-0000-0000-0000-000000000000}"/>
  <bookViews>
    <workbookView xWindow="300" yWindow="760" windowWidth="29340" windowHeight="17660" xr2:uid="{08D3E734-4B42-1C43-B47A-C99D64AECD25}"/>
  </bookViews>
  <sheets>
    <sheet name="Workbook Guide" sheetId="14" r:id="rId1"/>
    <sheet name="Episode List" sheetId="1" r:id="rId2"/>
    <sheet name="Color Values" sheetId="9" r:id="rId3"/>
    <sheet name="Graphs" sheetId="11" r:id="rId4"/>
    <sheet name="30 Rock Season Info" sheetId="4" r:id="rId5"/>
    <sheet name="Parks and Rec Season Info" sheetId="5" r:id="rId6"/>
    <sheet name="The Office Season Info" sheetId="6" r:id="rId7"/>
    <sheet name="Community Season Info" sheetId="7" r:id="rId8"/>
  </sheets>
  <definedNames>
    <definedName name="_xlchart.v1.0" hidden="1">Graphs!$AC$14</definedName>
    <definedName name="_xlchart.v1.1" hidden="1">Graphs!$AD$16:$AD$26</definedName>
    <definedName name="_xlchart.v1.10" hidden="1">Graphs!$AC$14</definedName>
    <definedName name="_xlchart.v1.11" hidden="1">Graphs!$AE$16:$AE$26</definedName>
    <definedName name="_xlchart.v1.12" hidden="1">Graphs!$AF$14</definedName>
    <definedName name="_xlchart.v1.13" hidden="1">Graphs!$AH$16:$AH$26</definedName>
    <definedName name="_xlchart.v1.14" hidden="1">Graphs!$V$15:$V$26</definedName>
    <definedName name="_xlchart.v1.15" hidden="1">Graphs!$W$14</definedName>
    <definedName name="_xlchart.v1.16" hidden="1">Graphs!$Y$16:$Y$26</definedName>
    <definedName name="_xlchart.v1.17" hidden="1">Graphs!$Z$14</definedName>
    <definedName name="_xlchart.v1.18" hidden="1">Graphs!$AC$14</definedName>
    <definedName name="_xlchart.v1.19" hidden="1">Graphs!$AD$16:$AD$26</definedName>
    <definedName name="_xlchart.v1.2" hidden="1">Graphs!$AF$14</definedName>
    <definedName name="_xlchart.v1.20" hidden="1">Graphs!$AF$14</definedName>
    <definedName name="_xlchart.v1.21" hidden="1">Graphs!$AG$16:$AG$26</definedName>
    <definedName name="_xlchart.v1.22" hidden="1">Graphs!$V$15:$V$26</definedName>
    <definedName name="_xlchart.v1.23" hidden="1">Graphs!$W$14</definedName>
    <definedName name="_xlchart.v1.24" hidden="1">Graphs!$X$16:$X$26</definedName>
    <definedName name="_xlchart.v1.25" hidden="1">Graphs!$Z$14</definedName>
    <definedName name="_xlchart.v1.26" hidden="1">Graphs!$Z$16:$Z$26</definedName>
    <definedName name="_xlchart.v1.27" hidden="1">Graphs!$AC$14</definedName>
    <definedName name="_xlchart.v1.28" hidden="1">Graphs!$AD$16:$AD$26</definedName>
    <definedName name="_xlchart.v1.29" hidden="1">Graphs!$AF$14</definedName>
    <definedName name="_xlchart.v1.3" hidden="1">Graphs!$AG$16:$AG$26</definedName>
    <definedName name="_xlchart.v1.30" hidden="1">Graphs!$AG$16:$AG$26</definedName>
    <definedName name="_xlchart.v1.31" hidden="1">Graphs!$V$15:$V$26</definedName>
    <definedName name="_xlchart.v1.32" hidden="1">Graphs!$W$14</definedName>
    <definedName name="_xlchart.v1.33" hidden="1">Graphs!$X$16:$X$26</definedName>
    <definedName name="_xlchart.v1.34" hidden="1">Graphs!$Z$14</definedName>
    <definedName name="_xlchart.v1.35" hidden="1">Graphs!$Z$16:$Z$26</definedName>
    <definedName name="_xlchart.v1.36" hidden="1">Graphs!$AC$14</definedName>
    <definedName name="_xlchart.v1.37" hidden="1">Graphs!$AD$16:$AD$26</definedName>
    <definedName name="_xlchart.v1.38" hidden="1">Graphs!$AF$14</definedName>
    <definedName name="_xlchart.v1.39" hidden="1">Graphs!$AG$16:$AG$26</definedName>
    <definedName name="_xlchart.v1.4" hidden="1">Graphs!$V$15:$V$26</definedName>
    <definedName name="_xlchart.v1.40" hidden="1">Graphs!$V$15:$V$26</definedName>
    <definedName name="_xlchart.v1.41" hidden="1">Graphs!$W$14</definedName>
    <definedName name="_xlchart.v1.42" hidden="1">Graphs!$X$16:$X$26</definedName>
    <definedName name="_xlchart.v1.43" hidden="1">Graphs!$Z$14</definedName>
    <definedName name="_xlchart.v1.44" hidden="1">Graphs!$Z$16:$Z$26</definedName>
    <definedName name="_xlchart.v1.45" hidden="1">Graphs!$AC$14</definedName>
    <definedName name="_xlchart.v1.46" hidden="1">Graphs!$AD$16:$AD$26</definedName>
    <definedName name="_xlchart.v1.47" hidden="1">Graphs!$AF$14</definedName>
    <definedName name="_xlchart.v1.48" hidden="1">Graphs!$AG$16:$AG$26</definedName>
    <definedName name="_xlchart.v1.49" hidden="1">Graphs!$V$15:$V$26</definedName>
    <definedName name="_xlchart.v1.5" hidden="1">Graphs!$W$14</definedName>
    <definedName name="_xlchart.v1.50" hidden="1">Graphs!$W$14</definedName>
    <definedName name="_xlchart.v1.51" hidden="1">Graphs!$X$16:$X$26</definedName>
    <definedName name="_xlchart.v1.52" hidden="1">Graphs!$Z$14</definedName>
    <definedName name="_xlchart.v1.53" hidden="1">Graphs!$Z$16:$Z$26</definedName>
    <definedName name="_xlchart.v1.54" hidden="1">Graphs!$AC$14</definedName>
    <definedName name="_xlchart.v1.55" hidden="1">Graphs!$AD$16:$AD$26</definedName>
    <definedName name="_xlchart.v1.56" hidden="1">Graphs!$AF$14</definedName>
    <definedName name="_xlchart.v1.57" hidden="1">Graphs!$AG$16:$AG$26</definedName>
    <definedName name="_xlchart.v1.58" hidden="1">Graphs!$V$15:$V$26</definedName>
    <definedName name="_xlchart.v1.59" hidden="1">Graphs!$W$14</definedName>
    <definedName name="_xlchart.v1.6" hidden="1">Graphs!$X$16:$X$26</definedName>
    <definedName name="_xlchart.v1.60" hidden="1">Graphs!$X$16:$X$26</definedName>
    <definedName name="_xlchart.v1.61" hidden="1">Graphs!$Z$14</definedName>
    <definedName name="_xlchart.v1.62" hidden="1">Graphs!$Z$16:$Z$26</definedName>
    <definedName name="_xlchart.v1.63" hidden="1">Graphs!$AC$14</definedName>
    <definedName name="_xlchart.v1.64" hidden="1">Graphs!$AD$16:$AD$26</definedName>
    <definedName name="_xlchart.v1.65" hidden="1">Graphs!$AF$14</definedName>
    <definedName name="_xlchart.v1.66" hidden="1">Graphs!$AG$16:$AG$26</definedName>
    <definedName name="_xlchart.v1.67" hidden="1">Graphs!$V$15:$V$26</definedName>
    <definedName name="_xlchart.v1.68" hidden="1">Graphs!$W$14</definedName>
    <definedName name="_xlchart.v1.69" hidden="1">Graphs!$X$16:$X$26</definedName>
    <definedName name="_xlchart.v1.7" hidden="1">Graphs!$Z$14</definedName>
    <definedName name="_xlchart.v1.70" hidden="1">Graphs!$Z$14</definedName>
    <definedName name="_xlchart.v1.71" hidden="1">Graphs!$Z$16:$Z$26</definedName>
    <definedName name="_xlchart.v1.72" hidden="1">Graphs!$AC$14</definedName>
    <definedName name="_xlchart.v1.73" hidden="1">Graphs!$AD$16:$AD$26</definedName>
    <definedName name="_xlchart.v1.74" hidden="1">Graphs!$AF$14</definedName>
    <definedName name="_xlchart.v1.75" hidden="1">Graphs!$AG$16:$AG$26</definedName>
    <definedName name="_xlchart.v1.76" hidden="1">Graphs!$V$15:$V$26</definedName>
    <definedName name="_xlchart.v1.77" hidden="1">Graphs!$W$14</definedName>
    <definedName name="_xlchart.v1.78" hidden="1">Graphs!$X$16:$X$26</definedName>
    <definedName name="_xlchart.v1.79" hidden="1">Graphs!$Z$14</definedName>
    <definedName name="_xlchart.v1.8" hidden="1">Graphs!$Z$16:$Z$26</definedName>
    <definedName name="_xlchart.v1.80" hidden="1">Graphs!$Z$16:$Z$26</definedName>
    <definedName name="_xlchart.v1.81" hidden="1">Graphs!$AC$14</definedName>
    <definedName name="_xlchart.v1.82" hidden="1">Graphs!$AD$16:$AD$26</definedName>
    <definedName name="_xlchart.v1.83" hidden="1">Graphs!$AF$14</definedName>
    <definedName name="_xlchart.v1.84" hidden="1">Graphs!$AG$16:$AG$26</definedName>
    <definedName name="_xlchart.v1.85" hidden="1">Graphs!$V$15:$V$26</definedName>
    <definedName name="_xlchart.v1.86" hidden="1">Graphs!$W$14</definedName>
    <definedName name="_xlchart.v1.87" hidden="1">Graphs!$X$16:$X$26</definedName>
    <definedName name="_xlchart.v1.88" hidden="1">Graphs!$Z$14</definedName>
    <definedName name="_xlchart.v1.89" hidden="1">Graphs!$Z$16:$Z$26</definedName>
    <definedName name="_xlchart.v1.9" hidden="1">Graphs!$AB$16:$AB$26</definedName>
    <definedName name="_xlchart.v1.90" hidden="1">Graphs!$AC$14</definedName>
    <definedName name="_xlchart.v1.91" hidden="1">Graphs!$AD$16:$AD$26</definedName>
    <definedName name="_xlchart.v1.92" hidden="1">Graphs!$AF$14</definedName>
    <definedName name="_xlchart.v1.93" hidden="1">Graphs!$AG$16:$AG$26</definedName>
    <definedName name="_xlchart.v1.94" hidden="1">Graphs!$V$15:$V$26</definedName>
    <definedName name="_xlchart.v1.95" hidden="1">Graphs!$W$14</definedName>
    <definedName name="_xlchart.v1.96" hidden="1">Graphs!$X$16:$X$26</definedName>
    <definedName name="_xlchart.v1.97" hidden="1">Graphs!$Z$14</definedName>
    <definedName name="_xlchart.v1.98" hidden="1">Graphs!$Z$16:$Z$26</definedName>
    <definedName name="_xleta.TEXT" hidden="1" xlm="1">#NAME?</definedName>
  </definedNames>
  <calcPr calcId="191029"/>
  <pivotCaches>
    <pivotCache cacheId="65" r:id="rId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3" i="1" l="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2" i="1"/>
  <c r="K10" i="9"/>
  <c r="K11" i="9"/>
  <c r="K12" i="9"/>
  <c r="K9" i="9"/>
  <c r="H10" i="9"/>
  <c r="H11" i="9"/>
  <c r="H12" i="9"/>
  <c r="H9" i="9"/>
  <c r="E10" i="9"/>
  <c r="E11" i="9"/>
  <c r="E12" i="9"/>
  <c r="E9" i="9"/>
  <c r="F12" i="9"/>
  <c r="I12" i="9"/>
  <c r="L12" i="9"/>
  <c r="L9" i="9"/>
  <c r="L10" i="9"/>
  <c r="L11" i="9"/>
  <c r="I10" i="9"/>
  <c r="I11" i="9"/>
  <c r="I9" i="9"/>
  <c r="F10" i="9"/>
  <c r="F11" i="9"/>
  <c r="F9" i="9"/>
  <c r="D35" i="1"/>
  <c r="D37" i="1"/>
  <c r="D38" i="1"/>
  <c r="D42" i="1"/>
  <c r="D44" i="1"/>
  <c r="D45" i="1"/>
  <c r="D48" i="1"/>
  <c r="D50" i="1"/>
  <c r="D52" i="1"/>
  <c r="D54" i="1"/>
  <c r="D56" i="1"/>
  <c r="D58" i="1"/>
  <c r="D60" i="1"/>
  <c r="D62" i="1"/>
  <c r="D63" i="1"/>
  <c r="D64" i="1"/>
  <c r="D66" i="1"/>
  <c r="D68" i="1"/>
  <c r="D69" i="1"/>
  <c r="D71" i="1"/>
  <c r="D78" i="1"/>
  <c r="D81" i="1"/>
  <c r="D84" i="1"/>
  <c r="D87" i="1"/>
  <c r="D90" i="1"/>
  <c r="D92" i="1"/>
  <c r="D94" i="1"/>
  <c r="D95" i="1"/>
  <c r="D96" i="1"/>
  <c r="D97" i="1"/>
  <c r="D98" i="1"/>
  <c r="D100" i="1"/>
  <c r="D103" i="1"/>
  <c r="D105" i="1"/>
  <c r="D107" i="1"/>
  <c r="D116" i="1"/>
  <c r="D118" i="1"/>
  <c r="D120" i="1"/>
  <c r="D122" i="1"/>
  <c r="D124" i="1"/>
  <c r="D126" i="1"/>
  <c r="D127" i="1"/>
  <c r="D129" i="1"/>
  <c r="D131" i="1"/>
  <c r="D135" i="1"/>
  <c r="D137" i="1"/>
  <c r="D138" i="1"/>
  <c r="D140" i="1"/>
  <c r="D142" i="1"/>
  <c r="D144" i="1"/>
  <c r="D146" i="1"/>
  <c r="D150" i="1"/>
  <c r="D153" i="1"/>
  <c r="D156" i="1"/>
  <c r="D159" i="1"/>
  <c r="D162" i="1"/>
  <c r="D165" i="1"/>
  <c r="D182" i="1"/>
  <c r="D186" i="1"/>
  <c r="D190" i="1"/>
  <c r="D194" i="1"/>
  <c r="D198" i="1"/>
  <c r="D202" i="1"/>
  <c r="D206" i="1"/>
  <c r="D210" i="1"/>
  <c r="D213" i="1"/>
  <c r="D214" i="1"/>
  <c r="D218" i="1"/>
  <c r="D222" i="1"/>
  <c r="D226" i="1"/>
  <c r="D234" i="1"/>
  <c r="D238" i="1"/>
  <c r="D242" i="1"/>
  <c r="D244" i="1"/>
  <c r="D245" i="1"/>
  <c r="D250" i="1"/>
  <c r="D254" i="1"/>
  <c r="D258" i="1"/>
  <c r="D262" i="1"/>
  <c r="D264" i="1"/>
  <c r="D267" i="1"/>
  <c r="D270" i="1"/>
  <c r="D273" i="1"/>
  <c r="D276" i="1"/>
  <c r="D281" i="1"/>
  <c r="D284" i="1"/>
  <c r="D287" i="1"/>
  <c r="D290" i="1"/>
  <c r="D293" i="1"/>
  <c r="D299" i="1"/>
  <c r="D303" i="1"/>
  <c r="D307" i="1"/>
  <c r="D311" i="1"/>
  <c r="D315" i="1"/>
  <c r="D319" i="1"/>
  <c r="D322" i="1"/>
  <c r="D326" i="1"/>
  <c r="D330" i="1"/>
  <c r="D334" i="1"/>
  <c r="D338" i="1"/>
  <c r="D339" i="1"/>
  <c r="D343" i="1"/>
  <c r="D382" i="1"/>
  <c r="D385" i="1"/>
  <c r="D388" i="1"/>
  <c r="D390" i="1"/>
  <c r="D391" i="1"/>
  <c r="D394" i="1"/>
  <c r="D396" i="1"/>
  <c r="D397" i="1"/>
  <c r="D400" i="1"/>
  <c r="D403" i="1"/>
  <c r="D406" i="1"/>
  <c r="D410" i="1"/>
  <c r="D413" i="1"/>
  <c r="D414" i="1"/>
  <c r="D416" i="1"/>
  <c r="D418" i="1"/>
  <c r="D420" i="1"/>
  <c r="D423" i="1"/>
  <c r="D427" i="1"/>
  <c r="D431" i="1"/>
  <c r="D435" i="1"/>
  <c r="D439" i="1"/>
  <c r="D446" i="1"/>
  <c r="D449" i="1"/>
  <c r="D450" i="1"/>
  <c r="D453" i="1"/>
  <c r="D456" i="1"/>
  <c r="D459" i="1"/>
  <c r="D462" i="1"/>
  <c r="D465" i="1"/>
  <c r="D468" i="1"/>
  <c r="D470" i="1"/>
  <c r="D473" i="1"/>
  <c r="D476" i="1"/>
  <c r="D477" i="1"/>
  <c r="D168" i="1"/>
  <c r="D171" i="1"/>
  <c r="D174" i="1"/>
  <c r="D175" i="1"/>
  <c r="D179" i="1"/>
  <c r="D183" i="1"/>
  <c r="D187" i="1"/>
  <c r="D191" i="1"/>
  <c r="D195" i="1"/>
  <c r="D199" i="1"/>
  <c r="D203" i="1"/>
  <c r="D207" i="1"/>
  <c r="D211" i="1"/>
  <c r="D215" i="1"/>
  <c r="D219" i="1"/>
  <c r="D223" i="1"/>
  <c r="D227" i="1"/>
  <c r="D231" i="1"/>
  <c r="D235" i="1"/>
  <c r="D239" i="1"/>
  <c r="D243" i="1"/>
  <c r="D247" i="1"/>
  <c r="D251" i="1"/>
  <c r="D255" i="1"/>
  <c r="D259" i="1"/>
  <c r="D263" i="1"/>
  <c r="D266" i="1"/>
  <c r="D269" i="1"/>
  <c r="D272" i="1"/>
  <c r="D275" i="1"/>
  <c r="D278" i="1"/>
  <c r="D280" i="1"/>
  <c r="D283" i="1"/>
  <c r="D286" i="1"/>
  <c r="D289" i="1"/>
  <c r="D292" i="1"/>
  <c r="D296" i="1"/>
  <c r="D300" i="1"/>
  <c r="D304" i="1"/>
  <c r="D308" i="1"/>
  <c r="D312" i="1"/>
  <c r="D316" i="1"/>
  <c r="D320" i="1"/>
  <c r="D323" i="1"/>
  <c r="D327" i="1"/>
  <c r="D331" i="1"/>
  <c r="D335" i="1"/>
  <c r="D340" i="1"/>
  <c r="D344" i="1"/>
  <c r="D352" i="1"/>
  <c r="D355" i="1"/>
  <c r="D358" i="1"/>
  <c r="D361" i="1"/>
  <c r="D364" i="1"/>
  <c r="D367" i="1"/>
  <c r="D370" i="1"/>
  <c r="D373" i="1"/>
  <c r="D376" i="1"/>
  <c r="D379" i="1"/>
  <c r="D409" i="1"/>
  <c r="D412" i="1"/>
  <c r="D415" i="1"/>
  <c r="D417" i="1"/>
  <c r="D419" i="1"/>
  <c r="D422" i="1"/>
  <c r="D426" i="1"/>
  <c r="D430" i="1"/>
  <c r="D434" i="1"/>
  <c r="D438" i="1"/>
  <c r="D440" i="1"/>
  <c r="D441" i="1"/>
  <c r="D480" i="1"/>
  <c r="D483" i="1"/>
  <c r="D486" i="1"/>
  <c r="D489" i="1"/>
  <c r="D490" i="1"/>
  <c r="D491" i="1"/>
  <c r="D494" i="1"/>
  <c r="D495" i="1"/>
  <c r="D498" i="1"/>
  <c r="D501" i="1"/>
  <c r="D504" i="1"/>
  <c r="D507" i="1"/>
  <c r="D510" i="1"/>
  <c r="D524" i="1"/>
  <c r="D525" i="1"/>
  <c r="D526" i="1"/>
  <c r="D528" i="1"/>
  <c r="D530" i="1"/>
  <c r="D532" i="1"/>
  <c r="D534" i="1"/>
  <c r="D536" i="1"/>
  <c r="D538" i="1"/>
  <c r="D540" i="1"/>
  <c r="D542" i="1"/>
  <c r="D544" i="1"/>
  <c r="D546" i="1"/>
  <c r="D563" i="1"/>
  <c r="D564" i="1"/>
  <c r="D565" i="1"/>
  <c r="D566" i="1"/>
  <c r="D567" i="1"/>
  <c r="D568" i="1"/>
  <c r="D569" i="1"/>
  <c r="D570" i="1"/>
  <c r="D571" i="1"/>
  <c r="D572" i="1"/>
  <c r="D573" i="1"/>
  <c r="D574" i="1"/>
  <c r="D575" i="1"/>
  <c r="D147" i="1"/>
  <c r="D151" i="1"/>
  <c r="D154" i="1"/>
  <c r="D157" i="1"/>
  <c r="D160" i="1"/>
  <c r="D163" i="1"/>
  <c r="D166" i="1"/>
  <c r="D169" i="1"/>
  <c r="D172" i="1"/>
  <c r="D176" i="1"/>
  <c r="D180" i="1"/>
  <c r="D184" i="1"/>
  <c r="D188" i="1"/>
  <c r="D192" i="1"/>
  <c r="D196" i="1"/>
  <c r="D200" i="1"/>
  <c r="D204" i="1"/>
  <c r="D208" i="1"/>
  <c r="D212" i="1"/>
  <c r="D216" i="1"/>
  <c r="D220" i="1"/>
  <c r="D224" i="1"/>
  <c r="D228" i="1"/>
  <c r="D232" i="1"/>
  <c r="D236" i="1"/>
  <c r="D240" i="1"/>
  <c r="D248" i="1"/>
  <c r="D252" i="1"/>
  <c r="D256" i="1"/>
  <c r="D260" i="1"/>
  <c r="D298" i="1"/>
  <c r="D302" i="1"/>
  <c r="D306" i="1"/>
  <c r="D310" i="1"/>
  <c r="D314" i="1"/>
  <c r="D318" i="1"/>
  <c r="D321" i="1"/>
  <c r="D325" i="1"/>
  <c r="D329" i="1"/>
  <c r="D333" i="1"/>
  <c r="D337" i="1"/>
  <c r="D342" i="1"/>
  <c r="D346" i="1"/>
  <c r="D347" i="1"/>
  <c r="D350" i="1"/>
  <c r="D351" i="1"/>
  <c r="D353" i="1"/>
  <c r="D356" i="1"/>
  <c r="D359" i="1"/>
  <c r="D362" i="1"/>
  <c r="D365" i="1"/>
  <c r="D368" i="1"/>
  <c r="D371" i="1"/>
  <c r="D374" i="1"/>
  <c r="D377" i="1"/>
  <c r="D380" i="1"/>
  <c r="D384" i="1"/>
  <c r="D387" i="1"/>
  <c r="D389" i="1"/>
  <c r="D393" i="1"/>
  <c r="D399" i="1"/>
  <c r="D402" i="1"/>
  <c r="D405" i="1"/>
  <c r="D408" i="1"/>
  <c r="D425" i="1"/>
  <c r="D429" i="1"/>
  <c r="D433" i="1"/>
  <c r="D437" i="1"/>
  <c r="D443" i="1"/>
  <c r="D445" i="1"/>
  <c r="D448" i="1"/>
  <c r="D452" i="1"/>
  <c r="D455" i="1"/>
  <c r="D458" i="1"/>
  <c r="D461" i="1"/>
  <c r="D464" i="1"/>
  <c r="D467" i="1"/>
  <c r="D471" i="1"/>
  <c r="D474" i="1"/>
  <c r="D481" i="1"/>
  <c r="D484" i="1"/>
  <c r="D487" i="1"/>
  <c r="D488" i="1"/>
  <c r="D492" i="1"/>
  <c r="D496" i="1"/>
  <c r="D499" i="1"/>
  <c r="D502" i="1"/>
  <c r="D503" i="1"/>
  <c r="D505" i="1"/>
  <c r="D508" i="1"/>
  <c r="D515" i="1"/>
  <c r="D516" i="1"/>
  <c r="D517" i="1"/>
  <c r="D518" i="1"/>
  <c r="D519" i="1"/>
  <c r="D520" i="1"/>
  <c r="D521" i="1"/>
  <c r="D522" i="1"/>
  <c r="D523" i="1"/>
  <c r="D527" i="1"/>
  <c r="D529" i="1"/>
  <c r="D531" i="1"/>
  <c r="D533" i="1"/>
  <c r="D535" i="1"/>
  <c r="D537" i="1"/>
  <c r="D539" i="1"/>
  <c r="D541" i="1"/>
  <c r="D543" i="1"/>
  <c r="D545" i="1"/>
  <c r="D547" i="1"/>
  <c r="D548" i="1"/>
  <c r="D549" i="1"/>
  <c r="D550" i="1"/>
  <c r="D551" i="1"/>
  <c r="D552" i="1"/>
  <c r="D553" i="1"/>
  <c r="D554" i="1"/>
  <c r="D555" i="1"/>
  <c r="D556" i="1"/>
  <c r="D557" i="1"/>
  <c r="D558" i="1"/>
  <c r="D559" i="1"/>
  <c r="D560" i="1"/>
  <c r="D561" i="1"/>
  <c r="D562" i="1"/>
  <c r="D2"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4" i="1"/>
  <c r="D36" i="1"/>
  <c r="D39" i="1"/>
  <c r="D40" i="1"/>
  <c r="D41" i="1"/>
  <c r="D43" i="1"/>
  <c r="D46" i="1"/>
  <c r="D47" i="1"/>
  <c r="D49" i="1"/>
  <c r="D51" i="1"/>
  <c r="D53" i="1"/>
  <c r="D55" i="1"/>
  <c r="D57" i="1"/>
  <c r="D59" i="1"/>
  <c r="D61" i="1"/>
  <c r="D65" i="1"/>
  <c r="D67" i="1"/>
  <c r="D70" i="1"/>
  <c r="D72" i="1"/>
  <c r="D73" i="1"/>
  <c r="D74" i="1"/>
  <c r="D75" i="1"/>
  <c r="D76" i="1"/>
  <c r="D77" i="1"/>
  <c r="D79" i="1"/>
  <c r="D80" i="1"/>
  <c r="D82" i="1"/>
  <c r="D83" i="1"/>
  <c r="D85" i="1"/>
  <c r="D86" i="1"/>
  <c r="D88" i="1"/>
  <c r="D89" i="1"/>
  <c r="D91" i="1"/>
  <c r="D93" i="1"/>
  <c r="D99" i="1"/>
  <c r="D101" i="1"/>
  <c r="D102" i="1"/>
  <c r="D104" i="1"/>
  <c r="D106" i="1"/>
  <c r="D108" i="1"/>
  <c r="D109" i="1"/>
  <c r="D110" i="1"/>
  <c r="D111" i="1"/>
  <c r="D112" i="1"/>
  <c r="D113" i="1"/>
  <c r="D114" i="1"/>
  <c r="D115" i="1"/>
  <c r="D117" i="1"/>
  <c r="D119" i="1"/>
  <c r="D121" i="1"/>
  <c r="D123" i="1"/>
  <c r="D125" i="1"/>
  <c r="D128" i="1"/>
  <c r="D130" i="1"/>
  <c r="D132" i="1"/>
  <c r="D133" i="1"/>
  <c r="D134" i="1"/>
  <c r="D136" i="1"/>
  <c r="D139" i="1"/>
  <c r="D141" i="1"/>
  <c r="D143" i="1"/>
  <c r="D145" i="1"/>
  <c r="D148" i="1"/>
  <c r="D149" i="1"/>
  <c r="D152" i="1"/>
  <c r="D155" i="1"/>
  <c r="D158" i="1"/>
  <c r="D161" i="1"/>
  <c r="D164" i="1"/>
  <c r="D167" i="1"/>
  <c r="D170" i="1"/>
  <c r="D173" i="1"/>
  <c r="D177" i="1"/>
  <c r="D178" i="1"/>
  <c r="D181" i="1"/>
  <c r="D185" i="1"/>
  <c r="D189" i="1"/>
  <c r="D193" i="1"/>
  <c r="D197" i="1"/>
  <c r="D201" i="1"/>
  <c r="D205" i="1"/>
  <c r="D209" i="1"/>
  <c r="D217" i="1"/>
  <c r="D221" i="1"/>
  <c r="D225" i="1"/>
  <c r="D229" i="1"/>
  <c r="D230" i="1"/>
  <c r="D233" i="1"/>
  <c r="D237" i="1"/>
  <c r="D241" i="1"/>
  <c r="D246" i="1"/>
  <c r="D249" i="1"/>
  <c r="D253" i="1"/>
  <c r="D257" i="1"/>
  <c r="D261" i="1"/>
  <c r="D265" i="1"/>
  <c r="D268" i="1"/>
  <c r="D271" i="1"/>
  <c r="D274" i="1"/>
  <c r="D277" i="1"/>
  <c r="D279" i="1"/>
  <c r="D282" i="1"/>
  <c r="D285" i="1"/>
  <c r="D288" i="1"/>
  <c r="D291" i="1"/>
  <c r="D294" i="1"/>
  <c r="D295" i="1"/>
  <c r="D297" i="1"/>
  <c r="D301" i="1"/>
  <c r="D305" i="1"/>
  <c r="D309" i="1"/>
  <c r="D313" i="1"/>
  <c r="D317" i="1"/>
  <c r="D324" i="1"/>
  <c r="D328" i="1"/>
  <c r="D332" i="1"/>
  <c r="D336" i="1"/>
  <c r="D341" i="1"/>
  <c r="D345" i="1"/>
  <c r="D348" i="1"/>
  <c r="D349" i="1"/>
  <c r="D354" i="1"/>
  <c r="D357" i="1"/>
  <c r="D360" i="1"/>
  <c r="D363" i="1"/>
  <c r="D366" i="1"/>
  <c r="D369" i="1"/>
  <c r="D372" i="1"/>
  <c r="D375" i="1"/>
  <c r="D378" i="1"/>
  <c r="D381" i="1"/>
  <c r="D383" i="1"/>
  <c r="D386" i="1"/>
  <c r="D392" i="1"/>
  <c r="D395" i="1"/>
  <c r="D398" i="1"/>
  <c r="D401" i="1"/>
  <c r="D404" i="1"/>
  <c r="D407" i="1"/>
  <c r="D411" i="1"/>
  <c r="D421" i="1"/>
  <c r="D424" i="1"/>
  <c r="D428" i="1"/>
  <c r="D432" i="1"/>
  <c r="D436" i="1"/>
  <c r="D442" i="1"/>
  <c r="D444" i="1"/>
  <c r="D447" i="1"/>
  <c r="D451" i="1"/>
  <c r="D454" i="1"/>
  <c r="D457" i="1"/>
  <c r="D460" i="1"/>
  <c r="D463" i="1"/>
  <c r="D466" i="1"/>
  <c r="D469" i="1"/>
  <c r="D472" i="1"/>
  <c r="D475" i="1"/>
  <c r="D478" i="1"/>
  <c r="D479" i="1"/>
  <c r="D482" i="1"/>
  <c r="D485" i="1"/>
  <c r="D493" i="1"/>
  <c r="D497" i="1"/>
  <c r="D500" i="1"/>
  <c r="D506" i="1"/>
  <c r="D509" i="1"/>
  <c r="D511" i="1"/>
  <c r="D512" i="1"/>
  <c r="D513" i="1"/>
  <c r="D514" i="1"/>
  <c r="D33" i="1"/>
  <c r="A3" i="7"/>
  <c r="A4" i="7"/>
  <c r="A5" i="7"/>
  <c r="A6" i="7"/>
  <c r="A2" i="7"/>
  <c r="A3" i="6"/>
  <c r="A4" i="6"/>
  <c r="A5" i="6"/>
  <c r="A6" i="6"/>
  <c r="A7" i="6"/>
  <c r="A8" i="6"/>
  <c r="A9" i="6"/>
  <c r="A10" i="6"/>
  <c r="A2" i="6"/>
  <c r="A3" i="5"/>
  <c r="A4" i="5"/>
  <c r="A5" i="5"/>
  <c r="A6" i="5"/>
  <c r="A7" i="5"/>
  <c r="A8" i="5"/>
  <c r="A2" i="5"/>
  <c r="A3" i="4"/>
  <c r="A4" i="4"/>
  <c r="A5" i="4"/>
  <c r="A6" i="4"/>
  <c r="A7" i="4"/>
  <c r="A8" i="4"/>
  <c r="A2" i="4"/>
  <c r="K297" i="1"/>
  <c r="K301" i="1"/>
  <c r="K305" i="1"/>
  <c r="K309" i="1"/>
  <c r="K313" i="1"/>
  <c r="K317" i="1"/>
  <c r="K324" i="1"/>
  <c r="K328" i="1"/>
  <c r="K332" i="1"/>
  <c r="K336" i="1"/>
  <c r="K341" i="1"/>
  <c r="K345" i="1"/>
  <c r="K348" i="1"/>
  <c r="K349" i="1"/>
  <c r="K354" i="1"/>
  <c r="K357" i="1"/>
  <c r="K360" i="1"/>
  <c r="K363" i="1"/>
  <c r="K366" i="1"/>
  <c r="K369" i="1"/>
  <c r="K372" i="1"/>
  <c r="K375" i="1"/>
  <c r="K378" i="1"/>
  <c r="K381" i="1"/>
  <c r="K383" i="1"/>
  <c r="K386" i="1"/>
  <c r="K392" i="1"/>
  <c r="K395" i="1"/>
  <c r="K398" i="1"/>
  <c r="K401" i="1"/>
  <c r="K404" i="1"/>
  <c r="K407" i="1"/>
  <c r="K411" i="1"/>
  <c r="K421" i="1"/>
  <c r="K424" i="1"/>
  <c r="K428" i="1"/>
  <c r="K432" i="1"/>
  <c r="K436" i="1"/>
  <c r="K442" i="1"/>
  <c r="K444" i="1"/>
  <c r="K447" i="1"/>
  <c r="K451" i="1"/>
  <c r="K454" i="1"/>
  <c r="K457" i="1"/>
  <c r="K460" i="1"/>
  <c r="K463" i="1"/>
  <c r="K466" i="1"/>
  <c r="K469" i="1"/>
  <c r="K472" i="1"/>
  <c r="K475" i="1"/>
  <c r="K478" i="1"/>
  <c r="K479" i="1"/>
  <c r="K482" i="1"/>
  <c r="K485" i="1"/>
  <c r="K493" i="1"/>
  <c r="K497" i="1"/>
  <c r="K500" i="1"/>
  <c r="K506" i="1"/>
  <c r="K509" i="1"/>
  <c r="K511" i="1"/>
  <c r="K512" i="1"/>
  <c r="K513" i="1"/>
  <c r="K514" i="1"/>
  <c r="K230" i="1"/>
  <c r="K233" i="1"/>
  <c r="K237" i="1"/>
  <c r="K241" i="1"/>
  <c r="K246" i="1"/>
  <c r="K249" i="1"/>
  <c r="K253" i="1"/>
  <c r="K257" i="1"/>
  <c r="K261" i="1"/>
  <c r="K265" i="1"/>
  <c r="K268" i="1"/>
  <c r="K271" i="1"/>
  <c r="K274" i="1"/>
  <c r="K277" i="1"/>
  <c r="K279" i="1"/>
  <c r="K282" i="1"/>
  <c r="K285" i="1"/>
  <c r="K288" i="1"/>
  <c r="K291" i="1"/>
  <c r="K294" i="1"/>
  <c r="K295" i="1"/>
  <c r="K133" i="1"/>
  <c r="K134" i="1"/>
  <c r="K136" i="1"/>
  <c r="K139" i="1"/>
  <c r="K141" i="1"/>
  <c r="K143" i="1"/>
  <c r="K145" i="1"/>
  <c r="K148" i="1"/>
  <c r="K149" i="1"/>
  <c r="K152" i="1"/>
  <c r="K155" i="1"/>
  <c r="K158" i="1"/>
  <c r="K161" i="1"/>
  <c r="K164" i="1"/>
  <c r="K167" i="1"/>
  <c r="K170" i="1"/>
  <c r="K173" i="1"/>
  <c r="K177" i="1"/>
  <c r="K178" i="1"/>
  <c r="K181" i="1"/>
  <c r="K185" i="1"/>
  <c r="K189" i="1"/>
  <c r="K193" i="1"/>
  <c r="K197" i="1"/>
  <c r="K201" i="1"/>
  <c r="K205" i="1"/>
  <c r="K209" i="1"/>
  <c r="K217" i="1"/>
  <c r="K221" i="1"/>
  <c r="K225" i="1"/>
  <c r="K229" i="1"/>
  <c r="K67" i="1"/>
  <c r="K70" i="1"/>
  <c r="K72" i="1"/>
  <c r="K73" i="1"/>
  <c r="K75" i="1"/>
  <c r="K74" i="1"/>
  <c r="K76" i="1"/>
  <c r="K77" i="1"/>
  <c r="K79" i="1"/>
  <c r="K80" i="1"/>
  <c r="K82" i="1"/>
  <c r="K83" i="1"/>
  <c r="K85" i="1"/>
  <c r="K86" i="1"/>
  <c r="K88" i="1"/>
  <c r="K89" i="1"/>
  <c r="K91" i="1"/>
  <c r="K93" i="1"/>
  <c r="K99" i="1"/>
  <c r="K101" i="1"/>
  <c r="K102" i="1"/>
  <c r="K104" i="1"/>
  <c r="K106" i="1"/>
  <c r="K108" i="1"/>
  <c r="K109" i="1"/>
  <c r="K110" i="1"/>
  <c r="K111" i="1"/>
  <c r="K112" i="1"/>
  <c r="K113" i="1"/>
  <c r="K114" i="1"/>
  <c r="K115" i="1"/>
  <c r="K117" i="1"/>
  <c r="K119" i="1"/>
  <c r="K121" i="1"/>
  <c r="K123" i="1"/>
  <c r="K125" i="1"/>
  <c r="K128" i="1"/>
  <c r="K130" i="1"/>
  <c r="K132"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4" i="1"/>
  <c r="K36" i="1"/>
  <c r="K39" i="1"/>
  <c r="K40" i="1"/>
  <c r="K41" i="1"/>
  <c r="K43" i="1"/>
  <c r="K46" i="1"/>
  <c r="K47" i="1"/>
  <c r="K49" i="1"/>
  <c r="K51" i="1"/>
  <c r="K53" i="1"/>
  <c r="K55" i="1"/>
  <c r="K57" i="1"/>
  <c r="K59" i="1"/>
  <c r="K61" i="1"/>
  <c r="K65" i="1"/>
  <c r="K529" i="1"/>
  <c r="K531" i="1"/>
  <c r="K533" i="1"/>
  <c r="K535" i="1"/>
  <c r="K537" i="1"/>
  <c r="K539" i="1"/>
  <c r="K541" i="1"/>
  <c r="K543" i="1"/>
  <c r="K545" i="1"/>
  <c r="K547" i="1"/>
  <c r="K548" i="1"/>
  <c r="K549" i="1"/>
  <c r="K550" i="1"/>
  <c r="K551" i="1"/>
  <c r="K552" i="1"/>
  <c r="K553" i="1"/>
  <c r="K554" i="1"/>
  <c r="K555" i="1"/>
  <c r="K556" i="1"/>
  <c r="K557" i="1"/>
  <c r="K558" i="1"/>
  <c r="K559" i="1"/>
  <c r="K560" i="1"/>
  <c r="K561" i="1"/>
  <c r="K562" i="1"/>
  <c r="K2" i="1"/>
  <c r="K3" i="1"/>
  <c r="K4" i="1"/>
  <c r="K425" i="1"/>
  <c r="K429" i="1"/>
  <c r="K433" i="1"/>
  <c r="K437" i="1"/>
  <c r="K443" i="1"/>
  <c r="K445" i="1"/>
  <c r="K448" i="1"/>
  <c r="K452" i="1"/>
  <c r="K455" i="1"/>
  <c r="K458" i="1"/>
  <c r="K461" i="1"/>
  <c r="K464" i="1"/>
  <c r="K467" i="1"/>
  <c r="K471" i="1"/>
  <c r="K474" i="1"/>
  <c r="K481" i="1"/>
  <c r="K484" i="1"/>
  <c r="K487" i="1"/>
  <c r="K488" i="1"/>
  <c r="K492" i="1"/>
  <c r="K496" i="1"/>
  <c r="K499" i="1"/>
  <c r="K502" i="1"/>
  <c r="K503" i="1"/>
  <c r="K505" i="1"/>
  <c r="K508" i="1"/>
  <c r="K515" i="1"/>
  <c r="K516" i="1"/>
  <c r="K517" i="1"/>
  <c r="K518" i="1"/>
  <c r="K519" i="1"/>
  <c r="K520" i="1"/>
  <c r="K521" i="1"/>
  <c r="K522" i="1"/>
  <c r="K523" i="1"/>
  <c r="K527" i="1"/>
  <c r="K260" i="1"/>
  <c r="K298" i="1"/>
  <c r="K302" i="1"/>
  <c r="K306" i="1"/>
  <c r="K310" i="1"/>
  <c r="K314" i="1"/>
  <c r="K318" i="1"/>
  <c r="K321" i="1"/>
  <c r="K325" i="1"/>
  <c r="K329" i="1"/>
  <c r="K333" i="1"/>
  <c r="K337" i="1"/>
  <c r="K342" i="1"/>
  <c r="K346" i="1"/>
  <c r="K347" i="1"/>
  <c r="K350" i="1"/>
  <c r="K351" i="1"/>
  <c r="K353" i="1"/>
  <c r="K356" i="1"/>
  <c r="K359" i="1"/>
  <c r="K362" i="1"/>
  <c r="K365" i="1"/>
  <c r="K368" i="1"/>
  <c r="K371" i="1"/>
  <c r="K374" i="1"/>
  <c r="K377" i="1"/>
  <c r="K380" i="1"/>
  <c r="K384" i="1"/>
  <c r="K387" i="1"/>
  <c r="K389" i="1"/>
  <c r="K393" i="1"/>
  <c r="K399" i="1"/>
  <c r="K402" i="1"/>
  <c r="K405" i="1"/>
  <c r="K408" i="1"/>
  <c r="K157" i="1"/>
  <c r="K160" i="1"/>
  <c r="K163" i="1"/>
  <c r="K166" i="1"/>
  <c r="K169" i="1"/>
  <c r="K172" i="1"/>
  <c r="K176" i="1"/>
  <c r="K180" i="1"/>
  <c r="K184" i="1"/>
  <c r="K188" i="1"/>
  <c r="K192" i="1"/>
  <c r="K196" i="1"/>
  <c r="K200" i="1"/>
  <c r="K204" i="1"/>
  <c r="K208" i="1"/>
  <c r="K212" i="1"/>
  <c r="K216" i="1"/>
  <c r="K220" i="1"/>
  <c r="K224" i="1"/>
  <c r="K228" i="1"/>
  <c r="K232" i="1"/>
  <c r="K236" i="1"/>
  <c r="K240" i="1"/>
  <c r="K248" i="1"/>
  <c r="K252" i="1"/>
  <c r="K256" i="1"/>
  <c r="K524" i="1"/>
  <c r="K525" i="1"/>
  <c r="K526" i="1"/>
  <c r="K528" i="1"/>
  <c r="K530" i="1"/>
  <c r="K532" i="1"/>
  <c r="K534" i="1"/>
  <c r="K536" i="1"/>
  <c r="K538" i="1"/>
  <c r="K540" i="1"/>
  <c r="K542" i="1"/>
  <c r="K544" i="1"/>
  <c r="K546" i="1"/>
  <c r="K563" i="1"/>
  <c r="K564" i="1"/>
  <c r="K565" i="1"/>
  <c r="K566" i="1"/>
  <c r="K567" i="1"/>
  <c r="K568" i="1"/>
  <c r="K569" i="1"/>
  <c r="K570" i="1"/>
  <c r="K571" i="1"/>
  <c r="K572" i="1"/>
  <c r="K573" i="1"/>
  <c r="K574" i="1"/>
  <c r="K575" i="1"/>
  <c r="K147" i="1"/>
  <c r="K151" i="1"/>
  <c r="K154" i="1"/>
  <c r="K367" i="1"/>
  <c r="K370" i="1"/>
  <c r="K373" i="1"/>
  <c r="K376" i="1"/>
  <c r="K379" i="1"/>
  <c r="K409" i="1"/>
  <c r="K412" i="1"/>
  <c r="K415" i="1"/>
  <c r="K417" i="1"/>
  <c r="K419" i="1"/>
  <c r="K422" i="1"/>
  <c r="K426" i="1"/>
  <c r="K430" i="1"/>
  <c r="K434" i="1"/>
  <c r="K438" i="1"/>
  <c r="K440" i="1"/>
  <c r="K441" i="1"/>
  <c r="K480" i="1"/>
  <c r="K483" i="1"/>
  <c r="K486" i="1"/>
  <c r="K489" i="1"/>
  <c r="K490" i="1"/>
  <c r="K491" i="1"/>
  <c r="K494" i="1"/>
  <c r="K495" i="1"/>
  <c r="K498" i="1"/>
  <c r="K501" i="1"/>
  <c r="K504" i="1"/>
  <c r="K507" i="1"/>
  <c r="K510" i="1"/>
  <c r="K231" i="1"/>
  <c r="K235" i="1"/>
  <c r="K239" i="1"/>
  <c r="K243" i="1"/>
  <c r="K247" i="1"/>
  <c r="K251" i="1"/>
  <c r="K255" i="1"/>
  <c r="K259" i="1"/>
  <c r="K263" i="1"/>
  <c r="K266" i="1"/>
  <c r="K269" i="1"/>
  <c r="K272" i="1"/>
  <c r="K275" i="1"/>
  <c r="K278" i="1"/>
  <c r="K280" i="1"/>
  <c r="K283" i="1"/>
  <c r="K286" i="1"/>
  <c r="K289" i="1"/>
  <c r="K292" i="1"/>
  <c r="K296" i="1"/>
  <c r="K300" i="1"/>
  <c r="K304" i="1"/>
  <c r="K308" i="1"/>
  <c r="K312" i="1"/>
  <c r="K316" i="1"/>
  <c r="K320" i="1"/>
  <c r="K323" i="1"/>
  <c r="K327" i="1"/>
  <c r="K331" i="1"/>
  <c r="K335" i="1"/>
  <c r="K340" i="1"/>
  <c r="K344" i="1"/>
  <c r="K352" i="1"/>
  <c r="K355" i="1"/>
  <c r="K358" i="1"/>
  <c r="K361" i="1"/>
  <c r="K364" i="1"/>
  <c r="K416" i="1"/>
  <c r="K418" i="1"/>
  <c r="K420" i="1"/>
  <c r="K423" i="1"/>
  <c r="K427" i="1"/>
  <c r="K431" i="1"/>
  <c r="K435" i="1"/>
  <c r="K439" i="1"/>
  <c r="K446" i="1"/>
  <c r="K449" i="1"/>
  <c r="K450" i="1"/>
  <c r="K453" i="1"/>
  <c r="K456" i="1"/>
  <c r="K459" i="1"/>
  <c r="K462" i="1"/>
  <c r="K465" i="1"/>
  <c r="K468" i="1"/>
  <c r="K470" i="1"/>
  <c r="K473" i="1"/>
  <c r="K476" i="1"/>
  <c r="K477" i="1"/>
  <c r="K168" i="1"/>
  <c r="K171" i="1"/>
  <c r="K174" i="1"/>
  <c r="K175" i="1"/>
  <c r="K179" i="1"/>
  <c r="K183" i="1"/>
  <c r="K187" i="1"/>
  <c r="K191" i="1"/>
  <c r="K195" i="1"/>
  <c r="K199" i="1"/>
  <c r="K203" i="1"/>
  <c r="K207" i="1"/>
  <c r="K211" i="1"/>
  <c r="K215" i="1"/>
  <c r="K219" i="1"/>
  <c r="K223" i="1"/>
  <c r="K227" i="1"/>
  <c r="K264" i="1"/>
  <c r="K267" i="1"/>
  <c r="K270" i="1"/>
  <c r="K273" i="1"/>
  <c r="K276" i="1"/>
  <c r="K281" i="1"/>
  <c r="K284" i="1"/>
  <c r="K287" i="1"/>
  <c r="K290" i="1"/>
  <c r="K293" i="1"/>
  <c r="K299" i="1"/>
  <c r="K303" i="1"/>
  <c r="K307" i="1"/>
  <c r="K311" i="1"/>
  <c r="K315" i="1"/>
  <c r="K319" i="1"/>
  <c r="K322" i="1"/>
  <c r="K326" i="1"/>
  <c r="K330" i="1"/>
  <c r="K334" i="1"/>
  <c r="K338" i="1"/>
  <c r="K339" i="1"/>
  <c r="K343" i="1"/>
  <c r="K382" i="1"/>
  <c r="K385" i="1"/>
  <c r="K388" i="1"/>
  <c r="K390" i="1"/>
  <c r="K391" i="1"/>
  <c r="K394" i="1"/>
  <c r="K396" i="1"/>
  <c r="K397" i="1"/>
  <c r="K400" i="1"/>
  <c r="K403" i="1"/>
  <c r="K406" i="1"/>
  <c r="K410" i="1"/>
  <c r="K413" i="1"/>
  <c r="K414" i="1"/>
  <c r="K142" i="1"/>
  <c r="K144" i="1"/>
  <c r="K146" i="1"/>
  <c r="K150" i="1"/>
  <c r="K153" i="1"/>
  <c r="K156" i="1"/>
  <c r="K159" i="1"/>
  <c r="K162" i="1"/>
  <c r="K165" i="1"/>
  <c r="K182" i="1"/>
  <c r="K186" i="1"/>
  <c r="K190" i="1"/>
  <c r="K194" i="1"/>
  <c r="K198" i="1"/>
  <c r="K202" i="1"/>
  <c r="K206" i="1"/>
  <c r="K210" i="1"/>
  <c r="K213" i="1"/>
  <c r="K214" i="1"/>
  <c r="K218" i="1"/>
  <c r="K222" i="1"/>
  <c r="K226" i="1"/>
  <c r="K234" i="1"/>
  <c r="K238" i="1"/>
  <c r="K242" i="1"/>
  <c r="K244" i="1"/>
  <c r="K245" i="1"/>
  <c r="K250" i="1"/>
  <c r="K254" i="1"/>
  <c r="K258" i="1"/>
  <c r="K262" i="1"/>
  <c r="K62" i="1"/>
  <c r="K63" i="1"/>
  <c r="K64" i="1"/>
  <c r="K66" i="1"/>
  <c r="K68" i="1"/>
  <c r="K69" i="1"/>
  <c r="K71" i="1"/>
  <c r="K78" i="1"/>
  <c r="K81" i="1"/>
  <c r="K84" i="1"/>
  <c r="K87" i="1"/>
  <c r="K90" i="1"/>
  <c r="K92" i="1"/>
  <c r="K94" i="1"/>
  <c r="K95" i="1"/>
  <c r="K96" i="1"/>
  <c r="K97" i="1"/>
  <c r="K98" i="1"/>
  <c r="K100" i="1"/>
  <c r="K103" i="1"/>
  <c r="K105" i="1"/>
  <c r="K107" i="1"/>
  <c r="K116" i="1"/>
  <c r="K118" i="1"/>
  <c r="K120" i="1"/>
  <c r="K122" i="1"/>
  <c r="K124" i="1"/>
  <c r="K126" i="1"/>
  <c r="K127" i="1"/>
  <c r="K129" i="1"/>
  <c r="K131" i="1"/>
  <c r="K135" i="1"/>
  <c r="K137" i="1"/>
  <c r="K138" i="1"/>
  <c r="K140" i="1"/>
  <c r="K35" i="1"/>
  <c r="K37" i="1"/>
  <c r="K38" i="1"/>
  <c r="K42" i="1"/>
  <c r="K44" i="1"/>
  <c r="K45" i="1"/>
  <c r="K48" i="1"/>
  <c r="K50" i="1"/>
  <c r="K52" i="1"/>
  <c r="K54" i="1"/>
  <c r="K56" i="1"/>
  <c r="K58" i="1"/>
  <c r="K60" i="1"/>
  <c r="K33" i="1"/>
  <c r="Q2" i="1"/>
  <c r="Q16" i="1"/>
  <c r="Q30" i="1"/>
  <c r="Q44" i="1"/>
  <c r="Q58" i="1"/>
  <c r="Q72" i="1"/>
  <c r="Q86" i="1"/>
  <c r="Q100" i="1"/>
  <c r="Q114" i="1"/>
  <c r="Q128" i="1"/>
  <c r="Q142" i="1"/>
  <c r="Q156" i="1"/>
  <c r="Q170" i="1"/>
  <c r="Q184" i="1"/>
  <c r="Q198" i="1"/>
  <c r="Q212" i="1"/>
  <c r="Q226" i="1"/>
  <c r="Q240" i="1"/>
  <c r="Q254" i="1"/>
  <c r="Q268" i="1"/>
  <c r="Q282" i="1"/>
  <c r="Q296" i="1"/>
  <c r="Q310" i="1"/>
  <c r="Q324" i="1"/>
  <c r="Q338" i="1"/>
  <c r="Q352" i="1"/>
  <c r="Q366" i="1"/>
  <c r="Q380" i="1"/>
  <c r="Q394" i="1"/>
  <c r="Q408" i="1"/>
  <c r="Q422" i="1"/>
  <c r="Q436" i="1"/>
  <c r="Q450" i="1"/>
  <c r="Q464" i="1"/>
  <c r="Q478" i="1"/>
  <c r="Q492" i="1"/>
  <c r="Q506" i="1"/>
  <c r="Q520" i="1"/>
  <c r="Q534" i="1"/>
  <c r="Q548" i="1"/>
  <c r="Q562" i="1"/>
  <c r="Q76" i="1"/>
  <c r="Q216" i="1"/>
  <c r="Q244" i="1"/>
  <c r="Q258" i="1"/>
  <c r="Q286" i="1"/>
  <c r="Q300" i="1"/>
  <c r="Q314" i="1"/>
  <c r="Q342" i="1"/>
  <c r="Q384" i="1"/>
  <c r="Q412" i="1"/>
  <c r="Q482" i="1"/>
  <c r="Q538" i="1"/>
  <c r="Q133" i="1"/>
  <c r="Q245" i="1"/>
  <c r="Q301" i="1"/>
  <c r="Q357" i="1"/>
  <c r="Q413" i="1"/>
  <c r="Q441" i="1"/>
  <c r="Q511" i="1"/>
  <c r="Q414" i="1"/>
  <c r="Q512" i="1"/>
  <c r="Q221" i="1"/>
  <c r="Q417" i="1"/>
  <c r="Q501" i="1"/>
  <c r="Q543" i="1"/>
  <c r="Q40" i="1"/>
  <c r="Q166" i="1"/>
  <c r="Q250" i="1"/>
  <c r="Q320" i="1"/>
  <c r="Q404" i="1"/>
  <c r="Q474" i="1"/>
  <c r="Q558" i="1"/>
  <c r="Q97" i="1"/>
  <c r="Q223" i="1"/>
  <c r="Q307" i="1"/>
  <c r="Q377" i="1"/>
  <c r="Q461" i="1"/>
  <c r="Q531" i="1"/>
  <c r="Q56" i="1"/>
  <c r="Q126" i="1"/>
  <c r="Q182" i="1"/>
  <c r="Q266" i="1"/>
  <c r="Q322" i="1"/>
  <c r="Q406" i="1"/>
  <c r="Q490" i="1"/>
  <c r="Q57" i="1"/>
  <c r="Q127" i="1"/>
  <c r="Q183" i="1"/>
  <c r="Q295" i="1"/>
  <c r="Q323" i="1"/>
  <c r="Q421" i="1"/>
  <c r="Q533" i="1"/>
  <c r="Q3" i="1"/>
  <c r="Q17" i="1"/>
  <c r="Q31" i="1"/>
  <c r="Q45" i="1"/>
  <c r="Q59" i="1"/>
  <c r="Q73" i="1"/>
  <c r="Q87" i="1"/>
  <c r="Q101" i="1"/>
  <c r="Q115" i="1"/>
  <c r="Q129" i="1"/>
  <c r="Q143" i="1"/>
  <c r="Q157" i="1"/>
  <c r="Q171" i="1"/>
  <c r="Q185" i="1"/>
  <c r="Q199" i="1"/>
  <c r="Q213" i="1"/>
  <c r="Q227" i="1"/>
  <c r="Q241" i="1"/>
  <c r="Q255" i="1"/>
  <c r="Q269" i="1"/>
  <c r="Q283" i="1"/>
  <c r="Q297" i="1"/>
  <c r="Q311" i="1"/>
  <c r="Q325" i="1"/>
  <c r="Q339" i="1"/>
  <c r="Q353" i="1"/>
  <c r="Q367" i="1"/>
  <c r="Q381" i="1"/>
  <c r="Q395" i="1"/>
  <c r="Q409" i="1"/>
  <c r="Q423" i="1"/>
  <c r="Q437" i="1"/>
  <c r="Q451" i="1"/>
  <c r="Q465" i="1"/>
  <c r="Q479" i="1"/>
  <c r="Q493" i="1"/>
  <c r="Q507" i="1"/>
  <c r="Q521" i="1"/>
  <c r="Q535" i="1"/>
  <c r="Q549" i="1"/>
  <c r="Q563" i="1"/>
  <c r="Q188" i="1"/>
  <c r="Q370" i="1"/>
  <c r="Q440" i="1"/>
  <c r="Q496" i="1"/>
  <c r="Q552" i="1"/>
  <c r="Q91" i="1"/>
  <c r="Q273" i="1"/>
  <c r="Q343" i="1"/>
  <c r="Q399" i="1"/>
  <c r="Q469" i="1"/>
  <c r="Q539" i="1"/>
  <c r="Q567" i="1"/>
  <c r="Q386" i="1"/>
  <c r="Q568" i="1"/>
  <c r="Q193" i="1"/>
  <c r="Q445" i="1"/>
  <c r="Q529" i="1"/>
  <c r="Q26" i="1"/>
  <c r="Q124" i="1"/>
  <c r="Q208" i="1"/>
  <c r="Q264" i="1"/>
  <c r="Q348" i="1"/>
  <c r="Q418" i="1"/>
  <c r="Q488" i="1"/>
  <c r="Q69" i="1"/>
  <c r="Q237" i="1"/>
  <c r="Q321" i="1"/>
  <c r="Q391" i="1"/>
  <c r="Q447" i="1"/>
  <c r="Q573" i="1"/>
  <c r="Q84" i="1"/>
  <c r="Q168" i="1"/>
  <c r="Q280" i="1"/>
  <c r="Q364" i="1"/>
  <c r="Q448" i="1"/>
  <c r="Q504" i="1"/>
  <c r="Q71" i="1"/>
  <c r="Q155" i="1"/>
  <c r="Q239" i="1"/>
  <c r="Q337" i="1"/>
  <c r="Q449" i="1"/>
  <c r="Q547" i="1"/>
  <c r="Q4" i="1"/>
  <c r="Q18" i="1"/>
  <c r="Q32" i="1"/>
  <c r="Q46" i="1"/>
  <c r="Q60" i="1"/>
  <c r="Q74" i="1"/>
  <c r="Q88" i="1"/>
  <c r="Q102" i="1"/>
  <c r="Q116" i="1"/>
  <c r="Q130" i="1"/>
  <c r="Q144" i="1"/>
  <c r="Q158" i="1"/>
  <c r="Q172" i="1"/>
  <c r="Q186" i="1"/>
  <c r="Q200" i="1"/>
  <c r="Q214" i="1"/>
  <c r="Q228" i="1"/>
  <c r="Q242" i="1"/>
  <c r="Q256" i="1"/>
  <c r="Q270" i="1"/>
  <c r="Q284" i="1"/>
  <c r="Q298" i="1"/>
  <c r="Q312" i="1"/>
  <c r="Q326" i="1"/>
  <c r="Q340" i="1"/>
  <c r="Q354" i="1"/>
  <c r="Q368" i="1"/>
  <c r="Q382" i="1"/>
  <c r="Q396" i="1"/>
  <c r="Q410" i="1"/>
  <c r="Q424" i="1"/>
  <c r="Q438" i="1"/>
  <c r="Q452" i="1"/>
  <c r="Q466" i="1"/>
  <c r="Q480" i="1"/>
  <c r="Q494" i="1"/>
  <c r="Q508" i="1"/>
  <c r="Q522" i="1"/>
  <c r="Q536" i="1"/>
  <c r="Q550" i="1"/>
  <c r="Q564" i="1"/>
  <c r="Q174" i="1"/>
  <c r="Q356" i="1"/>
  <c r="Q426" i="1"/>
  <c r="Q468" i="1"/>
  <c r="Q524" i="1"/>
  <c r="Q105" i="1"/>
  <c r="Q259" i="1"/>
  <c r="Q315" i="1"/>
  <c r="Q385" i="1"/>
  <c r="Q455" i="1"/>
  <c r="Q525" i="1"/>
  <c r="Q400" i="1"/>
  <c r="Q526" i="1"/>
  <c r="Q207" i="1"/>
  <c r="Q487" i="1"/>
  <c r="Q82" i="1"/>
  <c r="Q138" i="1"/>
  <c r="Q222" i="1"/>
  <c r="Q278" i="1"/>
  <c r="Q362" i="1"/>
  <c r="Q446" i="1"/>
  <c r="Q516" i="1"/>
  <c r="Q83" i="1"/>
  <c r="Q167" i="1"/>
  <c r="Q251" i="1"/>
  <c r="Q349" i="1"/>
  <c r="Q475" i="1"/>
  <c r="Q559" i="1"/>
  <c r="Q98" i="1"/>
  <c r="Q224" i="1"/>
  <c r="Q308" i="1"/>
  <c r="Q392" i="1"/>
  <c r="Q476" i="1"/>
  <c r="Q532" i="1"/>
  <c r="Q29" i="1"/>
  <c r="Q141" i="1"/>
  <c r="Q253" i="1"/>
  <c r="Q351" i="1"/>
  <c r="Q463" i="1"/>
  <c r="Q519" i="1"/>
  <c r="Q5" i="1"/>
  <c r="Q19" i="1"/>
  <c r="Q33" i="1"/>
  <c r="Q47" i="1"/>
  <c r="Q61" i="1"/>
  <c r="Q75" i="1"/>
  <c r="Q89" i="1"/>
  <c r="Q103" i="1"/>
  <c r="Q117" i="1"/>
  <c r="Q131" i="1"/>
  <c r="Q145" i="1"/>
  <c r="Q159" i="1"/>
  <c r="Q173" i="1"/>
  <c r="Q187" i="1"/>
  <c r="Q201" i="1"/>
  <c r="Q215" i="1"/>
  <c r="Q229" i="1"/>
  <c r="Q243" i="1"/>
  <c r="Q257" i="1"/>
  <c r="Q271" i="1"/>
  <c r="Q285" i="1"/>
  <c r="Q299" i="1"/>
  <c r="Q313" i="1"/>
  <c r="Q327" i="1"/>
  <c r="Q341" i="1"/>
  <c r="Q355" i="1"/>
  <c r="Q369" i="1"/>
  <c r="Q383" i="1"/>
  <c r="Q397" i="1"/>
  <c r="Q411" i="1"/>
  <c r="Q425" i="1"/>
  <c r="Q439" i="1"/>
  <c r="Q453" i="1"/>
  <c r="Q467" i="1"/>
  <c r="Q481" i="1"/>
  <c r="Q495" i="1"/>
  <c r="Q509" i="1"/>
  <c r="Q523" i="1"/>
  <c r="Q537" i="1"/>
  <c r="Q551" i="1"/>
  <c r="Q565" i="1"/>
  <c r="Q160" i="1"/>
  <c r="Q398" i="1"/>
  <c r="Q454" i="1"/>
  <c r="Q510" i="1"/>
  <c r="Q119" i="1"/>
  <c r="Q287" i="1"/>
  <c r="Q371" i="1"/>
  <c r="Q427" i="1"/>
  <c r="Q497" i="1"/>
  <c r="Q553" i="1"/>
  <c r="Q372" i="1"/>
  <c r="Q540" i="1"/>
  <c r="Q235" i="1"/>
  <c r="Q473" i="1"/>
  <c r="Q557" i="1"/>
  <c r="Q12" i="1"/>
  <c r="Q152" i="1"/>
  <c r="Q236" i="1"/>
  <c r="Q292" i="1"/>
  <c r="Q390" i="1"/>
  <c r="Q460" i="1"/>
  <c r="Q544" i="1"/>
  <c r="Q41" i="1"/>
  <c r="Q181" i="1"/>
  <c r="Q293" i="1"/>
  <c r="Q405" i="1"/>
  <c r="Q517" i="1"/>
  <c r="Q70" i="1"/>
  <c r="Q238" i="1"/>
  <c r="Q434" i="1"/>
  <c r="Q546" i="1"/>
  <c r="Q43" i="1"/>
  <c r="Q267" i="1"/>
  <c r="Q365" i="1"/>
  <c r="Q477" i="1"/>
  <c r="Q505" i="1"/>
  <c r="Q575" i="1"/>
  <c r="Q6" i="1"/>
  <c r="Q20" i="1"/>
  <c r="Q34" i="1"/>
  <c r="Q48" i="1"/>
  <c r="Q62" i="1"/>
  <c r="Q90" i="1"/>
  <c r="Q104" i="1"/>
  <c r="Q118" i="1"/>
  <c r="Q132" i="1"/>
  <c r="Q146" i="1"/>
  <c r="Q202" i="1"/>
  <c r="Q230" i="1"/>
  <c r="Q272" i="1"/>
  <c r="Q328" i="1"/>
  <c r="Q566" i="1"/>
  <c r="Q442" i="1"/>
  <c r="Q111" i="1"/>
  <c r="Q489" i="1"/>
  <c r="Q42" i="1"/>
  <c r="Q140" i="1"/>
  <c r="Q336" i="1"/>
  <c r="Q574" i="1"/>
  <c r="Q113" i="1"/>
  <c r="Q211" i="1"/>
  <c r="Q407" i="1"/>
  <c r="Q7" i="1"/>
  <c r="Q21" i="1"/>
  <c r="Q35" i="1"/>
  <c r="Q49" i="1"/>
  <c r="Q63" i="1"/>
  <c r="Q77" i="1"/>
  <c r="Q147" i="1"/>
  <c r="Q161" i="1"/>
  <c r="Q175" i="1"/>
  <c r="Q189" i="1"/>
  <c r="Q203" i="1"/>
  <c r="Q217" i="1"/>
  <c r="Q231" i="1"/>
  <c r="Q329" i="1"/>
  <c r="Q483" i="1"/>
  <c r="Q375" i="1"/>
  <c r="Q96" i="1"/>
  <c r="Q8" i="1"/>
  <c r="Q22" i="1"/>
  <c r="Q36" i="1"/>
  <c r="Q50" i="1"/>
  <c r="Q64" i="1"/>
  <c r="Q78" i="1"/>
  <c r="Q92" i="1"/>
  <c r="Q106" i="1"/>
  <c r="Q120" i="1"/>
  <c r="Q134" i="1"/>
  <c r="Q148" i="1"/>
  <c r="Q162" i="1"/>
  <c r="Q176" i="1"/>
  <c r="Q190" i="1"/>
  <c r="Q204" i="1"/>
  <c r="Q218" i="1"/>
  <c r="Q232" i="1"/>
  <c r="Q246" i="1"/>
  <c r="Q260" i="1"/>
  <c r="Q274" i="1"/>
  <c r="Q288" i="1"/>
  <c r="Q302" i="1"/>
  <c r="Q316" i="1"/>
  <c r="Q330" i="1"/>
  <c r="Q344" i="1"/>
  <c r="Q358" i="1"/>
  <c r="Q428" i="1"/>
  <c r="Q456" i="1"/>
  <c r="Q470" i="1"/>
  <c r="Q484" i="1"/>
  <c r="Q498" i="1"/>
  <c r="Q554" i="1"/>
  <c r="Q291" i="1"/>
  <c r="Q68" i="1"/>
  <c r="Q180" i="1"/>
  <c r="Q334" i="1"/>
  <c r="Q530" i="1"/>
  <c r="Q55" i="1"/>
  <c r="Q125" i="1"/>
  <c r="Q195" i="1"/>
  <c r="Q335" i="1"/>
  <c r="Q503" i="1"/>
  <c r="Q14" i="1"/>
  <c r="Q196" i="1"/>
  <c r="Q350" i="1"/>
  <c r="Q560" i="1"/>
  <c r="Q85" i="1"/>
  <c r="Q197" i="1"/>
  <c r="Q379" i="1"/>
  <c r="Q9" i="1"/>
  <c r="Q23" i="1"/>
  <c r="Q37" i="1"/>
  <c r="Q51" i="1"/>
  <c r="Q65" i="1"/>
  <c r="Q79" i="1"/>
  <c r="Q93" i="1"/>
  <c r="Q107" i="1"/>
  <c r="Q121" i="1"/>
  <c r="Q135" i="1"/>
  <c r="Q149" i="1"/>
  <c r="Q163" i="1"/>
  <c r="Q177" i="1"/>
  <c r="Q191" i="1"/>
  <c r="Q205" i="1"/>
  <c r="Q219" i="1"/>
  <c r="Q233" i="1"/>
  <c r="Q247" i="1"/>
  <c r="Q261" i="1"/>
  <c r="Q275" i="1"/>
  <c r="Q289" i="1"/>
  <c r="Q303" i="1"/>
  <c r="Q317" i="1"/>
  <c r="Q331" i="1"/>
  <c r="Q345" i="1"/>
  <c r="Q359" i="1"/>
  <c r="Q373" i="1"/>
  <c r="Q387" i="1"/>
  <c r="Q401" i="1"/>
  <c r="Q415" i="1"/>
  <c r="Q429" i="1"/>
  <c r="Q443" i="1"/>
  <c r="Q457" i="1"/>
  <c r="Q471" i="1"/>
  <c r="Q485" i="1"/>
  <c r="Q499" i="1"/>
  <c r="Q513" i="1"/>
  <c r="Q527" i="1"/>
  <c r="Q541" i="1"/>
  <c r="Q555" i="1"/>
  <c r="Q569" i="1"/>
  <c r="Q10" i="1"/>
  <c r="Q24" i="1"/>
  <c r="Q38" i="1"/>
  <c r="Q52" i="1"/>
  <c r="Q66" i="1"/>
  <c r="Q80" i="1"/>
  <c r="Q94" i="1"/>
  <c r="Q108" i="1"/>
  <c r="Q136" i="1"/>
  <c r="Q150" i="1"/>
  <c r="Q164" i="1"/>
  <c r="Q178" i="1"/>
  <c r="Q192" i="1"/>
  <c r="Q206" i="1"/>
  <c r="Q220" i="1"/>
  <c r="Q234" i="1"/>
  <c r="Q248" i="1"/>
  <c r="Q262" i="1"/>
  <c r="Q276" i="1"/>
  <c r="Q290" i="1"/>
  <c r="Q304" i="1"/>
  <c r="Q318" i="1"/>
  <c r="Q346" i="1"/>
  <c r="Q360" i="1"/>
  <c r="Q374" i="1"/>
  <c r="Q388" i="1"/>
  <c r="Q402" i="1"/>
  <c r="Q430" i="1"/>
  <c r="Q444" i="1"/>
  <c r="Q458" i="1"/>
  <c r="Q486" i="1"/>
  <c r="Q500" i="1"/>
  <c r="Q514" i="1"/>
  <c r="Q542" i="1"/>
  <c r="Q556" i="1"/>
  <c r="Q570" i="1"/>
  <c r="Q11" i="1"/>
  <c r="Q39" i="1"/>
  <c r="Q67" i="1"/>
  <c r="Q95" i="1"/>
  <c r="Q123" i="1"/>
  <c r="Q137" i="1"/>
  <c r="Q151" i="1"/>
  <c r="Q179" i="1"/>
  <c r="Q249" i="1"/>
  <c r="Q263" i="1"/>
  <c r="Q305" i="1"/>
  <c r="Q319" i="1"/>
  <c r="Q347" i="1"/>
  <c r="Q361" i="1"/>
  <c r="Q403" i="1"/>
  <c r="Q431" i="1"/>
  <c r="Q515" i="1"/>
  <c r="Q571" i="1"/>
  <c r="Q110" i="1"/>
  <c r="Q306" i="1"/>
  <c r="Q432" i="1"/>
  <c r="Q502" i="1"/>
  <c r="Q572" i="1"/>
  <c r="Q27" i="1"/>
  <c r="Q139" i="1"/>
  <c r="Q209" i="1"/>
  <c r="Q279" i="1"/>
  <c r="Q363" i="1"/>
  <c r="Q433" i="1"/>
  <c r="Q545" i="1"/>
  <c r="Q112" i="1"/>
  <c r="Q154" i="1"/>
  <c r="Q252" i="1"/>
  <c r="Q294" i="1"/>
  <c r="Q378" i="1"/>
  <c r="Q462" i="1"/>
  <c r="Q518" i="1"/>
  <c r="Q15" i="1"/>
  <c r="Q169" i="1"/>
  <c r="Q281" i="1"/>
  <c r="Q309" i="1"/>
  <c r="Q435" i="1"/>
  <c r="Q491" i="1"/>
  <c r="Q561" i="1"/>
  <c r="Q122" i="1"/>
  <c r="Q332" i="1"/>
  <c r="Q416" i="1"/>
  <c r="Q472" i="1"/>
  <c r="Q528" i="1"/>
  <c r="Q25" i="1"/>
  <c r="Q53" i="1"/>
  <c r="Q81" i="1"/>
  <c r="Q109" i="1"/>
  <c r="Q165" i="1"/>
  <c r="Q277" i="1"/>
  <c r="Q333" i="1"/>
  <c r="Q389" i="1"/>
  <c r="Q459" i="1"/>
  <c r="Q54" i="1"/>
  <c r="Q194" i="1"/>
  <c r="Q376" i="1"/>
  <c r="Q13" i="1"/>
  <c r="Q153" i="1"/>
  <c r="Q265" i="1"/>
  <c r="Q419" i="1"/>
  <c r="Q28" i="1"/>
  <c r="Q210" i="1"/>
  <c r="Q420" i="1"/>
  <c r="Q99" i="1"/>
  <c r="Q225" i="1"/>
  <c r="Q393" i="1"/>
  <c r="W18" i="11" a="1"/>
  <c r="Y20" i="11" a="1"/>
  <c r="Y26" i="11" a="1"/>
  <c r="Y19" i="11" a="1"/>
  <c r="Y16" i="11" a="1"/>
  <c r="Y21" i="11" a="1"/>
  <c r="Y25" i="11" a="1"/>
  <c r="Y18" i="11" a="1"/>
  <c r="Y24" i="11" a="1"/>
  <c r="Y17" i="11" a="1"/>
  <c r="Y23" i="11" a="1"/>
  <c r="Y22" i="11" a="1"/>
  <c r="AB18" i="11" a="1"/>
  <c r="AB26" i="11" a="1"/>
  <c r="AB19" i="11" a="1"/>
  <c r="AB25" i="11" a="1"/>
  <c r="AB24" i="11" a="1"/>
  <c r="AB17" i="11" a="1"/>
  <c r="AB23" i="11" a="1"/>
  <c r="AB16" i="11" a="1"/>
  <c r="AB22" i="11" a="1"/>
  <c r="AB20" i="11" a="1"/>
  <c r="AB21" i="11" a="1"/>
  <c r="AE26" i="11" a="1"/>
  <c r="AE19" i="11" a="1"/>
  <c r="AE21" i="11" a="1"/>
  <c r="AE20" i="11" a="1"/>
  <c r="AE25" i="11" a="1"/>
  <c r="AE18" i="11" a="1"/>
  <c r="AE24" i="11" a="1"/>
  <c r="AE17" i="11" a="1"/>
  <c r="AE23" i="11" a="1"/>
  <c r="AE16" i="11" a="1"/>
  <c r="AE22" i="11" a="1"/>
  <c r="AH17" i="11" a="1"/>
  <c r="AH24" i="11" a="1"/>
  <c r="AH18" i="11" a="1"/>
  <c r="AH25" i="11" a="1"/>
  <c r="AH23" i="11" a="1"/>
  <c r="AH19" i="11" a="1"/>
  <c r="AH26" i="11" a="1"/>
  <c r="AH20" i="11" a="1"/>
  <c r="AH21" i="11" a="1"/>
  <c r="AH22" i="11" a="1"/>
  <c r="AH16" i="11" a="1"/>
  <c r="AG25" i="11" a="1"/>
  <c r="AF25" i="11" a="1"/>
  <c r="AG22" i="11" a="1"/>
  <c r="AG24" i="11" a="1"/>
  <c r="AF22" i="11" a="1"/>
  <c r="AG17" i="11" a="1"/>
  <c r="AF26" i="11" a="1"/>
  <c r="AF23" i="11" a="1"/>
  <c r="AF18" i="11" a="1"/>
  <c r="AF20" i="11" a="1"/>
  <c r="AG21" i="11" a="1"/>
  <c r="AG18" i="11" a="1"/>
  <c r="AG26" i="11" a="1"/>
  <c r="AF24" i="11" a="1"/>
  <c r="AG19" i="11" a="1"/>
  <c r="AF17" i="11" a="1"/>
  <c r="AF19" i="11" a="1"/>
  <c r="AG23" i="11" a="1"/>
  <c r="AF21" i="11" a="1"/>
  <c r="AG16" i="11" a="1"/>
  <c r="AF16" i="11" a="1"/>
  <c r="AG20" i="11" a="1"/>
  <c r="AD20" i="11" a="1"/>
  <c r="AD24" i="11" a="1"/>
  <c r="AC22" i="11" a="1"/>
  <c r="AD17" i="11" a="1"/>
  <c r="AC17" i="11" a="1"/>
  <c r="AD25" i="11" a="1"/>
  <c r="AC18" i="11" a="1"/>
  <c r="AC24" i="11" a="1"/>
  <c r="AC23" i="11" a="1"/>
  <c r="AD26" i="11" a="1"/>
  <c r="AD19" i="11" a="1"/>
  <c r="AC26" i="11" a="1"/>
  <c r="AD21" i="11" a="1"/>
  <c r="AC19" i="11" a="1"/>
  <c r="AD23" i="11" a="1"/>
  <c r="AC21" i="11" a="1"/>
  <c r="AD16" i="11" a="1"/>
  <c r="AD18" i="11" a="1"/>
  <c r="AC16" i="11" a="1"/>
  <c r="AC25" i="11" a="1"/>
  <c r="AD22" i="11" a="1"/>
  <c r="AC20" i="11" a="1"/>
  <c r="AA24" i="11" a="1"/>
  <c r="Z22" i="11" a="1"/>
  <c r="AA17" i="11" a="1"/>
  <c r="AA26" i="11" a="1"/>
  <c r="Z24" i="11" a="1"/>
  <c r="AA19" i="11" a="1"/>
  <c r="Z17" i="11" a="1"/>
  <c r="AA21" i="11" a="1"/>
  <c r="Z18" i="11" a="1"/>
  <c r="Z19" i="11" a="1"/>
  <c r="AA20" i="11" a="1"/>
  <c r="Z20" i="11" a="1"/>
  <c r="Z26" i="11" a="1"/>
  <c r="AA23" i="11" a="1"/>
  <c r="Z21" i="11" a="1"/>
  <c r="AA16" i="11" a="1"/>
  <c r="Z25" i="11" a="1"/>
  <c r="AA25" i="11" a="1"/>
  <c r="Z23" i="11" a="1"/>
  <c r="AA18" i="11" a="1"/>
  <c r="Z16" i="11" a="1"/>
  <c r="AA22" i="11" a="1"/>
  <c r="X17" i="11" a="1"/>
  <c r="X24" i="11" a="1"/>
  <c r="X22" i="11" a="1"/>
  <c r="X21" i="11" a="1"/>
  <c r="X18" i="11" a="1"/>
  <c r="X25" i="11" a="1"/>
  <c r="X19" i="11" a="1"/>
  <c r="X26" i="11" a="1"/>
  <c r="X23" i="11" a="1"/>
  <c r="X20" i="11" a="1"/>
  <c r="X16" i="11" a="1"/>
  <c r="W17" i="11" a="1"/>
  <c r="W24" i="11" a="1"/>
  <c r="W23" i="11" a="1"/>
  <c r="W25" i="11" a="1"/>
  <c r="W26" i="11" a="1"/>
  <c r="W19" i="11" a="1"/>
  <c r="W20" i="11" a="1"/>
  <c r="W22" i="11" a="1"/>
  <c r="W21" i="11" a="1"/>
  <c r="W16" i="11" a="1"/>
  <c r="B9" i="9"/>
  <c r="B10" i="9"/>
  <c r="B12" i="9"/>
  <c r="B11" i="9"/>
  <c r="W18" i="11" l="1"/>
  <c r="Y22" i="11"/>
  <c r="Y23" i="11"/>
  <c r="Y17" i="11"/>
  <c r="Y24" i="11"/>
  <c r="Y18" i="11"/>
  <c r="Y25" i="11"/>
  <c r="Y21" i="11"/>
  <c r="Y16" i="11"/>
  <c r="Y19" i="11"/>
  <c r="Y26" i="11"/>
  <c r="Y20" i="11"/>
  <c r="AB21" i="11"/>
  <c r="AB20" i="11"/>
  <c r="AB22" i="11"/>
  <c r="AB16" i="11"/>
  <c r="AB23" i="11"/>
  <c r="AB17" i="11"/>
  <c r="AB24" i="11"/>
  <c r="AB25" i="11"/>
  <c r="AB19" i="11"/>
  <c r="AB26" i="11"/>
  <c r="AB18" i="11"/>
  <c r="AE22" i="11"/>
  <c r="AE16" i="11"/>
  <c r="AE23" i="11"/>
  <c r="AE17" i="11"/>
  <c r="AE24" i="11"/>
  <c r="AE18" i="11"/>
  <c r="AE25" i="11"/>
  <c r="AE20" i="11"/>
  <c r="AE21" i="11"/>
  <c r="AE19" i="11"/>
  <c r="AE26" i="11"/>
  <c r="AH22" i="11"/>
  <c r="AH21" i="11"/>
  <c r="AH20" i="11"/>
  <c r="AH26" i="11"/>
  <c r="AH19" i="11"/>
  <c r="AH23" i="11"/>
  <c r="AH25" i="11"/>
  <c r="AH18" i="11"/>
  <c r="AH24" i="11"/>
  <c r="AH17" i="11"/>
  <c r="AH16" i="11"/>
  <c r="AG20" i="11"/>
  <c r="AF16" i="11"/>
  <c r="AG16" i="11"/>
  <c r="AF21" i="11"/>
  <c r="AG23" i="11"/>
  <c r="AF19" i="11"/>
  <c r="AF17" i="11"/>
  <c r="AG19" i="11"/>
  <c r="AF24" i="11"/>
  <c r="AG26" i="11"/>
  <c r="AG18" i="11"/>
  <c r="AG21" i="11"/>
  <c r="AF20" i="11"/>
  <c r="AF18" i="11"/>
  <c r="AF23" i="11"/>
  <c r="AF26" i="11"/>
  <c r="AG17" i="11"/>
  <c r="AF22" i="11"/>
  <c r="AG24" i="11"/>
  <c r="AG22" i="11"/>
  <c r="AF25" i="11"/>
  <c r="AG25" i="11"/>
  <c r="AC20" i="11"/>
  <c r="AD22" i="11"/>
  <c r="AC25" i="11"/>
  <c r="AC16" i="11"/>
  <c r="AD18" i="11"/>
  <c r="AD16" i="11"/>
  <c r="AC21" i="11"/>
  <c r="AD23" i="11"/>
  <c r="AC19" i="11"/>
  <c r="AD21" i="11"/>
  <c r="AC26" i="11"/>
  <c r="AD19" i="11"/>
  <c r="AD26" i="11"/>
  <c r="AC23" i="11"/>
  <c r="AC24" i="11"/>
  <c r="AC18" i="11"/>
  <c r="AD25" i="11"/>
  <c r="AC17" i="11"/>
  <c r="AD17" i="11"/>
  <c r="AC22" i="11"/>
  <c r="AD24" i="11"/>
  <c r="AD20" i="11"/>
  <c r="AA22" i="11"/>
  <c r="Z16" i="11"/>
  <c r="AA18" i="11"/>
  <c r="Z23" i="11"/>
  <c r="AA25" i="11"/>
  <c r="Z25" i="11"/>
  <c r="AA16" i="11"/>
  <c r="Z21" i="11"/>
  <c r="AA23" i="11"/>
  <c r="Z26" i="11"/>
  <c r="Z20" i="11"/>
  <c r="AA20" i="11"/>
  <c r="Z19" i="11"/>
  <c r="Z18" i="11"/>
  <c r="AA21" i="11"/>
  <c r="Z17" i="11"/>
  <c r="AA19" i="11"/>
  <c r="Z24" i="11"/>
  <c r="AA26" i="11"/>
  <c r="AA17" i="11"/>
  <c r="Z22" i="11"/>
  <c r="AA24" i="11"/>
  <c r="X20" i="11"/>
  <c r="X23" i="11"/>
  <c r="X26" i="11"/>
  <c r="X19" i="11"/>
  <c r="X25" i="11"/>
  <c r="X18" i="11"/>
  <c r="X21" i="11"/>
  <c r="X22" i="11"/>
  <c r="X24" i="11"/>
  <c r="X17" i="11"/>
  <c r="X16" i="11"/>
  <c r="W21" i="11"/>
  <c r="W22" i="11"/>
  <c r="W20" i="11"/>
  <c r="W19" i="11"/>
  <c r="W26" i="11"/>
  <c r="W25" i="11"/>
  <c r="W23" i="11"/>
  <c r="W24" i="11"/>
  <c r="W17" i="11"/>
  <c r="W16" i="11"/>
  <c r="V12" i="9"/>
  <c r="Y12" i="9"/>
  <c r="W12" i="9"/>
  <c r="Z12" i="9"/>
  <c r="X12" i="9"/>
  <c r="W11" i="9"/>
  <c r="Y11" i="9"/>
  <c r="X11" i="9"/>
  <c r="Z11" i="9"/>
  <c r="Y10" i="9"/>
  <c r="Z10" i="9"/>
  <c r="Y9" i="9"/>
  <c r="Z9" i="9"/>
  <c r="J12" i="9"/>
  <c r="G12" i="9"/>
  <c r="M12" i="9"/>
  <c r="G11" i="9"/>
  <c r="G10" i="9"/>
  <c r="M10" i="9" s="1"/>
  <c r="G9" i="9"/>
  <c r="AI25" i="11" l="1"/>
  <c r="AI18" i="11"/>
  <c r="AI19" i="11"/>
  <c r="AI24" i="11"/>
  <c r="AI22" i="11"/>
  <c r="AI17" i="11"/>
  <c r="AI26" i="11"/>
  <c r="AI23" i="11"/>
  <c r="AI20" i="11"/>
  <c r="AI21" i="11"/>
  <c r="AI16" i="11"/>
  <c r="U12" i="9"/>
  <c r="S12" i="9"/>
  <c r="Q12" i="9"/>
  <c r="R12" i="9"/>
  <c r="T12" i="9"/>
  <c r="P12" i="9"/>
  <c r="J9" i="9"/>
  <c r="M9" i="9"/>
  <c r="J11" i="9"/>
  <c r="M11" i="9"/>
  <c r="J10" i="9"/>
  <c r="Q10" i="9" s="1"/>
  <c r="P9" i="9" l="1"/>
  <c r="P11" i="9"/>
  <c r="P10" i="9"/>
  <c r="X9" i="9"/>
  <c r="W9" i="9"/>
  <c r="T11" i="9"/>
  <c r="R11" i="9"/>
  <c r="Q11" i="9"/>
  <c r="X10" i="9"/>
  <c r="V10" i="9"/>
  <c r="W10" i="9"/>
  <c r="U10" i="9"/>
  <c r="R10" i="9"/>
  <c r="T10" i="9"/>
  <c r="V11" i="9"/>
  <c r="S11" i="9"/>
  <c r="S10" i="9"/>
  <c r="U11" i="9"/>
  <c r="S9" i="9"/>
  <c r="U9" i="9"/>
  <c r="R9" i="9"/>
  <c r="T9" i="9"/>
  <c r="V9" i="9"/>
  <c r="Q9" i="9"/>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<sst xmlns="http://schemas.openxmlformats.org/spreadsheetml/2006/main" count="3386" uniqueCount="1116">
  <si>
    <t>No.overall</t>
  </si>
  <si>
    <t>No. inseason</t>
  </si>
  <si>
    <t>Title</t>
  </si>
  <si>
    <t>Directed by</t>
  </si>
  <si>
    <t>Written by</t>
  </si>
  <si>
    <t>Prod.code</t>
  </si>
  <si>
    <t>U.S. viewers(millions)</t>
  </si>
  <si>
    <t>"Pilot"</t>
  </si>
  <si>
    <t>Adam Bernstein</t>
  </si>
  <si>
    <t>Tina Fey</t>
  </si>
  <si>
    <t>"The Aftermath"</t>
  </si>
  <si>
    <t>"Blind Date"</t>
  </si>
  <si>
    <t>John Riggi</t>
  </si>
  <si>
    <t>"Jack the Writer"</t>
  </si>
  <si>
    <t>Gail Mancuso</t>
  </si>
  <si>
    <t>Robert Carlock</t>
  </si>
  <si>
    <t>"Jack-Tor"</t>
  </si>
  <si>
    <t>Don Scardino</t>
  </si>
  <si>
    <t>"Jack Meets Dennis"</t>
  </si>
  <si>
    <t>Juan J. Campanella</t>
  </si>
  <si>
    <t>Jack Burditt</t>
  </si>
  <si>
    <t>"Tracy Does Conan"</t>
  </si>
  <si>
    <t>"The Break-Up"</t>
  </si>
  <si>
    <t>Scott Ellis</t>
  </si>
  <si>
    <t>Dave Finkel &amp; Brett Baer</t>
  </si>
  <si>
    <t>"The Baby Show"</t>
  </si>
  <si>
    <t>Michael Engler</t>
  </si>
  <si>
    <t>"The Rural Juror"</t>
  </si>
  <si>
    <t>Beth McCarthy</t>
  </si>
  <si>
    <t>Matt Hubbard</t>
  </si>
  <si>
    <t>"The Head and the Hair"</t>
  </si>
  <si>
    <t>Tina Fey &amp; John Riggi</t>
  </si>
  <si>
    <t>"Black Tie"</t>
  </si>
  <si>
    <t>Kay Cannon &amp; Tina Fey</t>
  </si>
  <si>
    <t>"Up All Night"</t>
  </si>
  <si>
    <t>"The C Word"</t>
  </si>
  <si>
    <t>"Hard Ball"</t>
  </si>
  <si>
    <t>"The Source Awards"</t>
  </si>
  <si>
    <t>Robert Carlock &amp; Daisy Gardner</t>
  </si>
  <si>
    <t>"The Fighting Irish"</t>
  </si>
  <si>
    <t>Dennie Gordon</t>
  </si>
  <si>
    <t>"Fireworks"</t>
  </si>
  <si>
    <t>"Corporate Crush"</t>
  </si>
  <si>
    <t>"Cleveland"</t>
  </si>
  <si>
    <t>Paul Feig</t>
  </si>
  <si>
    <t>Jack Burditt &amp; Robert Carlock</t>
  </si>
  <si>
    <t>"Hiatus"</t>
  </si>
  <si>
    <t>"SeinfeldVision"</t>
  </si>
  <si>
    <t>"Jack Gets in the Game"</t>
  </si>
  <si>
    <t>"The Collection"</t>
  </si>
  <si>
    <t>"Rosemary's Baby"</t>
  </si>
  <si>
    <t>"Greenzo"</t>
  </si>
  <si>
    <t>Jon Pollack</t>
  </si>
  <si>
    <t>"Somebody to Love"</t>
  </si>
  <si>
    <t>Tina Fey &amp; Kay Cannon</t>
  </si>
  <si>
    <t>"Cougars"</t>
  </si>
  <si>
    <t>"Secrets and Lies"</t>
  </si>
  <si>
    <t>Ron Weiner</t>
  </si>
  <si>
    <t>"Ludachristmas"</t>
  </si>
  <si>
    <t>Tami Sagher</t>
  </si>
  <si>
    <t>Episode 210</t>
  </si>
  <si>
    <t>Richard Shepard</t>
  </si>
  <si>
    <t>Robert Carlock &amp; Donald Glover</t>
  </si>
  <si>
    <t>"MILF Island"</t>
  </si>
  <si>
    <t>Kevin Rodney Sullivan</t>
  </si>
  <si>
    <t>Tina Fey &amp; Matt Hubbard</t>
  </si>
  <si>
    <t>"Subway Hero"</t>
  </si>
  <si>
    <t>"Succession"</t>
  </si>
  <si>
    <t>Andrew Guest &amp; John Riggi</t>
  </si>
  <si>
    <t>"Sandwich Day"</t>
  </si>
  <si>
    <t>Robert Carlock &amp; Jack Burditt</t>
  </si>
  <si>
    <t>"Cooter"</t>
  </si>
  <si>
    <t>"Do-Over"</t>
  </si>
  <si>
    <t>"Believe in the Stars"</t>
  </si>
  <si>
    <t>"The One with the Cast of Night Court"</t>
  </si>
  <si>
    <t>"Gavin Volure"</t>
  </si>
  <si>
    <t>"Reunion"</t>
  </si>
  <si>
    <t>"Christmas Special"</t>
  </si>
  <si>
    <t>"Se√±or Macho Solo"</t>
  </si>
  <si>
    <t>"Flu Shot"</t>
  </si>
  <si>
    <t>"Retreat to Move Forward"</t>
  </si>
  <si>
    <t>Steve Buscemi</t>
  </si>
  <si>
    <t>"Generalissimo"</t>
  </si>
  <si>
    <t>Todd Holland</t>
  </si>
  <si>
    <t>"St. Valentine's Day"</t>
  </si>
  <si>
    <t>Jack Burditt &amp; Tina Fey</t>
  </si>
  <si>
    <t>"Larry King"</t>
  </si>
  <si>
    <t>Constantine Makris</t>
  </si>
  <si>
    <t>"Goodbye, My Friend"</t>
  </si>
  <si>
    <t>"The Funcooker"</t>
  </si>
  <si>
    <t>Ken Whittingham</t>
  </si>
  <si>
    <t>Donald Glover &amp; Tom Ceraulo</t>
  </si>
  <si>
    <t>"The Bubble"</t>
  </si>
  <si>
    <t>Tricia Brock</t>
  </si>
  <si>
    <t>"Apollo, Apollo"</t>
  </si>
  <si>
    <t>Millicent Shelton</t>
  </si>
  <si>
    <t>"Cutbacks"</t>
  </si>
  <si>
    <t>"Jackie Jormp-Jomp"</t>
  </si>
  <si>
    <t>Kay Cannon &amp; Tracey Wigfield</t>
  </si>
  <si>
    <t>"The Ones"</t>
  </si>
  <si>
    <t>"The Natural Order"</t>
  </si>
  <si>
    <t>John Riggi &amp; Tina Fey</t>
  </si>
  <si>
    <t>"Mamma Mia"</t>
  </si>
  <si>
    <t>"Kidney Now!"</t>
  </si>
  <si>
    <t>"Season 4"</t>
  </si>
  <si>
    <t>"Into the Crevasse"</t>
  </si>
  <si>
    <t>Beth McCarthy Miller</t>
  </si>
  <si>
    <t>"Stone Mountain"</t>
  </si>
  <si>
    <t>"Audition Day"</t>
  </si>
  <si>
    <t>"The Problem Solvers"</t>
  </si>
  <si>
    <t>"Sun Tea"</t>
  </si>
  <si>
    <t>Josh Siegal &amp; Dylan Morgan</t>
  </si>
  <si>
    <t>"Dealbreakers Talk Show #0001"</t>
  </si>
  <si>
    <t>Kay Cannon</t>
  </si>
  <si>
    <t>"Secret Santa"</t>
  </si>
  <si>
    <t>"Klaus and Greta"</t>
  </si>
  <si>
    <t>"Black Light Attack!"</t>
  </si>
  <si>
    <t>Steve Hely</t>
  </si>
  <si>
    <t>"Winter Madness"</t>
  </si>
  <si>
    <t>Vali Chandrasekaran &amp; Tom Ceraulo</t>
  </si>
  <si>
    <t>"Verna"</t>
  </si>
  <si>
    <t>"Anna Howard Shaw Day"</t>
  </si>
  <si>
    <t>"Future Husband"</t>
  </si>
  <si>
    <t>Tracey Wigfield &amp; Jon Haller</t>
  </si>
  <si>
    <t>"Don Geiss, America and Hope"</t>
  </si>
  <si>
    <t>Stephen Lee Davis</t>
  </si>
  <si>
    <t>Jack Burditt &amp; Tracey Wigfield</t>
  </si>
  <si>
    <t>"Floyd"</t>
  </si>
  <si>
    <t>Paula Pell</t>
  </si>
  <si>
    <t>"Lee Marvin vs. Derek Jeter"</t>
  </si>
  <si>
    <t>"Khonani"</t>
  </si>
  <si>
    <t>Vali Chandrasekaran</t>
  </si>
  <si>
    <t>"Argus"</t>
  </si>
  <si>
    <t>Jeff Richmond</t>
  </si>
  <si>
    <t>Josh Siegal, Dylan Morgan &amp; Paula Pell</t>
  </si>
  <si>
    <t>"The Moms"</t>
  </si>
  <si>
    <t>Kay Cannon &amp; Robert Carlock</t>
  </si>
  <si>
    <t>"Emanuelle Goes to Dinosaur Land"</t>
  </si>
  <si>
    <t>"I Do Do"</t>
  </si>
  <si>
    <t>"The Fabian Strategy"</t>
  </si>
  <si>
    <t>Beth McCarthy-Miller</t>
  </si>
  <si>
    <t>"When It Rains, It Pours"</t>
  </si>
  <si>
    <t>"Let's Stay Together"</t>
  </si>
  <si>
    <t>"Live Show"</t>
  </si>
  <si>
    <t>Robert Carlock &amp; Tina Fey</t>
  </si>
  <si>
    <t>"Reaganing"</t>
  </si>
  <si>
    <t>"Gentleman's Intermission"</t>
  </si>
  <si>
    <t>"Brooklyn Without Limits"</t>
  </si>
  <si>
    <t>"College"</t>
  </si>
  <si>
    <t>"Chain Reaction of Mental Anguish"</t>
  </si>
  <si>
    <t>"Christmas Attack Zone"</t>
  </si>
  <si>
    <t>Tracey Wigfield</t>
  </si>
  <si>
    <t>"Mrs. Donaghy"</t>
  </si>
  <si>
    <t>"Operation Righteous Cowboy Lightning"</t>
  </si>
  <si>
    <t>"Double-Edged Sword"</t>
  </si>
  <si>
    <t>Kay Cannon &amp; Tom Ceraulo</t>
  </si>
  <si>
    <t>"It's Never Too Late for Now"</t>
  </si>
  <si>
    <t>"TGS Hates Women"</t>
  </si>
  <si>
    <t>"Queen of Jordan"</t>
  </si>
  <si>
    <t>"Plan B"</t>
  </si>
  <si>
    <t>"I Heart Connecticut"</t>
  </si>
  <si>
    <t>Vali Chandrasekaran &amp; Jon Haller</t>
  </si>
  <si>
    <t>"100"</t>
  </si>
  <si>
    <t>Jack Burditt, Robert Carlock &amp; Tina Fey</t>
  </si>
  <si>
    <t>"Everything Sunny All the Time Always"</t>
  </si>
  <si>
    <t>Kay Cannon &amp; Matt Hubbard</t>
  </si>
  <si>
    <t>"Respawn"</t>
  </si>
  <si>
    <t>Hannibal Buress &amp; Ron Weiner</t>
  </si>
  <si>
    <t>"Dance Like Nobody's Watching"</t>
  </si>
  <si>
    <t>Tina Fey &amp; Tracey Wigfield</t>
  </si>
  <si>
    <t>"Idiots Are People Two!"</t>
  </si>
  <si>
    <t>"Idiots Are People Three!"</t>
  </si>
  <si>
    <t>"The Ballad of Kenneth Parcell"</t>
  </si>
  <si>
    <t>"Today You Are a Man"</t>
  </si>
  <si>
    <t>"Hey, Baby, What's Wrong"</t>
  </si>
  <si>
    <t>"The Tuxedo Begins"</t>
  </si>
  <si>
    <t>Dylan Morgan &amp; Josh Siegal</t>
  </si>
  <si>
    <t>"Leap Day"</t>
  </si>
  <si>
    <t>Luke Del Tredici</t>
  </si>
  <si>
    <t>"Alexis Goodlooking and the Case of the Missing Whisky"</t>
  </si>
  <si>
    <t>Michael Slovis</t>
  </si>
  <si>
    <t>"Standards and Practices"</t>
  </si>
  <si>
    <t>"St. Patrick's Day"</t>
  </si>
  <si>
    <t>Colleen McGuinness</t>
  </si>
  <si>
    <t>"Grandmentor"</t>
  </si>
  <si>
    <t>Sam Means</t>
  </si>
  <si>
    <t>"Kidnapped by Danger"</t>
  </si>
  <si>
    <t>Claire Cowperthwaite</t>
  </si>
  <si>
    <t>"The Shower Principle"</t>
  </si>
  <si>
    <t>Tom Ceraulo</t>
  </si>
  <si>
    <t>"Nothing Left to Lose"</t>
  </si>
  <si>
    <t>Lauren Gurganous &amp; Nina Pedrad</t>
  </si>
  <si>
    <t>"Meet the Woggels!"</t>
  </si>
  <si>
    <t>Linda Mendoza</t>
  </si>
  <si>
    <t>"Murphy Brown Lied to Us"</t>
  </si>
  <si>
    <t>Robert Carlock &amp; Vali Chandrasekaran</t>
  </si>
  <si>
    <t>"Live from Studio 6H"</t>
  </si>
  <si>
    <t>"Queen of Jordan 2: Mystery of the Phantom Pooper"</t>
  </si>
  <si>
    <t>Luke Del Tredici &amp; Tracey Wigfield</t>
  </si>
  <si>
    <t>"The Return of Avery Jessup"</t>
  </si>
  <si>
    <t>"What Will Happen to the Gang Next Year?"</t>
  </si>
  <si>
    <t>"The Beginning of the End"</t>
  </si>
  <si>
    <t>"Governor Dunston"</t>
  </si>
  <si>
    <t>"Stride of Pride"</t>
  </si>
  <si>
    <t>"Unwindulax"</t>
  </si>
  <si>
    <t>James E. Sheridan</t>
  </si>
  <si>
    <t>"There's No I in America"</t>
  </si>
  <si>
    <t>"Aunt Phatso vs. Jack Donaghy"</t>
  </si>
  <si>
    <t>"Mazel Tov, Dummies!"</t>
  </si>
  <si>
    <t>"My Whole Life Is Thunder"</t>
  </si>
  <si>
    <t>Jack Burditt &amp; Colleen McGuinness</t>
  </si>
  <si>
    <t>"Game Over"</t>
  </si>
  <si>
    <t>Robert Carlock &amp; Sam Means</t>
  </si>
  <si>
    <t>"Florida"</t>
  </si>
  <si>
    <t>Tom Ceraulo &amp; Matt Hubbard</t>
  </si>
  <si>
    <t>"A Goon's Deed in a Weary World"</t>
  </si>
  <si>
    <t>Lang Fisher &amp; Nina Pedrad</t>
  </si>
  <si>
    <t>"Hogcock!"</t>
  </si>
  <si>
    <t>"Last Lunch"</t>
  </si>
  <si>
    <t>Season 1</t>
  </si>
  <si>
    <t>Season 2</t>
  </si>
  <si>
    <t>Season 3</t>
  </si>
  <si>
    <t>Season 4</t>
  </si>
  <si>
    <t>Season 5</t>
  </si>
  <si>
    <t>Season 6</t>
  </si>
  <si>
    <t>Season 7</t>
  </si>
  <si>
    <t>Season 8</t>
  </si>
  <si>
    <t>Season 9</t>
  </si>
  <si>
    <t>30 Rock</t>
  </si>
  <si>
    <t>Ken Kwapis</t>
  </si>
  <si>
    <t>Ricky Gervais &amp; Stephen Merchant and Greg Daniels</t>
  </si>
  <si>
    <t>"Diversity Day"</t>
  </si>
  <si>
    <t>B. J. Novak</t>
  </si>
  <si>
    <t>"Health Care"</t>
  </si>
  <si>
    <t>Paul Lieberstein</t>
  </si>
  <si>
    <t>"The Alliance"</t>
  </si>
  <si>
    <t>Bryan Gordon</t>
  </si>
  <si>
    <t>Michael Schur</t>
  </si>
  <si>
    <t>"Basketball"</t>
  </si>
  <si>
    <t>Greg Daniels</t>
  </si>
  <si>
    <t>"Hot Girl"</t>
  </si>
  <si>
    <t>Amy Heckerling</t>
  </si>
  <si>
    <t>Mindy Kaling</t>
  </si>
  <si>
    <t>The Office</t>
  </si>
  <si>
    <t>"The Dundies"</t>
  </si>
  <si>
    <t>"Sexual Harassment"</t>
  </si>
  <si>
    <t>"Office Olympics"</t>
  </si>
  <si>
    <t>"The Fire"</t>
  </si>
  <si>
    <t>"Halloween"</t>
  </si>
  <si>
    <t>"The Fight"</t>
  </si>
  <si>
    <t>Gene Stupnitsky &amp; Lee Eisenberg</t>
  </si>
  <si>
    <t>"The Client"</t>
  </si>
  <si>
    <t>"Performance Review"</t>
  </si>
  <si>
    <t>Larry Wilmore</t>
  </si>
  <si>
    <t>"Email Surveillance"</t>
  </si>
  <si>
    <t>Jennifer Celotta</t>
  </si>
  <si>
    <t>"Christmas Party"</t>
  </si>
  <si>
    <t>Charles McDougall</t>
  </si>
  <si>
    <t>"Booze Cruise"</t>
  </si>
  <si>
    <t>"The Injury"</t>
  </si>
  <si>
    <t>"The Secret"</t>
  </si>
  <si>
    <t>Lee Eisenberg &amp; Gene Stupnitsky</t>
  </si>
  <si>
    <t>"The Carpet"</t>
  </si>
  <si>
    <t>Victor Nelli, Jr.</t>
  </si>
  <si>
    <t>"Boys and Girls"</t>
  </si>
  <si>
    <t>"Valentine's Day"</t>
  </si>
  <si>
    <t>"Dwight's Speech"</t>
  </si>
  <si>
    <t>"Take Your Daughter to Work Day"</t>
  </si>
  <si>
    <t>"Michael's Birthday"</t>
  </si>
  <si>
    <t>"Drug Testing"</t>
  </si>
  <si>
    <t>"Conflict Resolution"</t>
  </si>
  <si>
    <t>Steve Carell</t>
  </si>
  <si>
    <t>"Casino Night"</t>
  </si>
  <si>
    <t>"Gay Witch Hunt"</t>
  </si>
  <si>
    <t>"The Convention"</t>
  </si>
  <si>
    <t>"The Coup"</t>
  </si>
  <si>
    <t>"Grief Counseling"</t>
  </si>
  <si>
    <t>Roger Nygard</t>
  </si>
  <si>
    <t>"Initiation"</t>
  </si>
  <si>
    <t>Randall Einhorn</t>
  </si>
  <si>
    <t>"Diwali"</t>
  </si>
  <si>
    <t>Miguel Arteta</t>
  </si>
  <si>
    <t>"Branch Closing"</t>
  </si>
  <si>
    <t>Tucker Gates</t>
  </si>
  <si>
    <t>Brent Forrester</t>
  </si>
  <si>
    <t>"The Convict"</t>
  </si>
  <si>
    <t>Jeffrey Blitz</t>
  </si>
  <si>
    <t>Ricky Gervais &amp; Stephen Merchant</t>
  </si>
  <si>
    <t>Harold Ramis</t>
  </si>
  <si>
    <t>"Back from Vacation"</t>
  </si>
  <si>
    <t>Julian Farino</t>
  </si>
  <si>
    <t>Justin Spitzer</t>
  </si>
  <si>
    <t>"Traveling Salesmen"</t>
  </si>
  <si>
    <t>Michael Schur &amp; Lee Eisenberg &amp; Gene Stupnitsky</t>
  </si>
  <si>
    <t>Lee Eisenberg &amp; Gene Stupnitsky &amp; Michael Schur</t>
  </si>
  <si>
    <t>"Ben Franklin"</t>
  </si>
  <si>
    <t>"Phyllis' Wedding"</t>
  </si>
  <si>
    <t>Caroline Williams</t>
  </si>
  <si>
    <t>"Business School"</t>
  </si>
  <si>
    <t>Joss Whedon</t>
  </si>
  <si>
    <t>"Cocktails"</t>
  </si>
  <si>
    <t>J. J. Abrams</t>
  </si>
  <si>
    <t>"Safety Training"</t>
  </si>
  <si>
    <t>"Product Recall"</t>
  </si>
  <si>
    <t>Justin Spitzer &amp; Brent Forrester</t>
  </si>
  <si>
    <t>Jennifer Celotta &amp; Greg Daniels</t>
  </si>
  <si>
    <t>Paul Lieberstein &amp; Michael Schur</t>
  </si>
  <si>
    <t>"The Job"</t>
  </si>
  <si>
    <t>"A Benihana Christmas"</t>
  </si>
  <si>
    <t>"The Return"</t>
  </si>
  <si>
    <t>"The Negotiation"</t>
  </si>
  <si>
    <t>"Women's Appreciation"</t>
  </si>
  <si>
    <t>"Beach Games"</t>
  </si>
  <si>
    <t>"The Merger"</t>
  </si>
  <si>
    <t>Craig Zisk</t>
  </si>
  <si>
    <t>"Local Ad"</t>
  </si>
  <si>
    <t>Jason Reitman</t>
  </si>
  <si>
    <t>"Branch Wars"</t>
  </si>
  <si>
    <t>"Survivor Man"</t>
  </si>
  <si>
    <t>"The Deposition"</t>
  </si>
  <si>
    <t>Lester Lewis</t>
  </si>
  <si>
    <t>"Dinner Party"</t>
  </si>
  <si>
    <t>"Chair Model"</t>
  </si>
  <si>
    <t>"Night Out"</t>
  </si>
  <si>
    <t>"Did I Stutter?"</t>
  </si>
  <si>
    <t>Brent Forrester &amp; Justin Spitzer</t>
  </si>
  <si>
    <t>"Job Fair"</t>
  </si>
  <si>
    <t>Jennifer Celotta &amp; Paul Lieberstein</t>
  </si>
  <si>
    <t>"Money"</t>
  </si>
  <si>
    <t>"Launch Party"</t>
  </si>
  <si>
    <t>"Dunder Mifflin Infinity"</t>
  </si>
  <si>
    <t>"Fun Run"</t>
  </si>
  <si>
    <t>"Business Ethics"</t>
  </si>
  <si>
    <t>Ryan Koh</t>
  </si>
  <si>
    <t>"Baby Shower"</t>
  </si>
  <si>
    <t>Aaron Shure</t>
  </si>
  <si>
    <t>"Crime Aid"</t>
  </si>
  <si>
    <t>Charlie Grandy</t>
  </si>
  <si>
    <t>"Employee Transfer"</t>
  </si>
  <si>
    <t>David Rogers</t>
  </si>
  <si>
    <t>Anthony Q. Farrell</t>
  </si>
  <si>
    <t>"Customer Survey"</t>
  </si>
  <si>
    <t>Stephen Merchant</t>
  </si>
  <si>
    <t>"Business Trip"</t>
  </si>
  <si>
    <t>"Frame Toby"</t>
  </si>
  <si>
    <t>"The Surplus"</t>
  </si>
  <si>
    <t>"Moroccan Christmas"</t>
  </si>
  <si>
    <t>"The Duel"</t>
  </si>
  <si>
    <t>Dean Holland</t>
  </si>
  <si>
    <t>"Prince Family Paper"</t>
  </si>
  <si>
    <t>Asaad Kelada</t>
  </si>
  <si>
    <t>"Lecture Circuit: Part 1"</t>
  </si>
  <si>
    <t>"Lecture Circuit: Part 2"</t>
  </si>
  <si>
    <t>"Blood Drive"</t>
  </si>
  <si>
    <t>"Golden Ticket"</t>
  </si>
  <si>
    <t>"New Boss"</t>
  </si>
  <si>
    <t>"Two Weeks"</t>
  </si>
  <si>
    <t>"Dream Team"</t>
  </si>
  <si>
    <t>"Michael Scott Paper Company"</t>
  </si>
  <si>
    <t>Gene Stupnitsky</t>
  </si>
  <si>
    <t>"Heavy Competition"</t>
  </si>
  <si>
    <t>"Broke"</t>
  </si>
  <si>
    <t>"Casual Friday"</t>
  </si>
  <si>
    <t>"Cafe Disco"</t>
  </si>
  <si>
    <t>Warren Lieberstein &amp; Halsted Sullivan</t>
  </si>
  <si>
    <t>"Company Picnic"</t>
  </si>
  <si>
    <t>"Gossip"</t>
  </si>
  <si>
    <t>"The Meeting"</t>
  </si>
  <si>
    <t>"The Promotion"</t>
  </si>
  <si>
    <t>Greg Daniels &amp; Mindy Kaling</t>
  </si>
  <si>
    <t>"Mafia"</t>
  </si>
  <si>
    <t>"The Lover"</t>
  </si>
  <si>
    <t>Lee Eisenberg</t>
  </si>
  <si>
    <t>"Koi Pond"</t>
  </si>
  <si>
    <t>Reggie Hudlin</t>
  </si>
  <si>
    <t>"Double Date"</t>
  </si>
  <si>
    <t>Seth Gordon</t>
  </si>
  <si>
    <t>"Murder"</t>
  </si>
  <si>
    <t>Daniel Chun</t>
  </si>
  <si>
    <t>"Shareholder Meeting"</t>
  </si>
  <si>
    <t>"Scott's Tots"</t>
  </si>
  <si>
    <t>"The Banker"</t>
  </si>
  <si>
    <t>Jason Kessler</t>
  </si>
  <si>
    <t>"Sabre"</t>
  </si>
  <si>
    <t>John Krasinski</t>
  </si>
  <si>
    <t>"The Manager and the Salesman"</t>
  </si>
  <si>
    <t>Marc Webb</t>
  </si>
  <si>
    <t>Jonathan Hughes</t>
  </si>
  <si>
    <t>"New Leads"</t>
  </si>
  <si>
    <t>"Happy Hour"</t>
  </si>
  <si>
    <t>Matt Sohn</t>
  </si>
  <si>
    <t>"Secretary's Day"</t>
  </si>
  <si>
    <t>"Body Language"</t>
  </si>
  <si>
    <t>"The Cover-Up"</t>
  </si>
  <si>
    <t>Rainn Wilson</t>
  </si>
  <si>
    <t>"The Chump"</t>
  </si>
  <si>
    <t>"Whistleblower"</t>
  </si>
  <si>
    <t>"Nepotism"</t>
  </si>
  <si>
    <t>"Counseling"</t>
  </si>
  <si>
    <t>"Andy's Play"</t>
  </si>
  <si>
    <t>John Stuart Scott</t>
  </si>
  <si>
    <t>"Sex Ed"</t>
  </si>
  <si>
    <t>"The Sting"</t>
  </si>
  <si>
    <t>"Costume Contest"</t>
  </si>
  <si>
    <t>"Christening"</t>
  </si>
  <si>
    <t>Alex Hardcastle</t>
  </si>
  <si>
    <t>Peter Ocko</t>
  </si>
  <si>
    <t>"Viewing Party"</t>
  </si>
  <si>
    <t>Jon Vitti</t>
  </si>
  <si>
    <t>"WUPHF.com"</t>
  </si>
  <si>
    <t>Danny Leiner</t>
  </si>
  <si>
    <t>"China"</t>
  </si>
  <si>
    <t>Halsted Sullivan &amp; Warren Lieberstein</t>
  </si>
  <si>
    <t>"Ultimatum"</t>
  </si>
  <si>
    <t>Carrie Kemper</t>
  </si>
  <si>
    <t>"The Seminar"</t>
  </si>
  <si>
    <t>"The Search"</t>
  </si>
  <si>
    <t>Michael Spiller</t>
  </si>
  <si>
    <t>"PDA"</t>
  </si>
  <si>
    <t>Robert Padnick</t>
  </si>
  <si>
    <t>"Threat Level Midnight"</t>
  </si>
  <si>
    <t>"Todd Packer"</t>
  </si>
  <si>
    <t>Amelie Gillette</t>
  </si>
  <si>
    <t>"Garage Sale"</t>
  </si>
  <si>
    <t>"Training Day"</t>
  </si>
  <si>
    <t>"Michael's Last Dundies"</t>
  </si>
  <si>
    <t>"The Inner Circle"</t>
  </si>
  <si>
    <t>"Dwight K. Schrute, (Acting) Manager"</t>
  </si>
  <si>
    <t>Troy Miller</t>
  </si>
  <si>
    <t>"The List"</t>
  </si>
  <si>
    <t>"The Incentive"</t>
  </si>
  <si>
    <t>"Lotto"</t>
  </si>
  <si>
    <t>"Garden Party"</t>
  </si>
  <si>
    <t>"Spooked"</t>
  </si>
  <si>
    <t>"Doomsday"</t>
  </si>
  <si>
    <t>"Pam's Replacement"</t>
  </si>
  <si>
    <t>Allison Silverman</t>
  </si>
  <si>
    <t>"Gettysburg"</t>
  </si>
  <si>
    <t>"Mrs. California"</t>
  </si>
  <si>
    <t>Dan Greaney</t>
  </si>
  <si>
    <t>"Christmas Wishes"</t>
  </si>
  <si>
    <t>Ed Helms</t>
  </si>
  <si>
    <t>"Trivia"</t>
  </si>
  <si>
    <t>"Pool Party"</t>
  </si>
  <si>
    <t>Owen Ellickson</t>
  </si>
  <si>
    <t>"Jury Duty"</t>
  </si>
  <si>
    <t>Eric Appel</t>
  </si>
  <si>
    <t>"Special Project"</t>
  </si>
  <si>
    <t>"Tallahassee"</t>
  </si>
  <si>
    <t>"After Hours"</t>
  </si>
  <si>
    <t>Brian Baumgartner</t>
  </si>
  <si>
    <t>"Test the Store"</t>
  </si>
  <si>
    <t>"Last Day in Florida"</t>
  </si>
  <si>
    <t>"Get the Girl"</t>
  </si>
  <si>
    <t>"Welcome Party"</t>
  </si>
  <si>
    <t>"Angry Andy"</t>
  </si>
  <si>
    <t>Claire Scanlon</t>
  </si>
  <si>
    <t>"Fundraiser"</t>
  </si>
  <si>
    <t>"Turf War"</t>
  </si>
  <si>
    <t>"Free Family Portrait Studio"</t>
  </si>
  <si>
    <t>"New Guys"</t>
  </si>
  <si>
    <t>"Roy's Wedding"</t>
  </si>
  <si>
    <t>"Andy's Ancestry"</t>
  </si>
  <si>
    <t>Jonathan Green &amp; Gabe Miller</t>
  </si>
  <si>
    <t>"Work Bus"</t>
  </si>
  <si>
    <t>Bryan Cranston</t>
  </si>
  <si>
    <t>"Here Comes Treble"</t>
  </si>
  <si>
    <t>"The Boat"</t>
  </si>
  <si>
    <t>Dan Sterling</t>
  </si>
  <si>
    <t>"The Whale"</t>
  </si>
  <si>
    <t>Rodman Flender</t>
  </si>
  <si>
    <t>"The Target"</t>
  </si>
  <si>
    <t>Graham Wagner</t>
  </si>
  <si>
    <t>"Dwight Christmas"</t>
  </si>
  <si>
    <t>"Lice"</t>
  </si>
  <si>
    <t>Niki Schwartz-Wright</t>
  </si>
  <si>
    <t>"Suit Warehouse"</t>
  </si>
  <si>
    <t>"Customer Loyalty"</t>
  </si>
  <si>
    <t>Kelly Cantley</t>
  </si>
  <si>
    <t>"Junior Salesman"</t>
  </si>
  <si>
    <t>"Vandalism"</t>
  </si>
  <si>
    <t>Lee Kirk</t>
  </si>
  <si>
    <t>"Couples Discount"</t>
  </si>
  <si>
    <t>Jon Favreau</t>
  </si>
  <si>
    <t>"The Farm"</t>
  </si>
  <si>
    <t>"Promos"</t>
  </si>
  <si>
    <t>Tim McAuliffe</t>
  </si>
  <si>
    <t>"Stairmageddon"</t>
  </si>
  <si>
    <t>"Paper Airplane"</t>
  </si>
  <si>
    <t>Jesse Peretz</t>
  </si>
  <si>
    <t>"Finale"*</t>
  </si>
  <si>
    <t>"Goodbye, Toby"</t>
  </si>
  <si>
    <t>"Weight Loss"</t>
  </si>
  <si>
    <t>"Stress Relief"</t>
  </si>
  <si>
    <t>"Niagara"</t>
  </si>
  <si>
    <t>"The Delivery"</t>
  </si>
  <si>
    <t>"Classy Christmas"</t>
  </si>
  <si>
    <t>"Goodbye, Michael"</t>
  </si>
  <si>
    <t>"Search Committee"</t>
  </si>
  <si>
    <t>"Moving On"</t>
  </si>
  <si>
    <t>"Livin' the Dream"</t>
  </si>
  <si>
    <t>"A.A.R.M."</t>
  </si>
  <si>
    <t>Seth Gordon Harold Ramis</t>
  </si>
  <si>
    <t>Daniel Chun Charlie Grandy</t>
  </si>
  <si>
    <t>Season</t>
  </si>
  <si>
    <t>Show</t>
  </si>
  <si>
    <t>Originally Aired</t>
  </si>
  <si>
    <t>Anthony Russo &amp; Joe Russo</t>
  </si>
  <si>
    <t>Dan Harmon</t>
  </si>
  <si>
    <t>"Spanish 101"</t>
  </si>
  <si>
    <t>Joe Russo</t>
  </si>
  <si>
    <t>"Introduction to Film"</t>
  </si>
  <si>
    <t>Anthony Russo</t>
  </si>
  <si>
    <t>Tim Hobert &amp; Jon Pollack</t>
  </si>
  <si>
    <t>"Social Psychology"</t>
  </si>
  <si>
    <t>Liz Cackowski</t>
  </si>
  <si>
    <t>"Advanced Criminal Law"</t>
  </si>
  <si>
    <t>Andrew Guest</t>
  </si>
  <si>
    <t>"Football, Feminism and You"</t>
  </si>
  <si>
    <t>Hilary Winston</t>
  </si>
  <si>
    <t>"Introduction to Statistics"</t>
  </si>
  <si>
    <t>Justin Lin</t>
  </si>
  <si>
    <t>"Home Economics"</t>
  </si>
  <si>
    <t>Lauren Pomerantz</t>
  </si>
  <si>
    <t>"Debate 109"</t>
  </si>
  <si>
    <t>Tim Hobert</t>
  </si>
  <si>
    <t>"Environmental Science"</t>
  </si>
  <si>
    <t>Zach Paez</t>
  </si>
  <si>
    <t>"The Politics of Human Sexuality"</t>
  </si>
  <si>
    <t>"Comparative Religion"</t>
  </si>
  <si>
    <t>Adam Davidson</t>
  </si>
  <si>
    <t>"Investigative Journalism"</t>
  </si>
  <si>
    <t>Jon Pollack &amp; Tim Hobert</t>
  </si>
  <si>
    <t>"Interpretive Dance"</t>
  </si>
  <si>
    <t>"Romantic Expressionism"</t>
  </si>
  <si>
    <t>"Communication Studies"</t>
  </si>
  <si>
    <t>Chris McKenna</t>
  </si>
  <si>
    <t>"Physical Education"</t>
  </si>
  <si>
    <t>Jessie Miller</t>
  </si>
  <si>
    <t>"Basic Genealogy"</t>
  </si>
  <si>
    <t>Karey Dornetto</t>
  </si>
  <si>
    <t>"Beginner Pottery"</t>
  </si>
  <si>
    <t>"The Science of Illusion"</t>
  </si>
  <si>
    <t>"Contemporary American Poultry"</t>
  </si>
  <si>
    <t>Tristram Shapeero</t>
  </si>
  <si>
    <t>Emily Cutler &amp; Karey Dornetto</t>
  </si>
  <si>
    <t>"The Art of Discourse"</t>
  </si>
  <si>
    <t>"Modern Warfare"</t>
  </si>
  <si>
    <t>Emily Cutler</t>
  </si>
  <si>
    <t>"English as a Second Language"</t>
  </si>
  <si>
    <t>"Pascal's Triangle Revisited"</t>
  </si>
  <si>
    <t>"Anthropology 101"</t>
  </si>
  <si>
    <t>"Accounting for Lawyers"</t>
  </si>
  <si>
    <t>"The Psychology of Letting Go"</t>
  </si>
  <si>
    <t>"Basic Rocket Science"</t>
  </si>
  <si>
    <t>Andy Bobrow</t>
  </si>
  <si>
    <t>"Messianic Myths and Ancient Peoples"</t>
  </si>
  <si>
    <t>"Epidemiology"</t>
  </si>
  <si>
    <t>Anthony Hemingway</t>
  </si>
  <si>
    <t>"Aerodynamics of Gender"</t>
  </si>
  <si>
    <t>Adam Countee</t>
  </si>
  <si>
    <t>"Cooperative Calligraphy"</t>
  </si>
  <si>
    <t>Megan Ganz</t>
  </si>
  <si>
    <t>"Conspiracy Theories and Interior Design"</t>
  </si>
  <si>
    <t>"Mixology Certification"</t>
  </si>
  <si>
    <t>Jay Chandrasekhar</t>
  </si>
  <si>
    <t>"Abed's Uncontrollable Christmas"</t>
  </si>
  <si>
    <t>Duke Johnson</t>
  </si>
  <si>
    <t>Dino Stamatopoulos &amp; Dan Harmon</t>
  </si>
  <si>
    <t>"Asian Population Studies"</t>
  </si>
  <si>
    <t>"Celebrity Pharmacology"</t>
  </si>
  <si>
    <t>Fred Goss</t>
  </si>
  <si>
    <t>"Advanced Dungeons &amp; Dragons"</t>
  </si>
  <si>
    <t>"Early 21st Century Romanticism"</t>
  </si>
  <si>
    <t>Steven Sprung</t>
  </si>
  <si>
    <t>"Intermediate Documentary Filmmaking"</t>
  </si>
  <si>
    <t>"Intro to Political Science"</t>
  </si>
  <si>
    <t>"Custody Law and Eastern European Diplomacy"</t>
  </si>
  <si>
    <t>"Critical Film Studies"</t>
  </si>
  <si>
    <t>Richard Ayoade</t>
  </si>
  <si>
    <t>Sona Panos</t>
  </si>
  <si>
    <t>"Competitive Wine Tasting"</t>
  </si>
  <si>
    <t>"Paradigms of Human Memory"</t>
  </si>
  <si>
    <t>"Applied Anthropology and Culinary Arts"</t>
  </si>
  <si>
    <t>"A Fistful of Paintballs"</t>
  </si>
  <si>
    <t>"For a Few Paintballs More"</t>
  </si>
  <si>
    <t>"Biology 101"</t>
  </si>
  <si>
    <t>Garrett Donovan &amp; Neil Goldman</t>
  </si>
  <si>
    <t>"Geography of Global Conflict"</t>
  </si>
  <si>
    <t>"Competitive Ecology"</t>
  </si>
  <si>
    <t>Maggie Bandur</t>
  </si>
  <si>
    <t>"Remedial Chaos Theory"</t>
  </si>
  <si>
    <t>Jeff Melman</t>
  </si>
  <si>
    <t>"Horror Fiction in Seven Spooky Steps"</t>
  </si>
  <si>
    <t>"Advanced Gay"</t>
  </si>
  <si>
    <t>Matt Murray</t>
  </si>
  <si>
    <t>"Studies in Modern Movement"</t>
  </si>
  <si>
    <t>"Documentary Filmmaking: Redux"</t>
  </si>
  <si>
    <t>"Foosball and Nocturnal Vigilantism"</t>
  </si>
  <si>
    <t>Chris Kula</t>
  </si>
  <si>
    <t>"Regional Holiday Music"</t>
  </si>
  <si>
    <t>Steve Basilone &amp; Annie Mebane</t>
  </si>
  <si>
    <t>"Urban Matrimony and the Sandwich Arts"</t>
  </si>
  <si>
    <t>Kyle Newacheck</t>
  </si>
  <si>
    <t>Vera Santamaria</t>
  </si>
  <si>
    <t>"Contemporary Impressionists"</t>
  </si>
  <si>
    <t>Alex Cooley</t>
  </si>
  <si>
    <t>"Digital Exploration of Interior Design"</t>
  </si>
  <si>
    <t>Dan Eckman</t>
  </si>
  <si>
    <t>"Pillows and Blankets"</t>
  </si>
  <si>
    <t>"Origins of Vampire Mythology"</t>
  </si>
  <si>
    <t>Steven Tsuchida</t>
  </si>
  <si>
    <t>"Virtual Systems Analysis"</t>
  </si>
  <si>
    <t>"Basic Lupine Urology"</t>
  </si>
  <si>
    <t>Rob Schrab</t>
  </si>
  <si>
    <t>"Course Listing Unavailable"</t>
  </si>
  <si>
    <t>Tim Saccardo</t>
  </si>
  <si>
    <t>"Curriculum Unavailable"</t>
  </si>
  <si>
    <t>"Digital Estate Planning"</t>
  </si>
  <si>
    <t>Matt Warburton</t>
  </si>
  <si>
    <t>"The First Chang Dynasty"</t>
  </si>
  <si>
    <t>Matt Fusfeld &amp; Alex Cuthbertson</t>
  </si>
  <si>
    <t>"Introduction to Finality"</t>
  </si>
  <si>
    <t>"History 101"</t>
  </si>
  <si>
    <t>"Paranormal Parentage"</t>
  </si>
  <si>
    <t>"Conventions of Space and Time"</t>
  </si>
  <si>
    <t>Michael Patrick Jann</t>
  </si>
  <si>
    <t>"Alternative History of the German Invasion"</t>
  </si>
  <si>
    <t>Ben Wexler</t>
  </si>
  <si>
    <t>"Cooperative Escapism in Familial Relations"</t>
  </si>
  <si>
    <t>"Advanced Documentary Filmmaking"</t>
  </si>
  <si>
    <t>Hunter Covington</t>
  </si>
  <si>
    <t>"Economics of Marine Biology"</t>
  </si>
  <si>
    <t>"Herstory of Dance"</t>
  </si>
  <si>
    <t>Jack Kukoda</t>
  </si>
  <si>
    <t>"Intro to Felt Surrogacy"</t>
  </si>
  <si>
    <t>Gene Hong</t>
  </si>
  <si>
    <t>"Intro to Knots"</t>
  </si>
  <si>
    <t>"Basic Human Anatomy"</t>
  </si>
  <si>
    <t>Jim Rash</t>
  </si>
  <si>
    <t>"Heroic Origins"</t>
  </si>
  <si>
    <t>Steve Basilone &amp; Annie Mebane &amp; Maggie Bandur</t>
  </si>
  <si>
    <t>"Advanced Introduction to Finality"</t>
  </si>
  <si>
    <t>"Repilot"</t>
  </si>
  <si>
    <t>Dan Harmon &amp; Chris McKenna</t>
  </si>
  <si>
    <t>"Introduction to Teaching"</t>
  </si>
  <si>
    <t>"Basic Intergluteal Numismatics"</t>
  </si>
  <si>
    <t>Erik Sommers</t>
  </si>
  <si>
    <t>"Cooperative Polygraphy"</t>
  </si>
  <si>
    <t>Alex Rubens</t>
  </si>
  <si>
    <t>"Geothermal Escapism"</t>
  </si>
  <si>
    <t>"Analysis of Cork-Based Networking"</t>
  </si>
  <si>
    <t>Monica Padrick</t>
  </si>
  <si>
    <t>"Bondage and Beta Male Sexuality"</t>
  </si>
  <si>
    <t>Dan Guterman</t>
  </si>
  <si>
    <t>"App Development and Condiments"</t>
  </si>
  <si>
    <t>Jordan Blum &amp; Parker Deay</t>
  </si>
  <si>
    <t>"VCR Maintenance and Educational Publishing"</t>
  </si>
  <si>
    <t>Donald Diego</t>
  </si>
  <si>
    <t>"Advanced Advanced Dungeons &amp; Dragons"</t>
  </si>
  <si>
    <t>Matt Roller</t>
  </si>
  <si>
    <t>"G.I. Jeff"</t>
  </si>
  <si>
    <t>Dino Stamatopoulos</t>
  </si>
  <si>
    <t>"Basic Story"</t>
  </si>
  <si>
    <t>Carol Kolb</t>
  </si>
  <si>
    <t>"Basic Sandwich"</t>
  </si>
  <si>
    <t>Ryan Ridley</t>
  </si>
  <si>
    <t>"Ladders"</t>
  </si>
  <si>
    <t>"Lawnmower Maintenance and Postnatal Care"</t>
  </si>
  <si>
    <t>Jim Rash &amp; Nat Faxon</t>
  </si>
  <si>
    <t>"Basic Crisis Room Decorum"</t>
  </si>
  <si>
    <t>Bobcat Goldthwait</t>
  </si>
  <si>
    <t>"Queer Studies and Advanced Waxing"</t>
  </si>
  <si>
    <t>Matt Lawton</t>
  </si>
  <si>
    <t>"Laws of Robotics and Party Rights"</t>
  </si>
  <si>
    <t>Dean Young</t>
  </si>
  <si>
    <t>"Basic Email Security"</t>
  </si>
  <si>
    <t>"Advanced Safety Features"</t>
  </si>
  <si>
    <t>"Intro to Recycled Cinema"</t>
  </si>
  <si>
    <t>Clay Lapari</t>
  </si>
  <si>
    <t>"Grifting 101"</t>
  </si>
  <si>
    <t>"Basic RV Repair and Palmistry"</t>
  </si>
  <si>
    <t>"Modern Espionage"</t>
  </si>
  <si>
    <t>Mark Stegemann</t>
  </si>
  <si>
    <t>"Wedding Videography"</t>
  </si>
  <si>
    <t>Briggs Hatton</t>
  </si>
  <si>
    <t>"Emotional Consequences of Broadcast Television"</t>
  </si>
  <si>
    <t>Community</t>
  </si>
  <si>
    <t>Greg Daniels &amp; Michael Schur</t>
  </si>
  <si>
    <t>"Canvassing"</t>
  </si>
  <si>
    <t>Rachel Axler</t>
  </si>
  <si>
    <t>"The Reporter"</t>
  </si>
  <si>
    <t>Dan Goor</t>
  </si>
  <si>
    <t>"Boys' Club"</t>
  </si>
  <si>
    <t>Michael McCullers</t>
  </si>
  <si>
    <t>Alan Yang</t>
  </si>
  <si>
    <t>"The Banquet"</t>
  </si>
  <si>
    <t>Tucker Cawley</t>
  </si>
  <si>
    <t>Norm Hiscock</t>
  </si>
  <si>
    <t>"Rock Show"</t>
  </si>
  <si>
    <t>"Pawnee Zoo"</t>
  </si>
  <si>
    <t>"The Stakeout"</t>
  </si>
  <si>
    <t>"Beauty Pageant"</t>
  </si>
  <si>
    <t>Jason Woliner</t>
  </si>
  <si>
    <t>Katie Dippold</t>
  </si>
  <si>
    <t>"Practice Date"</t>
  </si>
  <si>
    <t>Harris Wittels</t>
  </si>
  <si>
    <t>"Sister City"</t>
  </si>
  <si>
    <t>"Kaboom"</t>
  </si>
  <si>
    <t>Aisha Muharrar</t>
  </si>
  <si>
    <t>"Greg Pikitis"</t>
  </si>
  <si>
    <t>"Ron and Tammy"</t>
  </si>
  <si>
    <t>Mike Scully</t>
  </si>
  <si>
    <t>"The Camel"</t>
  </si>
  <si>
    <t>"Hunting Trip"</t>
  </si>
  <si>
    <t>"Tom's Divorce"</t>
  </si>
  <si>
    <t>"Christmas Scandal"</t>
  </si>
  <si>
    <t>"Leslie's House"</t>
  </si>
  <si>
    <t>"Sweetums"</t>
  </si>
  <si>
    <t>"Galentine's Day"</t>
  </si>
  <si>
    <t>"Woman of the Year"</t>
  </si>
  <si>
    <t>"The Possum"</t>
  </si>
  <si>
    <t>"Park Safety"</t>
  </si>
  <si>
    <t>Michael Trim</t>
  </si>
  <si>
    <t>"Summer Catalog"</t>
  </si>
  <si>
    <t>"94 Meetings"</t>
  </si>
  <si>
    <t>"Telethon"</t>
  </si>
  <si>
    <t>Amy Poehler</t>
  </si>
  <si>
    <t>"Freddy Spaghetti"</t>
  </si>
  <si>
    <t>"The Master Plan"</t>
  </si>
  <si>
    <t>"The Set Up"</t>
  </si>
  <si>
    <t>"Go Big or Go Home"</t>
  </si>
  <si>
    <t>"Flu Season"</t>
  </si>
  <si>
    <t>Wendey Stanzler</t>
  </si>
  <si>
    <t>"Time Capsule"</t>
  </si>
  <si>
    <t>"Ron &amp; Tammy: Part Two"</t>
  </si>
  <si>
    <t>Emily Kapnek</t>
  </si>
  <si>
    <t>"Media Blitz"</t>
  </si>
  <si>
    <t>"Indianapolis"</t>
  </si>
  <si>
    <t>"Camping"</t>
  </si>
  <si>
    <t>"Andy and April's Fancy Party"</t>
  </si>
  <si>
    <t>"Soulmates"</t>
  </si>
  <si>
    <t>"Eagleton"</t>
  </si>
  <si>
    <t>Nicole Holofcener</t>
  </si>
  <si>
    <t>Emily Spivey</t>
  </si>
  <si>
    <t>"Road Trip"</t>
  </si>
  <si>
    <t>Greg Levine &amp; Brian Rowe</t>
  </si>
  <si>
    <t>"Li'l Sebastian"</t>
  </si>
  <si>
    <t>"Jerry's Painting"</t>
  </si>
  <si>
    <t>"Harvest Festival"</t>
  </si>
  <si>
    <t>"I'm Leslie Knope"</t>
  </si>
  <si>
    <t>"Ron and Tammys"</t>
  </si>
  <si>
    <t>"Born &amp; Raised"</t>
  </si>
  <si>
    <t>"Pawnee Rangers"</t>
  </si>
  <si>
    <t>"Meet n Greet"</t>
  </si>
  <si>
    <t>"The Treaty"</t>
  </si>
  <si>
    <t>Jorma Taccone</t>
  </si>
  <si>
    <t>"Smallest Park"</t>
  </si>
  <si>
    <t>Chelsea Peretti</t>
  </si>
  <si>
    <t>"The Trial of Leslie Knope"</t>
  </si>
  <si>
    <t>Dan Goor &amp; Michael Schur</t>
  </si>
  <si>
    <t>"Citizen Knope"</t>
  </si>
  <si>
    <t>Dave King</t>
  </si>
  <si>
    <t>"The Comeback Kid"</t>
  </si>
  <si>
    <t>"Campaign Ad"</t>
  </si>
  <si>
    <t>"Bowling for Votes"</t>
  </si>
  <si>
    <t>"Operation Ann"</t>
  </si>
  <si>
    <t>Morgan Sackett</t>
  </si>
  <si>
    <t>"Dave Returns"</t>
  </si>
  <si>
    <t>Robert B. Weide</t>
  </si>
  <si>
    <t>"Sweet Sixteen"</t>
  </si>
  <si>
    <t>"Campaign Shake-Up"</t>
  </si>
  <si>
    <t>"Lucky"</t>
  </si>
  <si>
    <t>Nick Offerman</t>
  </si>
  <si>
    <t>"Live Ammo"</t>
  </si>
  <si>
    <t>Dave King &amp; Chelsea Peretti</t>
  </si>
  <si>
    <t>Aisha Muharrar &amp; Alan Yang</t>
  </si>
  <si>
    <t>"Win, Lose, or Draw"</t>
  </si>
  <si>
    <t>"Bus Tour"</t>
  </si>
  <si>
    <t>"The Debate"</t>
  </si>
  <si>
    <t>"End of the World"</t>
  </si>
  <si>
    <t>"Ms. Knope Goes to Washington"</t>
  </si>
  <si>
    <t>"Soda Tax"</t>
  </si>
  <si>
    <t>"How a Bill Becomes a Law"</t>
  </si>
  <si>
    <t>"Sex Education"</t>
  </si>
  <si>
    <t>"Ben's Parents"</t>
  </si>
  <si>
    <t>Greg Levine</t>
  </si>
  <si>
    <t>"Leslie vs. April"</t>
  </si>
  <si>
    <t>"Pawnee Commons"</t>
  </si>
  <si>
    <t>Alexandra Rushfield</t>
  </si>
  <si>
    <t>"Ron and Diane"</t>
  </si>
  <si>
    <t>Megan Amram &amp; Aisha Muharrar</t>
  </si>
  <si>
    <t>"Two Parties"</t>
  </si>
  <si>
    <t>"Women in Garbage"</t>
  </si>
  <si>
    <t>"Ann's Decision"</t>
  </si>
  <si>
    <t>Nate DiMeo</t>
  </si>
  <si>
    <t>Norm Hiscock &amp; Joe Mande</t>
  </si>
  <si>
    <t>"Leslie and Ben"</t>
  </si>
  <si>
    <t>Michael Schur &amp; Alan Yang</t>
  </si>
  <si>
    <t>"Correspondents' Lunch"</t>
  </si>
  <si>
    <t>"Bailout"</t>
  </si>
  <si>
    <t>Joe Mande</t>
  </si>
  <si>
    <t>"Partridge"</t>
  </si>
  <si>
    <t>"Animal Control"</t>
  </si>
  <si>
    <t>Megan Amram</t>
  </si>
  <si>
    <t>"Article Two"</t>
  </si>
  <si>
    <t>"Jerry's Retirement"</t>
  </si>
  <si>
    <t>Norm Hiscock &amp; Aisha Muharrar</t>
  </si>
  <si>
    <t>"Swing Vote"</t>
  </si>
  <si>
    <t>Joe Mande &amp; Alan Yang</t>
  </si>
  <si>
    <t>"Are You Better Off?"</t>
  </si>
  <si>
    <t>"Emergency Response"</t>
  </si>
  <si>
    <t>"Halloween Surprise"</t>
  </si>
  <si>
    <t>"The Pawnee-Eagleton Tip Off Classic"</t>
  </si>
  <si>
    <t>"Doppelg√§ngers"</t>
  </si>
  <si>
    <t>Jay Karas</t>
  </si>
  <si>
    <t>Donick Cary</t>
  </si>
  <si>
    <t>"Gin It Up!"</t>
  </si>
  <si>
    <t>"Filibuster"</t>
  </si>
  <si>
    <t>"Recall Vote"</t>
  </si>
  <si>
    <t>"Fluoride"</t>
  </si>
  <si>
    <t>"The Cones of Dunshire"</t>
  </si>
  <si>
    <t>Julie Anne Robinson</t>
  </si>
  <si>
    <t>Amy Poehler &amp; Michael Schur</t>
  </si>
  <si>
    <t>"New Beginnings"</t>
  </si>
  <si>
    <t>"Farmers Market"</t>
  </si>
  <si>
    <t>Adam Scott</t>
  </si>
  <si>
    <t>"Ann and Chris"</t>
  </si>
  <si>
    <t>Aisha Muharrar &amp; Michael Schur</t>
  </si>
  <si>
    <t>"Anniversaries"</t>
  </si>
  <si>
    <t>"The Wall"</t>
  </si>
  <si>
    <t>Jen Statsky</t>
  </si>
  <si>
    <t>"New Slogan"</t>
  </si>
  <si>
    <t>Alan Yang &amp; Sam Means</t>
  </si>
  <si>
    <t>Emma Fletcher &amp; Rachna Fruchbom</t>
  </si>
  <si>
    <t>"Prom"</t>
  </si>
  <si>
    <t>Matt Murray &amp; Harris Wittels</t>
  </si>
  <si>
    <t>Megan Amram &amp; Dave King</t>
  </si>
  <si>
    <t>"One in 8,000"</t>
  </si>
  <si>
    <t>Donick Cary &amp; Joe Mande</t>
  </si>
  <si>
    <t>"London"</t>
  </si>
  <si>
    <t>"Second Chunce"</t>
  </si>
  <si>
    <t>"Flu Season 2"</t>
  </si>
  <si>
    <t>"Moving Up"</t>
  </si>
  <si>
    <t>"2017"</t>
  </si>
  <si>
    <t>Alan Yang &amp; Matt Murray</t>
  </si>
  <si>
    <t>"William Henry Harrison"</t>
  </si>
  <si>
    <t>Tom Magill</t>
  </si>
  <si>
    <t>"Leslie and Ron"</t>
  </si>
  <si>
    <t>"Gryzzlbox"</t>
  </si>
  <si>
    <t>"Save JJ's"</t>
  </si>
  <si>
    <t>"Donna and Joe"</t>
  </si>
  <si>
    <t>"Ms. Ludgate-Dwyer Goes to Washington"</t>
  </si>
  <si>
    <t>"The Johnny Karate Super Awesome Musical Explosion Show"</t>
  </si>
  <si>
    <t>"Two Funerals"</t>
  </si>
  <si>
    <t>Michael Schur &amp; Amy Poehler</t>
  </si>
  <si>
    <t>"One Last Ride"</t>
  </si>
  <si>
    <t>"Pie-Mary"</t>
  </si>
  <si>
    <t>"Ron and Jammy"</t>
  </si>
  <si>
    <t>Parks and Rec</t>
  </si>
  <si>
    <t>"Qué Sorpresa!"</t>
  </si>
  <si>
    <t>Day</t>
  </si>
  <si>
    <t>Timeslot</t>
  </si>
  <si>
    <t>Running Order</t>
  </si>
  <si>
    <t>Timeslot (ET)</t>
  </si>
  <si>
    <t>Premiere
Viewers
(in millions)</t>
  </si>
  <si>
    <t>Finale
Viewers
(in millions)</t>
  </si>
  <si>
    <t>TV Season</t>
  </si>
  <si>
    <t>Rank</t>
  </si>
  <si>
    <t>Premiere Date</t>
  </si>
  <si>
    <t>Finale Date</t>
  </si>
  <si>
    <t>Thursday 8:30 pm (September 23 – December 9, 2010)
Thursday 10:00 pm (January 20 – May 5, 2011)
Thursday 10:30 pm (April 28, 2011)</t>
  </si>
  <si>
    <t>Thursday 8:00 pm (January 12 – March 8, 2012)
Thursday 9:00 pm (January 26, 2012)
Thursday 8:30 pm (March 15 – May 17, 2012)</t>
  </si>
  <si>
    <t>Thursday 8:00 pm (October 4, 2012 – January 31, 2013)
Wednesday 8:00 pm (October 31, 2012)</t>
  </si>
  <si>
    <t>Wednesday 8:00 pm (October 11–November 1, 2006)
Thursday 9:30 pm (November 16, 2006–March 8, 2007)
Thursday 9:00 pm (April 5–26, 2007)</t>
  </si>
  <si>
    <t>Thursday 8:30 pm (October 4, 2007–April 17, 2008)
Thursday 9:00 pm (December 13, 2007)
Thursday 9:30 pm (April 24–May 8, 2008)</t>
  </si>
  <si>
    <t>Thursday 9:30 pm (October 30, 2008–May 14, 2009)</t>
  </si>
  <si>
    <t>Thursday 9:30 pm (October 15, 2009–May 20, 2010)
Thursday 9:00 pm (January 14, 2010)
Thursday 8:30 pm (April 22, 2010)</t>
  </si>
  <si>
    <t>Episodes</t>
  </si>
  <si>
    <t>Thursday 8:30 pm</t>
  </si>
  <si>
    <t>Thursday 9:30 pm</t>
  </si>
  <si>
    <t>Tuesday 8:00 pm &amp; 8:30 pm</t>
  </si>
  <si>
    <t>Avg. Viewers
(in millions)</t>
  </si>
  <si>
    <t>Thursday 8:30 pm (1–10)
Thursday 9:30 pm (11–22)</t>
  </si>
  <si>
    <t>Thursday 9:30 pm (1–9)
Thursday 8:30 pm (10–22)</t>
  </si>
  <si>
    <t>Thursday 8:00 pm (1–9)
Thursday 8:30 pm (10–22)</t>
  </si>
  <si>
    <t>2008-09</t>
  </si>
  <si>
    <t>2009-10</t>
  </si>
  <si>
    <t>2010-11</t>
  </si>
  <si>
    <t>2011-12</t>
  </si>
  <si>
    <t>2012-13</t>
  </si>
  <si>
    <t>2013-14</t>
  </si>
  <si>
    <t>2014-15</t>
  </si>
  <si>
    <t>April 9, 2009 (2009-04-09)</t>
  </si>
  <si>
    <t>May 14, 2009 (2009-05-14)</t>
  </si>
  <si>
    <t>September 17, 2009 (2009-09-17)</t>
  </si>
  <si>
    <t>May 20, 2010 (2010-05-20)</t>
  </si>
  <si>
    <t>January 20, 2011 (2011-01-20)</t>
  </si>
  <si>
    <t>May 19, 2011 (2011-05-19)</t>
  </si>
  <si>
    <t>September 22, 2011 (2011-09-22)</t>
  </si>
  <si>
    <t>May 10, 2012 (2012-05-10)</t>
  </si>
  <si>
    <t>September 20, 2012 (2012-09-20)</t>
  </si>
  <si>
    <t>May 2, 2013 (2013-05-02)</t>
  </si>
  <si>
    <t>September 26, 2013 (2013-09-26)</t>
  </si>
  <si>
    <t>April 24, 2014 (2014-04-24)</t>
  </si>
  <si>
    <t>January 13, 2015 (2015-01-13)</t>
  </si>
  <si>
    <t>February 24, 2015 (2015-02-24)</t>
  </si>
  <si>
    <t>March 24, 2005 (2005-03-24)</t>
  </si>
  <si>
    <t>April 26, 2005 (2005-04-26)</t>
  </si>
  <si>
    <t>September 20, 2005 (2005-09-20)</t>
  </si>
  <si>
    <t>May 11, 2006 (2006-05-11)</t>
  </si>
  <si>
    <t>September 21, 2006 (2006-09-21)</t>
  </si>
  <si>
    <t>May 17, 2007 (2007-05-17)</t>
  </si>
  <si>
    <t>Thursday 9:00 pm</t>
  </si>
  <si>
    <t>September 27, 2007 (2007-09-27)</t>
  </si>
  <si>
    <t>May 15, 2008 (2008-05-15)</t>
  </si>
  <si>
    <t>September 25, 2008 (2008-09-25)</t>
  </si>
  <si>
    <t>September 23, 2010 (2010-09-23)</t>
  </si>
  <si>
    <t>May 16, 2013 (2013-05-16)</t>
  </si>
  <si>
    <t>Thursday 9:30 pm (1)
Tuesday 9:30 pm (2 –6)</t>
  </si>
  <si>
    <t>Tuesday 9:30 pm (1 –10)
Thursday 9:30 pm (11 –22)</t>
  </si>
  <si>
    <t>Thursday 8:00 pm</t>
  </si>
  <si>
    <t>Thursday 9:30 pm (1 –3)
Thursday 8:00 pm (4 –25)</t>
  </si>
  <si>
    <t>September  17,  2009  (2009-09-17)</t>
  </si>
  <si>
    <t>May  20,  2010  (2010-05-20)</t>
  </si>
  <si>
    <t>September  23,  2010  (2010-09-23)</t>
  </si>
  <si>
    <t>May  12,  2011  (2011-05-12)</t>
  </si>
  <si>
    <t>September  22,  2011  (2011-09-22)</t>
  </si>
  <si>
    <t>May  17,  2012  (2012-05-17)</t>
  </si>
  <si>
    <t>February  7,  2013  (2013-02-07)</t>
  </si>
  <si>
    <t>May  9,  2013  (2013-05-09)</t>
  </si>
  <si>
    <t>January  2,  2014  (2014-01-02)</t>
  </si>
  <si>
    <t>April  17,  2014  (2014-04-17)</t>
  </si>
  <si>
    <t>Season Title</t>
  </si>
  <si>
    <t>TV Show</t>
  </si>
  <si>
    <t>Start Red Value</t>
  </si>
  <si>
    <t>End Red Value</t>
  </si>
  <si>
    <t>Start Green Value</t>
  </si>
  <si>
    <t>End Green Value</t>
  </si>
  <si>
    <t>Red Increment</t>
  </si>
  <si>
    <t>Green Increment</t>
  </si>
  <si>
    <t>Start Blue Value</t>
  </si>
  <si>
    <t>End Blue Value</t>
  </si>
  <si>
    <t>Blue increment</t>
  </si>
  <si>
    <t>Finds the max value in column C of the sheet "[Show] Season Info"</t>
  </si>
  <si>
    <t>Future Additons:</t>
  </si>
  <si>
    <t>Consider making formulas dynamic array formulas: https://www.youtube.com/watch?v=Cfpxxx2MIcI</t>
  </si>
  <si>
    <t>#FBBACF</t>
  </si>
  <si>
    <t>#F7EBDD</t>
  </si>
  <si>
    <t>#DAEFE2</t>
  </si>
  <si>
    <t>#D6E4FC</t>
  </si>
  <si>
    <t>#D74F9E</t>
  </si>
  <si>
    <t>#B5752F</t>
  </si>
  <si>
    <t>#358254</t>
  </si>
  <si>
    <t>#1159C6</t>
  </si>
  <si>
    <t>Excel uses BGR instead of RBG</t>
  </si>
  <si>
    <t>If you do not have access to the macro, you can manually type in the hex codes. Make sure they start with a #</t>
  </si>
  <si>
    <t>Color Episode List Based on Gradient</t>
  </si>
  <si>
    <t>Color Season Info based on gradient</t>
  </si>
  <si>
    <t>N/A</t>
  </si>
  <si>
    <t>Community S6</t>
  </si>
  <si>
    <t>March  17,  2015  (2015-03-17)</t>
  </si>
  <si>
    <t>June  2,  2015  (2015-06-02)</t>
  </si>
  <si>
    <t>https://www.tvtango.com/listings/2012/05/17/kathy</t>
  </si>
  <si>
    <t>Season:</t>
  </si>
  <si>
    <t>Instructions</t>
  </si>
  <si>
    <t>Start Gradient
(First Season)</t>
  </si>
  <si>
    <t>1)</t>
  </si>
  <si>
    <t>2)</t>
  </si>
  <si>
    <t>4)</t>
  </si>
  <si>
    <t>5)</t>
  </si>
  <si>
    <t xml:space="preserve">If you are happy with your gradient, click "Apply to Episode List." This will color each row in the sheet "Episode List" according to its show and season. </t>
  </si>
  <si>
    <t>End Gradient
(Last Season)</t>
  </si>
  <si>
    <t>Use bucket tool to set color for first and last season of show.</t>
  </si>
  <si>
    <t>Click "generate gradient". This should generate HEX codes for your selected colors and create a gradient of colors for each season of each show.</t>
  </si>
  <si>
    <t>Number of Seasons
(Calculated)</t>
  </si>
  <si>
    <t>Show &amp; Color Input</t>
  </si>
  <si>
    <t>Color Generation Buttons</t>
  </si>
  <si>
    <t>Descriptions &amp; Explanations:</t>
  </si>
  <si>
    <t>Functions Used:</t>
  </si>
  <si>
    <t>INDIRECT &amp; MAX</t>
  </si>
  <si>
    <t>Once "Generate Gradient" button is pushed, VBA Macro FindHEXCode() will find the HEX Codes for the background colors of cells in the range C9:D12 and print them in their respective cells.</t>
  </si>
  <si>
    <t>VBA Macro</t>
  </si>
  <si>
    <t>Takes first two digits of HEX code in column C and converts to RGB value</t>
  </si>
  <si>
    <t>Takes first two digits of HEX code in column D and converts to RGB value</t>
  </si>
  <si>
    <t>Divides (End Red Value - Start Red Value) by the number of seasons and rounds to nearest integer. This will give us equally-spaced red values for each season of the show.</t>
  </si>
  <si>
    <t>Repeats process for red values but uses second two digits of HEX code (green values)</t>
  </si>
  <si>
    <t>Repeats process for red values but last second two digits of HEX code (blue values)</t>
  </si>
  <si>
    <t>TEXT, HEX2DEC, MID, ROUND</t>
  </si>
  <si>
    <t>If Working correctly, the first season (column P) should match column C.</t>
  </si>
  <si>
    <t>Once "Generate Gradient" button is pushed, VBA Macro "Print Gradient" will find the HEX codes printed in cells P9:Z12 and change their background colors to match those HEX codes.</t>
  </si>
  <si>
    <t>Gradient</t>
  </si>
  <si>
    <t>When "Apply to Episode List" button is pressed, VBA Macro "ApplyEpisodeColors" will run. This macro matches the TV show and season for every row in the "Episode List" sheet to the background color in the table above. Then, it changes the background color of all cells in that row to the correct background color. The show title (column A) will always be the same as the "End Gradient" color, regardless of season. THis macro does not override the conditional formatting used in the "Epsode List" sheet.</t>
  </si>
  <si>
    <t>IF, ISODD, DEC2HEX, LEN</t>
  </si>
  <si>
    <t>Unhide to see helper columns --&gt;</t>
  </si>
  <si>
    <t>Enter show names in cells A9:A12 (ensure it is spelled identically across all sheets in workbook)</t>
  </si>
  <si>
    <t>Row Labels</t>
  </si>
  <si>
    <t>Grand Total</t>
  </si>
  <si>
    <t>Column Labels</t>
  </si>
  <si>
    <t>2005</t>
  </si>
  <si>
    <t>2006</t>
  </si>
  <si>
    <t>2007</t>
  </si>
  <si>
    <t>2008</t>
  </si>
  <si>
    <t>2009</t>
  </si>
  <si>
    <t>2010</t>
  </si>
  <si>
    <t>2011</t>
  </si>
  <si>
    <t>2012</t>
  </si>
  <si>
    <t>2013</t>
  </si>
  <si>
    <t>2014</t>
  </si>
  <si>
    <t>2015</t>
  </si>
  <si>
    <t>(All)</t>
  </si>
  <si>
    <t>Sum of U.S. viewers(millions)</t>
  </si>
  <si>
    <t>Thu</t>
  </si>
  <si>
    <t>&lt;--</t>
  </si>
  <si>
    <t>Gradient Tool</t>
  </si>
  <si>
    <t>This tool allows users to generate custom colors for each season of a TV show based on a gradient. After selecting a starting and ending color for each gradient, a custom code will find the HEX codes of user input, and custom formulas will create a gradient between those colors. These colors can then be applied to the "Episode List" table.</t>
  </si>
  <si>
    <t>A formula** in each box takes the starting Red, Green, and Blue values (which are found by formulas in the hidden "helper cells" after the HEX Codes in cells C9:D12 are found by the FindHexCode() macro). Each season, the values are increased/decreased by their respective "Increment Value" (found in columns G, J, and M). The resulting BGR* code is then converted to a HEX Code, which you will see displayed in the cell. Leaves the cell blank if the show does not have more seasons.
*Excel uses BGR instead of RGB
**Formula based on this tutorial: https://code.adonline.id.au/rgb-to-hex-in-excel/</t>
  </si>
  <si>
    <t>Important Note on Macros</t>
  </si>
  <si>
    <t>This is a macro-enabled workbook, meaning it has the ability to run– and be edited by– custom scripts triggered by the buttons "Generate Gradient" and "Apply to Episode List".
Some users may not have the ability to run macros in their version of Excel, or they may choose not to for security reasons. These users can still use some features of this worksheet– see directions to the right.</t>
  </si>
  <si>
    <t>Instructions For Use Without Macros</t>
  </si>
  <si>
    <t>Find your desired starting and ending colors for each gradients. Then, use an online tool to identify the HEX codes and type them manually into C9:D12. The HEX codes for the gradient colors in P9:Z12 will be generated automatically. However, the colors of those cells will not change to match the HEX codes. You can use these HEX codes to manually change cell colors in the "Episode List" sheet, if you desire.</t>
  </si>
  <si>
    <t>NBC Thursday Night Lineup</t>
  </si>
  <si>
    <t>Data Sources:</t>
  </si>
  <si>
    <t>Data gathering</t>
  </si>
  <si>
    <t>Data cleaning</t>
  </si>
  <si>
    <t>Brief Worksheet Overview:</t>
  </si>
  <si>
    <t>Worksheet</t>
  </si>
  <si>
    <t>Description</t>
  </si>
  <si>
    <t>Episode List</t>
  </si>
  <si>
    <t>[Show] Season Info</t>
  </si>
  <si>
    <t>Each show has its own worksheet with a broad overview of information about each season such as start and end date, average viewership, and ranking.</t>
  </si>
  <si>
    <t>Color Values</t>
  </si>
  <si>
    <t>Compiled table of information on every episode of all four TV shows. Includes information on air date, episode titles, writers, viewership, and timeslot. Configured with extensive conditional formatting (details below).</t>
  </si>
  <si>
    <t>This a supplementary tool to accomplish some conditional formatting in the Episode List sheet that Excel does not have built-in. Using this tool, users can color episodes from different seasons of a show using a gradient.</t>
  </si>
  <si>
    <t>Graphs</t>
  </si>
  <si>
    <t>This sheet features multiple pivot tables and graphs based on viewership, timeslots, and season rankings.</t>
  </si>
  <si>
    <t>Season Ranking by year/season</t>
  </si>
  <si>
    <t>2004-05</t>
  </si>
  <si>
    <t>2005-06</t>
  </si>
  <si>
    <t>2006-07</t>
  </si>
  <si>
    <t>2007-08</t>
  </si>
  <si>
    <t>Avg. Viewers</t>
  </si>
  <si>
    <t>Sum of Viewers</t>
  </si>
  <si>
    <t>Formulas Used In This Wokrbook</t>
  </si>
  <si>
    <t>MAX</t>
  </si>
  <si>
    <t>INDIRECT</t>
  </si>
  <si>
    <t>TEXT</t>
  </si>
  <si>
    <t>MID</t>
  </si>
  <si>
    <t>ROUND</t>
  </si>
  <si>
    <t>HEX2DEC</t>
  </si>
  <si>
    <t>IF</t>
  </si>
  <si>
    <t>ISODD</t>
  </si>
  <si>
    <t>DEC2HEX</t>
  </si>
  <si>
    <t>LEN</t>
  </si>
  <si>
    <t>XLOOKUP</t>
  </si>
  <si>
    <t>"Color Values"</t>
  </si>
  <si>
    <t>"Graphs"</t>
  </si>
  <si>
    <t>Data merging</t>
  </si>
  <si>
    <t>Formula</t>
  </si>
  <si>
    <t>Sheet(s)</t>
  </si>
  <si>
    <t>NA()</t>
  </si>
  <si>
    <t>Highlighted Skillset</t>
  </si>
  <si>
    <t>Sheet</t>
  </si>
  <si>
    <t>Range</t>
  </si>
  <si>
    <t>Rule</t>
  </si>
  <si>
    <t>Purpose</t>
  </si>
  <si>
    <t>Table "EpisodeList"</t>
  </si>
  <si>
    <t>If the day is "Thu" and there IS an episode of any other show that aired at an earlier time on the same date, color the cell light gray.</t>
  </si>
  <si>
    <t>If the day is "Thu" and there IS NOT an episode of any other show that aired at an earlier time on the same date, color the cell dark gray and add a solid black border at the top</t>
  </si>
  <si>
    <t>Regardless of day, if there IS NOT an episode of any other show that aired at an earlier time on the same date, ad a solid black top border to the entire row.</t>
  </si>
  <si>
    <t>Color the timeslot cell according to a gradient, where the earliest timeslot in the dataset is yellow and the latest timeslot in the dataset is dark blue.</t>
  </si>
  <si>
    <t>Color the ratings cell according to a gradient where the highest ranked episode in the dataset is green, the lowest ranked episode in the dataset is red, and the 50th percentile is orange.</t>
  </si>
  <si>
    <t>SUM</t>
  </si>
  <si>
    <t>Makes it visually easier to distinguish distinct dates in dataset.</t>
  </si>
  <si>
    <t>Makes the Thursday night lineup easier to identify at a glance.</t>
  </si>
  <si>
    <t>Visualise day-to-day timeline. Also makes mistakes in running order easier to identify when cleaning data.</t>
  </si>
  <si>
    <t>Visualise rankings relative to other shows in list.</t>
  </si>
  <si>
    <t>Excel tables</t>
  </si>
  <si>
    <t>Conditional formatting</t>
  </si>
  <si>
    <t>Complex formulas</t>
  </si>
  <si>
    <t>VBA macros</t>
  </si>
  <si>
    <t>User interface</t>
  </si>
  <si>
    <t>Pivot tables</t>
  </si>
  <si>
    <t>Complex Formulas</t>
  </si>
  <si>
    <t>All columns</t>
  </si>
  <si>
    <t>Columns J &amp; K</t>
  </si>
  <si>
    <t>Column L</t>
  </si>
  <si>
    <t>Column N</t>
  </si>
  <si>
    <t>Conditional Formatting Used in this Workbook</t>
  </si>
  <si>
    <t>Some information on Community Season 6 had to be added manually, as the show was picked up by a streaming platform owned by a seperate network for its final season.</t>
  </si>
  <si>
    <t>Episode Lists and season descripitions were downloaded from Wikipedia as .csv using this online tool:</t>
  </si>
  <si>
    <t>https://wikitable2csv.ggor.de/</t>
  </si>
  <si>
    <t>Runtimes were added using information from the NBC schedule. When there were anomolies, this webpage of historical TV schedules was consulted:</t>
  </si>
  <si>
    <t>Highlighted Skillsets</t>
  </si>
  <si>
    <t>In the early 2010s, NBC's Thursday night lineup consisted of four sitcoms that, in the streaming age, remain immensely popular. During the COVID-19 lockdowns, I revisted these shows, and I wondered what it would be like to watch all the episodes in the order they aired, so I downloaded epsiode information from Wikipedia and put them in a spreadsheet. When I needed a sample dataset for my portfolio, I figured it was the perfect one to use!</t>
  </si>
  <si>
    <t>Macro-Enabled Workbook</t>
  </si>
  <si>
    <t>To access the features in the "Color Values" sheet, make sure this file ends with ".xlsx" and that you select "Enable Macros" when opening the workbook.</t>
  </si>
  <si>
    <t>Pivot Tables</t>
  </si>
  <si>
    <t>U.S. Viewership by Date</t>
  </si>
  <si>
    <t>U.S. Viewership by Timeslot</t>
  </si>
  <si>
    <t>U.S. Viewership by Season &amp; Episode Number</t>
  </si>
  <si>
    <t>XLOOKUP Table</t>
  </si>
  <si>
    <t>AND</t>
  </si>
  <si>
    <t>COUNTIFS</t>
  </si>
  <si>
    <t>"Episode List"</t>
  </si>
  <si>
    <t>Full Lineup?</t>
  </si>
  <si>
    <t>Columns O &amp; P</t>
  </si>
  <si>
    <t>Yes</t>
  </si>
  <si>
    <t>Season Number</t>
  </si>
  <si>
    <t>Percent of Total Viewership Per TV  Season
(only nights with all 4 shows were considered)</t>
  </si>
  <si>
    <t>U.S. Viewership by Show</t>
  </si>
  <si>
    <t>VLOOKUP</t>
  </si>
  <si>
    <t>"Color Values", "Graphs", "Episode List</t>
  </si>
  <si>
    <t>Sample</t>
  </si>
  <si>
    <t>Samples</t>
  </si>
  <si>
    <t>Tables and source data are color-coded for conveinence.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</si>
</sst>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d\-mmm\-yy;@"/>
    <numFmt numFmtId="165" formatCode="[$-409]h:mm\ AM/PM;@"/>
    <numFmt numFmtId="166" formatCode="[$-F400]h:mm:ss\ AM/PM"/>
  </numFmts>
  <fonts count="22" x14ac:knownFonts="1">
    <font>
      <sz val="12"/>
      <color theme="1"/>
      <name val="Calibri"/>
      <family val="2"/>
      <scheme val="minor"/>
    </font>
    <font>
      <sz val="8"/>
      <name val="Calibri"/>
      <family val="2"/>
      <scheme val="minor"/>
    </font>
    <font>
      <b/>
      <sz val="12"/>
      <name val="Calibri"/>
      <family val="2"/>
      <scheme val="minor"/>
    </font>
    <font>
      <sz val="12"/>
      <name val="Calibri"/>
      <family val="2"/>
      <scheme val="minor"/>
    </font>
    <font>
      <b/>
      <sz val="12"/>
      <color theme="1"/>
      <name val="Calibri"/>
      <family val="2"/>
      <scheme val="minor"/>
    </font>
    <font>
      <b/>
      <sz val="16"/>
      <color theme="1"/>
      <name val="Calibri"/>
      <family val="2"/>
      <scheme val="minor"/>
    </font>
    <font>
      <b/>
      <sz val="14"/>
      <color theme="1"/>
      <name val="Calibri"/>
      <family val="2"/>
      <scheme val="minor"/>
    </font>
    <font>
      <sz val="16"/>
      <color theme="1"/>
      <name val="Calibri"/>
      <family val="2"/>
      <scheme val="minor"/>
    </font>
    <font>
      <b/>
      <sz val="14"/>
      <color rgb="FFA33838"/>
      <name val="Calibri"/>
      <family val="2"/>
      <scheme val="minor"/>
    </font>
    <font>
      <b/>
      <sz val="14"/>
      <color rgb="FFC00000"/>
      <name val="Calibri"/>
      <family val="2"/>
      <scheme val="minor"/>
    </font>
    <font>
      <b/>
      <sz val="24"/>
      <color theme="1"/>
      <name val="Calibri (Body)"/>
    </font>
    <font>
      <b/>
      <sz val="14"/>
      <color theme="9" tint="-0.249977111117893"/>
      <name val="Calibri"/>
      <family val="2"/>
      <scheme val="minor"/>
    </font>
    <font>
      <b/>
      <sz val="16"/>
      <name val="Calibri"/>
      <family val="2"/>
      <scheme val="minor"/>
    </font>
    <font>
      <b/>
      <sz val="18"/>
      <color theme="1"/>
      <name val="Calibri (Body)"/>
    </font>
    <font>
      <u/>
      <sz val="12"/>
      <color theme="10"/>
      <name val="Calibri"/>
      <family val="2"/>
      <scheme val="minor"/>
    </font>
    <font>
      <b/>
      <sz val="18"/>
      <color theme="1"/>
      <name val="Calibri"/>
      <family val="2"/>
      <scheme val="minor"/>
    </font>
    <font>
      <b/>
      <sz val="18"/>
      <color rgb="FF7030A0"/>
      <name val="Calibri"/>
      <family val="2"/>
      <scheme val="minor"/>
    </font>
    <font>
      <sz val="12"/>
      <color rgb="FFC01439"/>
      <name val="Calibri"/>
      <family val="2"/>
      <scheme val="minor"/>
    </font>
    <font>
      <b/>
      <sz val="12"/>
      <color rgb="FFC01439"/>
      <name val="Calibri"/>
      <family val="2"/>
      <scheme val="minor"/>
    </font>
    <font>
      <b/>
      <sz val="24"/>
      <color theme="1"/>
      <name val="Calibri"/>
      <family val="2"/>
      <scheme val="minor"/>
    </font>
    <font>
      <sz val="18"/>
      <color theme="1"/>
      <name val="Calibri"/>
      <family val="2"/>
      <scheme val="minor"/>
    </font>
    <font>
      <sz val="18"/>
      <name val="Calibri"/>
      <family val="2"/>
      <scheme val="minor"/>
    </font>
  </fonts>
  <fills count="59">
    <fill>
      <patternFill patternType="none"/>
    </fill>
    <fill>
      <patternFill patternType="gray125"/>
    </fill>
    <fill>
      <patternFill patternType="solid">
        <fgColor theme="9" tint="0.79998168889431442"/>
        <bgColor indexed="64"/>
      </patternFill>
    </fill>
    <fill>
      <patternFill patternType="solid">
        <fgColor theme="9" tint="-0.249977111117893"/>
        <bgColor indexed="64"/>
      </patternFill>
    </fill>
    <fill>
      <patternFill patternType="solid">
        <fgColor theme="8" tint="0.79998168889431442"/>
        <bgColor indexed="64"/>
      </patternFill>
    </fill>
    <fill>
      <patternFill patternType="solid">
        <fgColor theme="8" tint="-0.249977111117893"/>
        <bgColor indexed="64"/>
      </patternFill>
    </fill>
    <fill>
      <patternFill patternType="solid">
        <fgColor rgb="FFCFBAFB"/>
        <bgColor indexed="64"/>
      </patternFill>
    </fill>
    <fill>
      <patternFill patternType="solid">
        <fgColor rgb="FF9E4FD7"/>
        <bgColor indexed="64"/>
      </patternFill>
    </fill>
    <fill>
      <patternFill patternType="solid">
        <fgColor theme="5" tint="0.79998168889431442"/>
        <bgColor indexed="64"/>
      </patternFill>
    </fill>
    <fill>
      <patternFill patternType="solid">
        <fgColor theme="5" tint="-0.249977111117893"/>
        <bgColor indexed="64"/>
      </patternFill>
    </fill>
    <fill>
      <patternFill patternType="solid">
        <fgColor rgb="FFC8ABF6"/>
        <bgColor indexed="64"/>
      </patternFill>
    </fill>
    <fill>
      <patternFill patternType="solid">
        <fgColor rgb="FFC19CF1"/>
        <bgColor indexed="64"/>
      </patternFill>
    </fill>
    <fill>
      <patternFill patternType="solid">
        <fgColor rgb="FFBA8DEC"/>
        <bgColor indexed="64"/>
      </patternFill>
    </fill>
    <fill>
      <patternFill patternType="solid">
        <fgColor rgb="FFB37EE7"/>
        <bgColor indexed="64"/>
      </patternFill>
    </fill>
    <fill>
      <patternFill patternType="solid">
        <fgColor rgb="FFAC6FE2"/>
        <bgColor indexed="64"/>
      </patternFill>
    </fill>
    <fill>
      <patternFill patternType="solid">
        <fgColor rgb="FFA560DD"/>
        <bgColor indexed="64"/>
      </patternFill>
    </fill>
    <fill>
      <patternFill patternType="solid">
        <fgColor rgb="FFDDEBF7"/>
        <bgColor indexed="64"/>
      </patternFill>
    </fill>
    <fill>
      <patternFill patternType="solid">
        <fgColor rgb="FFCADEF0"/>
        <bgColor indexed="64"/>
      </patternFill>
    </fill>
    <fill>
      <patternFill patternType="solid">
        <fgColor rgb="FFB7D1E9"/>
        <bgColor indexed="64"/>
      </patternFill>
    </fill>
    <fill>
      <patternFill patternType="solid">
        <fgColor rgb="FFA4C4E2"/>
        <bgColor indexed="64"/>
      </patternFill>
    </fill>
    <fill>
      <patternFill patternType="solid">
        <fgColor rgb="FF91B7DB"/>
        <bgColor indexed="64"/>
      </patternFill>
    </fill>
    <fill>
      <patternFill patternType="solid">
        <fgColor rgb="FF7EAAD4"/>
        <bgColor indexed="64"/>
      </patternFill>
    </fill>
    <fill>
      <patternFill patternType="solid">
        <fgColor rgb="FF6B9DCD"/>
        <bgColor indexed="64"/>
      </patternFill>
    </fill>
    <fill>
      <patternFill patternType="solid">
        <fgColor rgb="FF5890C6"/>
        <bgColor indexed="64"/>
      </patternFill>
    </fill>
    <fill>
      <patternFill patternType="solid">
        <fgColor rgb="FF4583BF"/>
        <bgColor indexed="64"/>
      </patternFill>
    </fill>
    <fill>
      <patternFill patternType="solid">
        <fgColor rgb="FFE2EFDA"/>
        <bgColor indexed="64"/>
      </patternFill>
    </fill>
    <fill>
      <patternFill patternType="solid">
        <fgColor rgb="FFCEDFC2"/>
        <bgColor indexed="64"/>
      </patternFill>
    </fill>
    <fill>
      <patternFill patternType="solid">
        <fgColor rgb="FFBACFAA"/>
        <bgColor indexed="64"/>
      </patternFill>
    </fill>
    <fill>
      <patternFill patternType="solid">
        <fgColor rgb="FFA6BF92"/>
        <bgColor indexed="64"/>
      </patternFill>
    </fill>
    <fill>
      <patternFill patternType="solid">
        <fgColor rgb="FF92AF7A"/>
        <bgColor indexed="64"/>
      </patternFill>
    </fill>
    <fill>
      <patternFill patternType="solid">
        <fgColor rgb="FF7E9F62"/>
        <bgColor indexed="64"/>
      </patternFill>
    </fill>
    <fill>
      <patternFill patternType="solid">
        <fgColor rgb="FF6A8F4A"/>
        <bgColor indexed="64"/>
      </patternFill>
    </fill>
    <fill>
      <patternFill patternType="solid">
        <fgColor rgb="FFFCE4D6"/>
        <bgColor indexed="64"/>
      </patternFill>
    </fill>
    <fill>
      <patternFill patternType="solid">
        <fgColor rgb="FFC65911"/>
        <bgColor indexed="64"/>
      </patternFill>
    </fill>
    <fill>
      <patternFill patternType="solid">
        <fgColor rgb="FF548235"/>
        <bgColor indexed="64"/>
      </patternFill>
    </fill>
    <fill>
      <patternFill patternType="solid">
        <fgColor rgb="FF2F75B5"/>
        <bgColor indexed="64"/>
      </patternFill>
    </fill>
    <fill>
      <patternFill patternType="solid">
        <fgColor rgb="FFF3CDB5"/>
        <bgColor indexed="64"/>
      </patternFill>
    </fill>
    <fill>
      <patternFill patternType="solid">
        <fgColor rgb="FFEAB694"/>
        <bgColor indexed="64"/>
      </patternFill>
    </fill>
    <fill>
      <patternFill patternType="solid">
        <fgColor rgb="FFE19F73"/>
        <bgColor indexed="64"/>
      </patternFill>
    </fill>
    <fill>
      <patternFill patternType="solid">
        <fgColor rgb="FFD88852"/>
        <bgColor indexed="64"/>
      </patternFill>
    </fill>
    <fill>
      <patternFill patternType="solid">
        <fgColor rgb="FFCF7131"/>
        <bgColor indexed="64"/>
      </patternFill>
    </fill>
    <fill>
      <patternFill patternType="solid">
        <fgColor rgb="FFFBA5A7"/>
        <bgColor indexed="64"/>
      </patternFill>
    </fill>
    <fill>
      <patternFill patternType="solid">
        <fgColor rgb="FFFF5857"/>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rgb="FFF4D8DD"/>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CFBBFB"/>
        <bgColor indexed="64"/>
      </patternFill>
    </fill>
    <fill>
      <patternFill patternType="solid">
        <fgColor rgb="FFB37EE8"/>
        <bgColor indexed="64"/>
      </patternFill>
    </fill>
    <fill>
      <patternFill patternType="solid">
        <fgColor rgb="FFF99492"/>
        <bgColor indexed="64"/>
      </patternFill>
    </fill>
    <fill>
      <patternFill patternType="solid">
        <fgColor theme="7" tint="0.79998168889431442"/>
        <bgColor indexed="64"/>
      </patternFill>
    </fill>
    <fill>
      <patternFill patternType="solid">
        <fgColor theme="4" tint="0.79998168889431442"/>
        <bgColor indexed="64"/>
      </patternFill>
    </fill>
  </fills>
  <borders count="105">
    <border>
      <left/>
      <right/>
      <top/>
      <bottom/>
      <diagonal/>
    </border>
    <border>
      <left style="dashed">
        <color theme="1" tint="0.14999847407452621"/>
      </left>
      <right style="dashed">
        <color theme="1" tint="0.14999847407452621"/>
      </right>
      <top style="dashed">
        <color theme="1" tint="0.14999847407452621"/>
      </top>
      <bottom style="dashed">
        <color theme="1" tint="0.149998474074526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dashed">
        <color theme="1" tint="0.14999847407452621"/>
      </bottom>
      <diagonal/>
    </border>
    <border>
      <left style="thin">
        <color rgb="FFA33838"/>
      </left>
      <right style="thin">
        <color rgb="FFA33838"/>
      </right>
      <top style="thin">
        <color rgb="FFA33838"/>
      </top>
      <bottom style="thin">
        <color rgb="FFA33838"/>
      </bottom>
      <diagonal/>
    </border>
    <border>
      <left style="thin">
        <color theme="9"/>
      </left>
      <right style="thin">
        <color theme="9"/>
      </right>
      <top style="thin">
        <color theme="9"/>
      </top>
      <bottom style="thin">
        <color theme="9"/>
      </bottom>
      <diagonal/>
    </border>
    <border>
      <left style="thin">
        <color rgb="FFA33838"/>
      </left>
      <right/>
      <top style="thin">
        <color rgb="FFA33838"/>
      </top>
      <bottom style="thin">
        <color rgb="FFA33838"/>
      </bottom>
      <diagonal/>
    </border>
    <border>
      <left style="thin">
        <color theme="8"/>
      </left>
      <right style="thin">
        <color theme="8"/>
      </right>
      <top style="thin">
        <color theme="8"/>
      </top>
      <bottom style="thin">
        <color theme="8"/>
      </bottom>
      <diagonal/>
    </border>
    <border>
      <left style="thin">
        <color theme="9"/>
      </left>
      <right/>
      <top style="thin">
        <color theme="9"/>
      </top>
      <bottom style="thin">
        <color theme="9"/>
      </bottom>
      <diagonal/>
    </border>
    <border>
      <left/>
      <right style="thin">
        <color rgb="FFA33838"/>
      </right>
      <top style="thin">
        <color rgb="FFA33838"/>
      </top>
      <bottom style="thin">
        <color rgb="FFA33838"/>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thin">
        <color theme="0" tint="-0.249977111117893"/>
      </left>
      <right/>
      <top style="medium">
        <color theme="1"/>
      </top>
      <bottom/>
      <diagonal/>
    </border>
    <border>
      <left style="thin">
        <color theme="0" tint="-0.249977111117893"/>
      </left>
      <right style="thin">
        <color theme="0" tint="-0.249977111117893"/>
      </right>
      <top style="medium">
        <color theme="1"/>
      </top>
      <bottom/>
      <diagonal/>
    </border>
    <border>
      <left style="medium">
        <color theme="1"/>
      </left>
      <right style="thin">
        <color theme="0" tint="-0.249977111117893"/>
      </right>
      <top style="medium">
        <color theme="1"/>
      </top>
      <bottom style="medium">
        <color theme="1"/>
      </bottom>
      <diagonal/>
    </border>
    <border>
      <left/>
      <right/>
      <top style="medium">
        <color theme="1"/>
      </top>
      <bottom style="thin">
        <color theme="0" tint="-0.249977111117893"/>
      </bottom>
      <diagonal/>
    </border>
    <border>
      <left/>
      <right/>
      <top style="thin">
        <color theme="0" tint="-0.249977111117893"/>
      </top>
      <bottom style="thin">
        <color theme="0" tint="-0.249977111117893"/>
      </bottom>
      <diagonal/>
    </border>
    <border>
      <left style="medium">
        <color theme="1"/>
      </left>
      <right style="thin">
        <color theme="0" tint="-0.249977111117893"/>
      </right>
      <top style="medium">
        <color theme="1"/>
      </top>
      <bottom/>
      <diagonal/>
    </border>
    <border>
      <left style="medium">
        <color theme="9"/>
      </left>
      <right/>
      <top style="medium">
        <color theme="9"/>
      </top>
      <bottom style="medium">
        <color theme="9"/>
      </bottom>
      <diagonal/>
    </border>
    <border>
      <left/>
      <right style="medium">
        <color theme="9"/>
      </right>
      <top style="medium">
        <color theme="9"/>
      </top>
      <bottom style="medium">
        <color theme="9"/>
      </bottom>
      <diagonal/>
    </border>
    <border>
      <left/>
      <right/>
      <top style="medium">
        <color theme="9"/>
      </top>
      <bottom style="medium">
        <color theme="9"/>
      </bottom>
      <diagonal/>
    </border>
    <border>
      <left style="medium">
        <color theme="8"/>
      </left>
      <right style="medium">
        <color theme="8"/>
      </right>
      <top/>
      <bottom style="medium">
        <color theme="8"/>
      </bottom>
      <diagonal/>
    </border>
    <border>
      <left style="medium">
        <color theme="8"/>
      </left>
      <right/>
      <top/>
      <bottom style="medium">
        <color theme="8"/>
      </bottom>
      <diagonal/>
    </border>
    <border>
      <left/>
      <right style="medium">
        <color theme="8"/>
      </right>
      <top/>
      <bottom style="medium">
        <color theme="8"/>
      </bottom>
      <diagonal/>
    </border>
    <border>
      <left/>
      <right/>
      <top/>
      <bottom style="medium">
        <color theme="8"/>
      </bottom>
      <diagonal/>
    </border>
    <border>
      <left style="medium">
        <color theme="8"/>
      </left>
      <right style="medium">
        <color theme="8"/>
      </right>
      <top style="medium">
        <color theme="8"/>
      </top>
      <bottom style="thin">
        <color theme="8"/>
      </bottom>
      <diagonal/>
    </border>
    <border>
      <left style="medium">
        <color theme="8"/>
      </left>
      <right/>
      <top style="medium">
        <color theme="8"/>
      </top>
      <bottom style="thin">
        <color theme="8"/>
      </bottom>
      <diagonal/>
    </border>
    <border>
      <left/>
      <right style="medium">
        <color theme="8"/>
      </right>
      <top style="medium">
        <color theme="8"/>
      </top>
      <bottom style="thin">
        <color theme="8"/>
      </bottom>
      <diagonal/>
    </border>
    <border>
      <left/>
      <right/>
      <top style="medium">
        <color theme="8"/>
      </top>
      <bottom style="thin">
        <color theme="8"/>
      </bottom>
      <diagonal/>
    </border>
    <border>
      <left style="thin">
        <color rgb="FFC00000"/>
      </left>
      <right/>
      <top/>
      <bottom/>
      <diagonal/>
    </border>
    <border>
      <left style="medium">
        <color rgb="FFA33838"/>
      </left>
      <right/>
      <top style="medium">
        <color rgb="FFA33838"/>
      </top>
      <bottom style="medium">
        <color rgb="FFA33838"/>
      </bottom>
      <diagonal/>
    </border>
    <border>
      <left/>
      <right/>
      <top style="medium">
        <color rgb="FFA33838"/>
      </top>
      <bottom style="medium">
        <color rgb="FFA33838"/>
      </bottom>
      <diagonal/>
    </border>
    <border>
      <left/>
      <right style="medium">
        <color rgb="FFA33838"/>
      </right>
      <top style="medium">
        <color rgb="FFA33838"/>
      </top>
      <bottom style="medium">
        <color rgb="FFA33838"/>
      </bottom>
      <diagonal/>
    </border>
    <border>
      <left style="thin">
        <color rgb="FFB37EE8"/>
      </left>
      <right style="thin">
        <color rgb="FFB37EE8"/>
      </right>
      <top style="thin">
        <color rgb="FFB37EE8"/>
      </top>
      <bottom style="thin">
        <color rgb="FFB37EE8"/>
      </bottom>
      <diagonal/>
    </border>
    <border>
      <left style="thin">
        <color theme="8" tint="0.39997558519241921"/>
      </left>
      <right style="thin">
        <color theme="8" tint="0.39997558519241921"/>
      </right>
      <top style="thin">
        <color theme="8" tint="0.39997558519241921"/>
      </top>
      <bottom style="thin">
        <color theme="8" tint="0.39997558519241921"/>
      </bottom>
      <diagonal/>
    </border>
    <border>
      <left style="thin">
        <color rgb="FFB37EE8"/>
      </left>
      <right/>
      <top style="thin">
        <color rgb="FFB37EE8"/>
      </top>
      <bottom style="thin">
        <color rgb="FFB37EE8"/>
      </bottom>
      <diagonal/>
    </border>
    <border>
      <left style="thin">
        <color theme="9" tint="0.39997558519241921"/>
      </left>
      <right style="thin">
        <color theme="9" tint="0.39997558519241921"/>
      </right>
      <top style="thin">
        <color theme="9" tint="0.39997558519241921"/>
      </top>
      <bottom style="thin">
        <color theme="9" tint="0.39997558519241921"/>
      </bottom>
      <diagonal/>
    </border>
    <border>
      <left style="thin">
        <color theme="8" tint="0.39997558519241921"/>
      </left>
      <right/>
      <top style="thin">
        <color theme="8" tint="0.39997558519241921"/>
      </top>
      <bottom style="thin">
        <color theme="8" tint="0.39997558519241921"/>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style="thin">
        <color theme="9" tint="0.39997558519241921"/>
      </left>
      <right/>
      <top style="thin">
        <color theme="9" tint="0.39997558519241921"/>
      </top>
      <bottom style="thin">
        <color theme="9" tint="0.39997558519241921"/>
      </bottom>
      <diagonal/>
    </border>
    <border>
      <left/>
      <right style="thin">
        <color rgb="FFB37EE8"/>
      </right>
      <top style="thin">
        <color rgb="FFB37EE8"/>
      </top>
      <bottom style="thin">
        <color rgb="FFB37EE8"/>
      </bottom>
      <diagonal/>
    </border>
    <border>
      <left style="thin">
        <color theme="5" tint="0.39997558519241921"/>
      </left>
      <right/>
      <top style="thin">
        <color theme="5" tint="0.39997558519241921"/>
      </top>
      <bottom style="thin">
        <color theme="5" tint="0.39997558519241921"/>
      </bottom>
      <diagonal/>
    </border>
    <border>
      <left style="medium">
        <color theme="8" tint="0.39997558519241921"/>
      </left>
      <right/>
      <top style="medium">
        <color theme="8" tint="0.39997558519241921"/>
      </top>
      <bottom/>
      <diagonal/>
    </border>
    <border>
      <left/>
      <right/>
      <top style="medium">
        <color theme="8" tint="0.39997558519241921"/>
      </top>
      <bottom/>
      <diagonal/>
    </border>
    <border>
      <left/>
      <right style="medium">
        <color theme="8" tint="0.39997558519241921"/>
      </right>
      <top style="medium">
        <color theme="8" tint="0.39997558519241921"/>
      </top>
      <bottom/>
      <diagonal/>
    </border>
    <border>
      <left style="medium">
        <color theme="9" tint="0.39997558519241921"/>
      </left>
      <right/>
      <top style="medium">
        <color theme="9" tint="0.39997558519241921"/>
      </top>
      <bottom/>
      <diagonal/>
    </border>
    <border>
      <left style="medium">
        <color theme="9" tint="0.39997558519241921"/>
      </left>
      <right/>
      <top/>
      <bottom/>
      <diagonal/>
    </border>
    <border>
      <left style="medium">
        <color theme="8" tint="0.39997558519241921"/>
      </left>
      <right/>
      <top/>
      <bottom/>
      <diagonal/>
    </border>
    <border>
      <left/>
      <right style="medium">
        <color theme="8" tint="0.39997558519241921"/>
      </right>
      <top/>
      <bottom/>
      <diagonal/>
    </border>
    <border>
      <left/>
      <right/>
      <top style="medium">
        <color theme="9" tint="0.39997558519241921"/>
      </top>
      <bottom/>
      <diagonal/>
    </border>
    <border>
      <left/>
      <right/>
      <top/>
      <bottom style="thin">
        <color theme="9" tint="0.39997558519241921"/>
      </bottom>
      <diagonal/>
    </border>
    <border>
      <left style="medium">
        <color theme="8" tint="0.39997558519241921"/>
      </left>
      <right style="thin">
        <color theme="8" tint="0.39997558519241921"/>
      </right>
      <top style="thin">
        <color theme="8" tint="0.39997558519241921"/>
      </top>
      <bottom style="thin">
        <color theme="8" tint="0.39997558519241921"/>
      </bottom>
      <diagonal/>
    </border>
    <border>
      <left style="thin">
        <color theme="8" tint="0.39997558519241921"/>
      </left>
      <right style="medium">
        <color theme="8" tint="0.39997558519241921"/>
      </right>
      <top style="thin">
        <color theme="8" tint="0.39997558519241921"/>
      </top>
      <bottom style="thin">
        <color theme="8" tint="0.39997558519241921"/>
      </bottom>
      <diagonal/>
    </border>
    <border>
      <left style="medium">
        <color theme="8" tint="0.39997558519241921"/>
      </left>
      <right style="thin">
        <color theme="8" tint="0.39997558519241921"/>
      </right>
      <top style="thin">
        <color theme="8" tint="0.39997558519241921"/>
      </top>
      <bottom style="medium">
        <color theme="8" tint="0.39997558519241921"/>
      </bottom>
      <diagonal/>
    </border>
    <border>
      <left style="thin">
        <color theme="8" tint="0.39997558519241921"/>
      </left>
      <right style="thin">
        <color theme="8" tint="0.39997558519241921"/>
      </right>
      <top style="thin">
        <color theme="8" tint="0.39997558519241921"/>
      </top>
      <bottom style="medium">
        <color theme="8" tint="0.39997558519241921"/>
      </bottom>
      <diagonal/>
    </border>
    <border>
      <left style="thin">
        <color theme="8" tint="0.39997558519241921"/>
      </left>
      <right style="medium">
        <color theme="8" tint="0.39997558519241921"/>
      </right>
      <top style="thin">
        <color theme="8" tint="0.39997558519241921"/>
      </top>
      <bottom style="medium">
        <color theme="8" tint="0.39997558519241921"/>
      </bottom>
      <diagonal/>
    </border>
    <border>
      <left style="thin">
        <color theme="8" tint="0.39997558519241921"/>
      </left>
      <right style="thin">
        <color theme="9" tint="0.39997558519241921"/>
      </right>
      <top style="thin">
        <color theme="8" tint="0.39997558519241921"/>
      </top>
      <bottom style="thin">
        <color theme="9" tint="0.39997558519241921"/>
      </bottom>
      <diagonal/>
    </border>
    <border>
      <left style="thin">
        <color theme="9" tint="0.39997558519241921"/>
      </left>
      <right style="thin">
        <color theme="9" tint="0.39997558519241921"/>
      </right>
      <top style="thin">
        <color theme="8" tint="0.39997558519241921"/>
      </top>
      <bottom style="thin">
        <color theme="9" tint="0.39997558519241921"/>
      </bottom>
      <diagonal/>
    </border>
    <border>
      <left style="thin">
        <color theme="9" tint="0.39997558519241921"/>
      </left>
      <right style="thin">
        <color theme="8" tint="0.39997558519241921"/>
      </right>
      <top style="thin">
        <color theme="8" tint="0.39997558519241921"/>
      </top>
      <bottom style="thin">
        <color theme="9" tint="0.39997558519241921"/>
      </bottom>
      <diagonal/>
    </border>
    <border>
      <left style="thin">
        <color theme="8" tint="0.39997558519241921"/>
      </left>
      <right style="thin">
        <color theme="9" tint="0.39997558519241921"/>
      </right>
      <top style="thin">
        <color theme="9" tint="0.39997558519241921"/>
      </top>
      <bottom style="thin">
        <color theme="9" tint="0.39997558519241921"/>
      </bottom>
      <diagonal/>
    </border>
    <border>
      <left style="thin">
        <color theme="9" tint="0.39997558519241921"/>
      </left>
      <right style="thin">
        <color theme="8" tint="0.39997558519241921"/>
      </right>
      <top style="thin">
        <color theme="9" tint="0.39997558519241921"/>
      </top>
      <bottom style="thin">
        <color theme="9" tint="0.39997558519241921"/>
      </bottom>
      <diagonal/>
    </border>
    <border>
      <left style="thin">
        <color theme="8" tint="0.39997558519241921"/>
      </left>
      <right style="thin">
        <color theme="9" tint="0.39997558519241921"/>
      </right>
      <top style="thin">
        <color theme="9" tint="0.39997558519241921"/>
      </top>
      <bottom style="thin">
        <color theme="8" tint="0.39997558519241921"/>
      </bottom>
      <diagonal/>
    </border>
    <border>
      <left style="thin">
        <color theme="9" tint="0.39997558519241921"/>
      </left>
      <right style="thin">
        <color theme="9" tint="0.39997558519241921"/>
      </right>
      <top style="thin">
        <color theme="9" tint="0.39997558519241921"/>
      </top>
      <bottom style="thin">
        <color theme="8" tint="0.39997558519241921"/>
      </bottom>
      <diagonal/>
    </border>
    <border>
      <left style="thin">
        <color theme="9" tint="0.39997558519241921"/>
      </left>
      <right style="thin">
        <color theme="8" tint="0.39997558519241921"/>
      </right>
      <top style="thin">
        <color theme="9" tint="0.39997558519241921"/>
      </top>
      <bottom style="thin">
        <color theme="8" tint="0.39997558519241921"/>
      </bottom>
      <diagonal/>
    </border>
    <border>
      <left style="thin">
        <color theme="8" tint="0.39997558519241921"/>
      </left>
      <right/>
      <top style="thin">
        <color theme="8" tint="0.39997558519241921"/>
      </top>
      <bottom/>
      <diagonal/>
    </border>
    <border>
      <left/>
      <right/>
      <top style="thin">
        <color theme="8" tint="0.39997558519241921"/>
      </top>
      <bottom/>
      <diagonal/>
    </border>
    <border>
      <left/>
      <right style="thin">
        <color theme="8" tint="0.39997558519241921"/>
      </right>
      <top style="thin">
        <color theme="8" tint="0.39997558519241921"/>
      </top>
      <bottom/>
      <diagonal/>
    </border>
    <border>
      <left style="thin">
        <color theme="9" tint="0.39997558519241921"/>
      </left>
      <right style="thin">
        <color theme="8" tint="0.39997558519241921"/>
      </right>
      <top/>
      <bottom/>
      <diagonal/>
    </border>
    <border>
      <left style="thin">
        <color theme="8" tint="0.39997558519241921"/>
      </left>
      <right/>
      <top/>
      <bottom/>
      <diagonal/>
    </border>
    <border>
      <left/>
      <right style="thin">
        <color theme="8" tint="0.39997558519241921"/>
      </right>
      <top/>
      <bottom/>
      <diagonal/>
    </border>
    <border>
      <left style="medium">
        <color theme="8" tint="0.39997558519241921"/>
      </left>
      <right style="thin">
        <color theme="9" tint="0.39997558519241921"/>
      </right>
      <top/>
      <bottom/>
      <diagonal/>
    </border>
    <border>
      <left style="medium">
        <color theme="8" tint="0.39997558519241921"/>
      </left>
      <right style="thin">
        <color theme="9" tint="0.39997558519241921"/>
      </right>
      <top style="thin">
        <color theme="8" tint="0.39997558519241921"/>
      </top>
      <bottom style="thin">
        <color theme="9" tint="0.39997558519241921"/>
      </bottom>
      <diagonal/>
    </border>
    <border>
      <left style="thin">
        <color theme="9" tint="0.39997558519241921"/>
      </left>
      <right style="medium">
        <color theme="8" tint="0.39997558519241921"/>
      </right>
      <top style="thin">
        <color theme="8" tint="0.39997558519241921"/>
      </top>
      <bottom style="thin">
        <color theme="9" tint="0.39997558519241921"/>
      </bottom>
      <diagonal/>
    </border>
    <border>
      <left style="medium">
        <color theme="8" tint="0.39997558519241921"/>
      </left>
      <right style="thin">
        <color theme="9" tint="0.39997558519241921"/>
      </right>
      <top style="thin">
        <color theme="9" tint="0.39997558519241921"/>
      </top>
      <bottom style="thin">
        <color theme="9" tint="0.39997558519241921"/>
      </bottom>
      <diagonal/>
    </border>
    <border>
      <left style="thin">
        <color theme="9" tint="0.39997558519241921"/>
      </left>
      <right style="medium">
        <color theme="8" tint="0.39997558519241921"/>
      </right>
      <top style="thin">
        <color theme="9" tint="0.39997558519241921"/>
      </top>
      <bottom style="thin">
        <color theme="9" tint="0.39997558519241921"/>
      </bottom>
      <diagonal/>
    </border>
    <border>
      <left style="medium">
        <color theme="8" tint="0.39997558519241921"/>
      </left>
      <right style="thin">
        <color theme="9" tint="0.39997558519241921"/>
      </right>
      <top style="thin">
        <color theme="9" tint="0.39997558519241921"/>
      </top>
      <bottom style="thin">
        <color theme="8" tint="0.39997558519241921"/>
      </bottom>
      <diagonal/>
    </border>
    <border>
      <left style="thin">
        <color theme="9" tint="0.39997558519241921"/>
      </left>
      <right style="medium">
        <color theme="8" tint="0.39997558519241921"/>
      </right>
      <top style="thin">
        <color theme="9" tint="0.39997558519241921"/>
      </top>
      <bottom style="thin">
        <color theme="8" tint="0.39997558519241921"/>
      </bottom>
      <diagonal/>
    </border>
    <border>
      <left style="thin">
        <color rgb="FFB37EE8"/>
      </left>
      <right style="thin">
        <color rgb="FFB37EE8"/>
      </right>
      <top style="thin">
        <color rgb="FFB37EE8"/>
      </top>
      <bottom/>
      <diagonal/>
    </border>
    <border>
      <left style="thin">
        <color rgb="FFB37EE8"/>
      </left>
      <right style="thin">
        <color rgb="FFB37EE8"/>
      </right>
      <top/>
      <bottom/>
      <diagonal/>
    </border>
    <border>
      <left style="thin">
        <color rgb="FFB37EE8"/>
      </left>
      <right style="thin">
        <color rgb="FFB37EE8"/>
      </right>
      <top/>
      <bottom style="thin">
        <color rgb="FFB37EE8"/>
      </bottom>
      <diagonal/>
    </border>
    <border>
      <left/>
      <right style="thin">
        <color rgb="FFB37EE8"/>
      </right>
      <top/>
      <bottom/>
      <diagonal/>
    </border>
    <border>
      <left style="thin">
        <color theme="0" tint="-0.34998626667073579"/>
      </left>
      <right/>
      <top style="thin">
        <color theme="0" tint="-0.34998626667073579"/>
      </top>
      <bottom style="thin">
        <color theme="0" tint="-0.34998626667073579"/>
      </bottom>
      <diagonal/>
    </border>
    <border>
      <left style="thin">
        <color rgb="FFC01439"/>
      </left>
      <right/>
      <top style="thin">
        <color rgb="FFC01439"/>
      </top>
      <bottom/>
      <diagonal/>
    </border>
    <border>
      <left/>
      <right style="thin">
        <color rgb="FFC01439"/>
      </right>
      <top style="thin">
        <color rgb="FFC01439"/>
      </top>
      <bottom/>
      <diagonal/>
    </border>
    <border>
      <left style="thin">
        <color rgb="FFC01439"/>
      </left>
      <right/>
      <top/>
      <bottom/>
      <diagonal/>
    </border>
    <border>
      <left/>
      <right style="thin">
        <color rgb="FFC01439"/>
      </right>
      <top/>
      <bottom/>
      <diagonal/>
    </border>
    <border>
      <left style="thin">
        <color rgb="FFC01439"/>
      </left>
      <right/>
      <top/>
      <bottom style="thin">
        <color rgb="FFC01439"/>
      </bottom>
      <diagonal/>
    </border>
    <border>
      <left/>
      <right style="thin">
        <color rgb="FFC01439"/>
      </right>
      <top/>
      <bottom style="thin">
        <color rgb="FFC01439"/>
      </bottom>
      <diagonal/>
    </border>
    <border>
      <left/>
      <right/>
      <top/>
      <bottom style="thin">
        <color theme="8" tint="0.39997558519241921"/>
      </bottom>
      <diagonal/>
    </border>
    <border>
      <left style="thin">
        <color theme="0" tint="-0.34998626667073579"/>
      </left>
      <right/>
      <top style="thin">
        <color theme="0" tint="-0.34998626667073579"/>
      </top>
      <bottom style="dashed">
        <color theme="1" tint="0.14999847407452621"/>
      </bottom>
      <diagonal/>
    </border>
    <border>
      <left style="thin">
        <color theme="0" tint="-0.34998626667073579"/>
      </left>
      <right style="thin">
        <color theme="0" tint="-0.34998626667073579"/>
      </right>
      <top/>
      <bottom/>
      <diagonal/>
    </border>
    <border>
      <left/>
      <right style="medium">
        <color theme="8" tint="0.39997558519241921"/>
      </right>
      <top style="thin">
        <color theme="8" tint="0.39997558519241921"/>
      </top>
      <bottom/>
      <diagonal/>
    </border>
    <border>
      <left style="thin">
        <color theme="8" tint="0.39997558519241921"/>
      </left>
      <right/>
      <top/>
      <bottom style="thin">
        <color theme="9" tint="0.39997558519241921"/>
      </bottom>
      <diagonal/>
    </border>
    <border>
      <left/>
      <right style="medium">
        <color theme="8" tint="0.39997558519241921"/>
      </right>
      <top/>
      <bottom style="thin">
        <color theme="9" tint="0.39997558519241921"/>
      </bottom>
      <diagonal/>
    </border>
    <border>
      <left style="thin">
        <color theme="8" tint="0.39997558519241921"/>
      </left>
      <right/>
      <top/>
      <bottom style="thin">
        <color theme="8" tint="0.39997558519241921"/>
      </bottom>
      <diagonal/>
    </border>
    <border>
      <left/>
      <right style="thin">
        <color theme="8" tint="0.39997558519241921"/>
      </right>
      <top/>
      <bottom style="thin">
        <color theme="8" tint="0.39997558519241921"/>
      </bottom>
      <diagonal/>
    </border>
    <border>
      <left style="thin">
        <color rgb="FF9E4FD7"/>
      </left>
      <right style="thin">
        <color rgb="FF9E4FD7"/>
      </right>
      <top style="thin">
        <color rgb="FF9E4FD7"/>
      </top>
      <bottom/>
      <diagonal/>
    </border>
    <border>
      <left style="thin">
        <color rgb="FF9E4FD7"/>
      </left>
      <right style="thin">
        <color rgb="FF9E4FD7"/>
      </right>
      <top/>
      <bottom/>
      <diagonal/>
    </border>
    <border>
      <left style="thin">
        <color rgb="FF9E4FD7"/>
      </left>
      <right style="thin">
        <color rgb="FF9E4FD7"/>
      </right>
      <top/>
      <bottom style="thin">
        <color rgb="FF9E4FD7"/>
      </bottom>
      <diagonal/>
    </border>
  </borders>
  <cellStyleXfs count="2">
    <xf numFmtId="0" fontId="0" fillId="0" borderId="0"/>
    <xf numFmtId="0" fontId="14" fillId="0" borderId="0" applyNumberFormat="0" applyFill="0" applyBorder="0" applyAlignment="0" applyProtection="0"/>
  </cellStyleXfs>
  <cellXfs count="493">
    <xf numFmtId="0" fontId="0" fillId="0" borderId="0" xfId="0"/>
    <xf numFmtId="0" fontId="3" fillId="0" borderId="1" xfId="0" applyFont="1" applyBorder="1"/>
    <xf numFmtId="0" fontId="0" fillId="0" borderId="0" xfId="0" applyAlignment="1">
      <alignment wrapText="1"/>
    </xf>
    <xf numFmtId="15" fontId="0" fillId="0" borderId="0" xfId="0" applyNumberFormat="1"/>
    <xf numFmtId="0" fontId="0" fillId="0" borderId="0" xfId="0" applyAlignment="1">
      <alignment vertical="top" wrapText="1"/>
    </xf>
    <xf numFmtId="0" fontId="0" fillId="2" borderId="0" xfId="0" applyFill="1"/>
    <xf numFmtId="0" fontId="0" fillId="4" borderId="0" xfId="0" applyFill="1"/>
    <xf numFmtId="0" fontId="0" fillId="8" borderId="0" xfId="0" applyFill="1"/>
    <xf numFmtId="0" fontId="2" fillId="0" borderId="2" xfId="0" applyFont="1" applyBorder="1"/>
    <xf numFmtId="0" fontId="2" fillId="35" borderId="2" xfId="0" applyFont="1" applyFill="1" applyBorder="1"/>
    <xf numFmtId="0" fontId="3" fillId="16" borderId="2" xfId="0" applyFont="1" applyFill="1" applyBorder="1"/>
    <xf numFmtId="0" fontId="3" fillId="0" borderId="2" xfId="0" applyFont="1" applyBorder="1"/>
    <xf numFmtId="166" fontId="3" fillId="0" borderId="2" xfId="0" applyNumberFormat="1" applyFont="1" applyBorder="1"/>
    <xf numFmtId="0" fontId="3" fillId="17" borderId="2" xfId="0" applyFont="1" applyFill="1" applyBorder="1"/>
    <xf numFmtId="0" fontId="3" fillId="18" borderId="2" xfId="0" applyFont="1" applyFill="1" applyBorder="1"/>
    <xf numFmtId="0" fontId="2" fillId="7" borderId="2" xfId="0" applyFont="1" applyFill="1" applyBorder="1"/>
    <xf numFmtId="0" fontId="3" fillId="6" borderId="2" xfId="0" applyFont="1" applyFill="1" applyBorder="1"/>
    <xf numFmtId="0" fontId="3" fillId="19" borderId="2" xfId="0" applyFont="1" applyFill="1" applyBorder="1"/>
    <xf numFmtId="0" fontId="3" fillId="10" borderId="2" xfId="0" applyFont="1" applyFill="1" applyBorder="1"/>
    <xf numFmtId="0" fontId="3" fillId="20" borderId="2" xfId="0" applyFont="1" applyFill="1" applyBorder="1"/>
    <xf numFmtId="0" fontId="3" fillId="11" borderId="2" xfId="0" applyFont="1" applyFill="1" applyBorder="1"/>
    <xf numFmtId="0" fontId="2" fillId="34" borderId="2" xfId="0" applyFont="1" applyFill="1" applyBorder="1"/>
    <xf numFmtId="0" fontId="3" fillId="25" borderId="2" xfId="0" applyFont="1" applyFill="1" applyBorder="1"/>
    <xf numFmtId="0" fontId="3" fillId="26" borderId="2" xfId="0" applyFont="1" applyFill="1" applyBorder="1"/>
    <xf numFmtId="0" fontId="3" fillId="21" borderId="2" xfId="0" applyFont="1" applyFill="1" applyBorder="1"/>
    <xf numFmtId="0" fontId="2" fillId="33" borderId="2" xfId="0" applyFont="1" applyFill="1" applyBorder="1"/>
    <xf numFmtId="0" fontId="3" fillId="32" borderId="2" xfId="0" applyFont="1" applyFill="1" applyBorder="1"/>
    <xf numFmtId="0" fontId="3" fillId="12" borderId="2" xfId="0" applyFont="1" applyFill="1" applyBorder="1"/>
    <xf numFmtId="0" fontId="3" fillId="13" borderId="2" xfId="0" applyFont="1" applyFill="1" applyBorder="1"/>
    <xf numFmtId="0" fontId="3" fillId="22" borderId="2" xfId="0" applyFont="1" applyFill="1" applyBorder="1"/>
    <xf numFmtId="0" fontId="3" fillId="27" borderId="2" xfId="0" applyFont="1" applyFill="1" applyBorder="1"/>
    <xf numFmtId="0" fontId="3" fillId="28" borderId="2" xfId="0" applyFont="1" applyFill="1" applyBorder="1"/>
    <xf numFmtId="0" fontId="3" fillId="23" borderId="2" xfId="0" applyFont="1" applyFill="1" applyBorder="1"/>
    <xf numFmtId="0" fontId="3" fillId="14" borderId="2" xfId="0" applyFont="1" applyFill="1" applyBorder="1"/>
    <xf numFmtId="0" fontId="3" fillId="24" borderId="2" xfId="0" applyFont="1" applyFill="1" applyBorder="1"/>
    <xf numFmtId="0" fontId="3" fillId="29" borderId="2" xfId="0" applyFont="1" applyFill="1" applyBorder="1"/>
    <xf numFmtId="0" fontId="3" fillId="15" borderId="2" xfId="0" applyFont="1" applyFill="1" applyBorder="1"/>
    <xf numFmtId="0" fontId="3" fillId="30" borderId="2" xfId="0" applyFont="1" applyFill="1" applyBorder="1"/>
    <xf numFmtId="0" fontId="3" fillId="31" borderId="2" xfId="0" applyFont="1" applyFill="1" applyBorder="1"/>
    <xf numFmtId="15" fontId="3" fillId="16" borderId="2" xfId="0" applyNumberFormat="1" applyFont="1" applyFill="1" applyBorder="1"/>
    <xf numFmtId="165" fontId="3" fillId="16" borderId="2" xfId="0" applyNumberFormat="1" applyFont="1" applyFill="1" applyBorder="1"/>
    <xf numFmtId="165" fontId="3" fillId="17" borderId="2" xfId="0" applyNumberFormat="1" applyFont="1" applyFill="1" applyBorder="1"/>
    <xf numFmtId="165" fontId="3" fillId="18" borderId="2" xfId="0" applyNumberFormat="1" applyFont="1" applyFill="1" applyBorder="1"/>
    <xf numFmtId="165" fontId="3" fillId="6" borderId="2" xfId="0" applyNumberFormat="1" applyFont="1" applyFill="1" applyBorder="1"/>
    <xf numFmtId="165" fontId="3" fillId="19" borderId="2" xfId="0" applyNumberFormat="1" applyFont="1" applyFill="1" applyBorder="1"/>
    <xf numFmtId="165" fontId="3" fillId="10" borderId="2" xfId="0" applyNumberFormat="1" applyFont="1" applyFill="1" applyBorder="1"/>
    <xf numFmtId="165" fontId="3" fillId="20" borderId="2" xfId="0" applyNumberFormat="1" applyFont="1" applyFill="1" applyBorder="1"/>
    <xf numFmtId="165" fontId="3" fillId="11" borderId="2" xfId="0" applyNumberFormat="1" applyFont="1" applyFill="1" applyBorder="1"/>
    <xf numFmtId="165" fontId="3" fillId="25" borderId="2" xfId="0" applyNumberFormat="1" applyFont="1" applyFill="1" applyBorder="1"/>
    <xf numFmtId="165" fontId="3" fillId="26" borderId="2" xfId="0" applyNumberFormat="1" applyFont="1" applyFill="1" applyBorder="1"/>
    <xf numFmtId="165" fontId="3" fillId="21" borderId="2" xfId="0" applyNumberFormat="1" applyFont="1" applyFill="1" applyBorder="1"/>
    <xf numFmtId="165" fontId="3" fillId="32" borderId="2" xfId="0" applyNumberFormat="1" applyFont="1" applyFill="1" applyBorder="1"/>
    <xf numFmtId="165" fontId="3" fillId="12" borderId="2" xfId="0" applyNumberFormat="1" applyFont="1" applyFill="1" applyBorder="1"/>
    <xf numFmtId="0" fontId="3" fillId="36" borderId="2" xfId="0" applyFont="1" applyFill="1" applyBorder="1"/>
    <xf numFmtId="165" fontId="3" fillId="36" borderId="2" xfId="0" applyNumberFormat="1" applyFont="1" applyFill="1" applyBorder="1"/>
    <xf numFmtId="165" fontId="3" fillId="13" borderId="2" xfId="0" applyNumberFormat="1" applyFont="1" applyFill="1" applyBorder="1"/>
    <xf numFmtId="165" fontId="3" fillId="22" borderId="2" xfId="0" applyNumberFormat="1" applyFont="1" applyFill="1" applyBorder="1"/>
    <xf numFmtId="165" fontId="3" fillId="27" borderId="2" xfId="0" applyNumberFormat="1" applyFont="1" applyFill="1" applyBorder="1"/>
    <xf numFmtId="0" fontId="3" fillId="37" borderId="2" xfId="0" applyFont="1" applyFill="1" applyBorder="1"/>
    <xf numFmtId="165" fontId="3" fillId="37" borderId="2" xfId="0" applyNumberFormat="1" applyFont="1" applyFill="1" applyBorder="1"/>
    <xf numFmtId="165" fontId="3" fillId="28" borderId="2" xfId="0" applyNumberFormat="1" applyFont="1" applyFill="1" applyBorder="1"/>
    <xf numFmtId="165" fontId="3" fillId="23" borderId="2" xfId="0" applyNumberFormat="1" applyFont="1" applyFill="1" applyBorder="1"/>
    <xf numFmtId="165" fontId="3" fillId="14" borderId="2" xfId="0" applyNumberFormat="1" applyFont="1" applyFill="1" applyBorder="1"/>
    <xf numFmtId="165" fontId="3" fillId="24" borderId="2" xfId="0" applyNumberFormat="1" applyFont="1" applyFill="1" applyBorder="1"/>
    <xf numFmtId="165" fontId="3" fillId="29" borderId="2" xfId="0" applyNumberFormat="1" applyFont="1" applyFill="1" applyBorder="1"/>
    <xf numFmtId="165" fontId="3" fillId="15" borderId="2" xfId="0" applyNumberFormat="1" applyFont="1" applyFill="1" applyBorder="1"/>
    <xf numFmtId="0" fontId="3" fillId="38" borderId="2" xfId="0" applyFont="1" applyFill="1" applyBorder="1"/>
    <xf numFmtId="165" fontId="3" fillId="38" borderId="2" xfId="0" applyNumberFormat="1" applyFont="1" applyFill="1" applyBorder="1"/>
    <xf numFmtId="165" fontId="3" fillId="30" borderId="2" xfId="0" applyNumberFormat="1" applyFont="1" applyFill="1" applyBorder="1"/>
    <xf numFmtId="0" fontId="3" fillId="39" borderId="2" xfId="0" applyFont="1" applyFill="1" applyBorder="1"/>
    <xf numFmtId="165" fontId="3" fillId="39" borderId="2" xfId="0" applyNumberFormat="1" applyFont="1" applyFill="1" applyBorder="1"/>
    <xf numFmtId="165" fontId="3" fillId="31" borderId="2" xfId="0" applyNumberFormat="1" applyFont="1" applyFill="1" applyBorder="1"/>
    <xf numFmtId="0" fontId="3" fillId="40" borderId="2" xfId="0" applyFont="1" applyFill="1" applyBorder="1"/>
    <xf numFmtId="165" fontId="3" fillId="40" borderId="2" xfId="0" applyNumberFormat="1" applyFont="1" applyFill="1" applyBorder="1"/>
    <xf numFmtId="0" fontId="3" fillId="40" borderId="3" xfId="0" applyFont="1" applyFill="1" applyBorder="1"/>
    <xf numFmtId="0" fontId="0" fillId="0" borderId="0" xfId="0" applyFill="1"/>
    <xf numFmtId="0" fontId="0" fillId="42" borderId="4" xfId="0" applyFill="1" applyBorder="1" applyAlignment="1">
      <alignment horizontal="center"/>
    </xf>
    <xf numFmtId="0" fontId="0" fillId="42" borderId="6" xfId="0" applyFill="1" applyBorder="1" applyAlignment="1">
      <alignment horizontal="center"/>
    </xf>
    <xf numFmtId="0" fontId="0" fillId="43" borderId="5" xfId="0" applyFill="1" applyBorder="1" applyAlignment="1">
      <alignment horizontal="center"/>
    </xf>
    <xf numFmtId="0" fontId="0" fillId="43" borderId="8" xfId="0" applyFill="1" applyBorder="1" applyAlignment="1">
      <alignment horizontal="center"/>
    </xf>
    <xf numFmtId="0" fontId="0" fillId="44" borderId="7" xfId="0" applyFill="1" applyBorder="1" applyAlignment="1">
      <alignment horizontal="center"/>
    </xf>
    <xf numFmtId="0" fontId="0" fillId="41" borderId="4" xfId="0" applyFill="1" applyBorder="1" applyAlignment="1">
      <alignment horizontal="center"/>
    </xf>
    <xf numFmtId="0" fontId="0" fillId="41" borderId="6" xfId="0" applyFill="1" applyBorder="1" applyAlignment="1">
      <alignment horizontal="center"/>
    </xf>
    <xf numFmtId="0" fontId="0" fillId="2" borderId="5" xfId="0" applyFill="1" applyBorder="1" applyAlignment="1">
      <alignment horizontal="center"/>
    </xf>
    <xf numFmtId="0" fontId="0" fillId="2" borderId="8" xfId="0" applyFill="1" applyBorder="1" applyAlignment="1">
      <alignment horizontal="center"/>
    </xf>
    <xf numFmtId="0" fontId="0" fillId="4" borderId="7" xfId="0" applyFill="1" applyBorder="1" applyAlignment="1">
      <alignment horizontal="center"/>
    </xf>
    <xf numFmtId="0" fontId="0" fillId="41" borderId="9" xfId="0" applyFill="1" applyBorder="1" applyAlignment="1">
      <alignment horizontal="center"/>
    </xf>
    <xf numFmtId="0" fontId="0" fillId="47" borderId="0" xfId="0" applyFill="1" applyAlignment="1">
      <alignment horizontal="center"/>
    </xf>
    <xf numFmtId="0" fontId="0" fillId="47" borderId="0" xfId="0" applyFill="1"/>
    <xf numFmtId="0" fontId="0" fillId="45" borderId="11" xfId="0" applyFill="1" applyBorder="1" applyAlignment="1">
      <alignment horizontal="center" vertical="center"/>
    </xf>
    <xf numFmtId="0" fontId="0" fillId="45" borderId="12" xfId="0" applyFill="1" applyBorder="1" applyAlignment="1">
      <alignment horizontal="center" vertical="center"/>
    </xf>
    <xf numFmtId="0" fontId="0" fillId="45" borderId="18" xfId="0" applyFill="1" applyBorder="1" applyAlignment="1">
      <alignment horizontal="center" vertical="center"/>
    </xf>
    <xf numFmtId="0" fontId="0" fillId="45" borderId="19" xfId="0" applyFill="1" applyBorder="1" applyAlignment="1">
      <alignment horizontal="center" vertical="center"/>
    </xf>
    <xf numFmtId="0" fontId="0" fillId="42" borderId="9" xfId="0" applyFill="1" applyBorder="1" applyAlignment="1">
      <alignment horizontal="center"/>
    </xf>
    <xf numFmtId="0" fontId="4" fillId="46" borderId="20" xfId="0" applyFont="1" applyFill="1" applyBorder="1" applyAlignment="1">
      <alignment horizontal="center" vertical="center"/>
    </xf>
    <xf numFmtId="0" fontId="0" fillId="45" borderId="0" xfId="0" applyFill="1" applyBorder="1" applyAlignment="1">
      <alignment horizontal="center" vertical="center"/>
    </xf>
    <xf numFmtId="0" fontId="0" fillId="45" borderId="16" xfId="0" applyFill="1" applyBorder="1" applyAlignment="1">
      <alignment horizontal="center" vertical="center"/>
    </xf>
    <xf numFmtId="0" fontId="4" fillId="46" borderId="19" xfId="0" applyFont="1" applyFill="1" applyBorder="1" applyAlignment="1">
      <alignment horizontal="center" wrapText="1"/>
    </xf>
    <xf numFmtId="0" fontId="4" fillId="46" borderId="12" xfId="0" applyFont="1" applyFill="1" applyBorder="1" applyAlignment="1">
      <alignment horizontal="center" wrapText="1"/>
    </xf>
    <xf numFmtId="0" fontId="0" fillId="45" borderId="22" xfId="0" applyFill="1" applyBorder="1" applyAlignment="1">
      <alignment horizontal="center" vertical="center"/>
    </xf>
    <xf numFmtId="0" fontId="4" fillId="46" borderId="23" xfId="0" applyFont="1" applyFill="1" applyBorder="1" applyAlignment="1">
      <alignment horizontal="center"/>
    </xf>
    <xf numFmtId="0" fontId="0" fillId="0" borderId="0" xfId="0" applyFill="1" applyBorder="1" applyAlignment="1">
      <alignment horizontal="center" vertical="center"/>
    </xf>
    <xf numFmtId="0" fontId="5" fillId="47" borderId="0" xfId="0" applyFont="1" applyFill="1" applyBorder="1" applyAlignment="1">
      <alignment vertical="center"/>
    </xf>
    <xf numFmtId="0" fontId="0" fillId="47" borderId="0" xfId="0" applyFill="1" applyBorder="1" applyAlignment="1">
      <alignment horizontal="center" vertical="center"/>
    </xf>
    <xf numFmtId="0" fontId="0" fillId="47" borderId="0" xfId="0" applyFill="1" applyBorder="1" applyAlignment="1">
      <alignment horizontal="center"/>
    </xf>
    <xf numFmtId="0" fontId="0" fillId="47" borderId="0" xfId="0" applyFill="1" applyBorder="1"/>
    <xf numFmtId="0" fontId="6" fillId="2" borderId="0" xfId="0" applyFont="1" applyFill="1" applyAlignment="1">
      <alignment horizontal="left" vertical="center" wrapText="1"/>
    </xf>
    <xf numFmtId="0" fontId="4" fillId="46" borderId="21" xfId="0" applyFont="1" applyFill="1" applyBorder="1" applyAlignment="1">
      <alignment horizontal="center" wrapText="1"/>
    </xf>
    <xf numFmtId="0" fontId="6" fillId="0" borderId="13" xfId="0" applyFont="1" applyBorder="1" applyAlignment="1">
      <alignment vertical="center"/>
    </xf>
    <xf numFmtId="0" fontId="6" fillId="0" borderId="15" xfId="0" applyFont="1" applyBorder="1" applyAlignment="1">
      <alignment vertical="center"/>
    </xf>
    <xf numFmtId="0" fontId="5" fillId="43" borderId="0" xfId="0" applyFont="1" applyFill="1" applyAlignment="1">
      <alignment wrapText="1"/>
    </xf>
    <xf numFmtId="0" fontId="0" fillId="43" borderId="0" xfId="0" applyFont="1" applyFill="1" applyBorder="1" applyAlignment="1">
      <alignment horizontal="center" wrapText="1"/>
    </xf>
    <xf numFmtId="0" fontId="0" fillId="43" borderId="0" xfId="0" applyFont="1" applyFill="1" applyAlignment="1">
      <alignment wrapText="1"/>
    </xf>
    <xf numFmtId="0" fontId="0" fillId="47" borderId="0" xfId="0" applyFill="1" applyAlignment="1">
      <alignment vertical="top" wrapText="1"/>
    </xf>
    <xf numFmtId="0" fontId="0" fillId="47" borderId="0" xfId="0" applyFont="1" applyFill="1" applyAlignment="1">
      <alignment wrapText="1"/>
    </xf>
    <xf numFmtId="0" fontId="5" fillId="47" borderId="0" xfId="0" applyFont="1" applyFill="1"/>
    <xf numFmtId="0" fontId="6" fillId="2" borderId="0" xfId="0" applyFont="1" applyFill="1" applyAlignment="1">
      <alignment horizontal="center" vertical="center" wrapText="1"/>
    </xf>
    <xf numFmtId="0" fontId="6" fillId="48" borderId="24" xfId="0" applyFont="1" applyFill="1" applyBorder="1" applyAlignment="1">
      <alignment horizontal="center" vertical="center" wrapText="1"/>
    </xf>
    <xf numFmtId="0" fontId="0" fillId="2" borderId="25" xfId="0" applyFont="1" applyFill="1" applyBorder="1" applyAlignment="1">
      <alignment vertical="center" wrapText="1"/>
    </xf>
    <xf numFmtId="0" fontId="0" fillId="2" borderId="25" xfId="0" applyFill="1" applyBorder="1" applyAlignment="1">
      <alignment vertical="center" wrapText="1"/>
    </xf>
    <xf numFmtId="0" fontId="0" fillId="2" borderId="26" xfId="0" applyFill="1" applyBorder="1" applyAlignment="1">
      <alignment horizontal="left" vertical="center" wrapText="1"/>
    </xf>
    <xf numFmtId="0" fontId="0" fillId="2" borderId="25" xfId="0" applyFill="1" applyBorder="1" applyAlignment="1">
      <alignment horizontal="left" vertical="center" wrapText="1"/>
    </xf>
    <xf numFmtId="0" fontId="0" fillId="2" borderId="26" xfId="0" applyFill="1" applyBorder="1" applyAlignment="1">
      <alignment horizontal="center" vertical="center" wrapText="1"/>
    </xf>
    <xf numFmtId="0" fontId="0" fillId="2" borderId="25" xfId="0" applyFill="1" applyBorder="1" applyAlignment="1">
      <alignment horizontal="center" vertical="center" wrapText="1"/>
    </xf>
    <xf numFmtId="0" fontId="0" fillId="49" borderId="0" xfId="0" applyFill="1"/>
    <xf numFmtId="0" fontId="0" fillId="50" borderId="0" xfId="0" applyFill="1"/>
    <xf numFmtId="0" fontId="6" fillId="44" borderId="0" xfId="0" applyFont="1" applyFill="1" applyBorder="1" applyAlignment="1">
      <alignment vertical="center"/>
    </xf>
    <xf numFmtId="0" fontId="0" fillId="44" borderId="0" xfId="0" applyFill="1"/>
    <xf numFmtId="0" fontId="0" fillId="50" borderId="0" xfId="0" applyFill="1" applyBorder="1"/>
    <xf numFmtId="0" fontId="9" fillId="44" borderId="0" xfId="0" quotePrefix="1" applyFont="1" applyFill="1" applyAlignment="1">
      <alignment horizontal="right" vertical="center"/>
    </xf>
    <xf numFmtId="0" fontId="4" fillId="50" borderId="0" xfId="0" applyFont="1" applyFill="1" applyBorder="1"/>
    <xf numFmtId="0" fontId="0" fillId="4" borderId="0" xfId="0" applyFill="1" applyBorder="1" applyAlignment="1">
      <alignment vertical="top" wrapText="1"/>
    </xf>
    <xf numFmtId="0" fontId="0" fillId="4" borderId="27" xfId="0" applyFill="1" applyBorder="1" applyAlignment="1">
      <alignment vertical="top" wrapText="1"/>
    </xf>
    <xf numFmtId="0" fontId="0" fillId="4" borderId="28" xfId="0" applyFill="1" applyBorder="1" applyAlignment="1">
      <alignment horizontal="left" vertical="top" wrapText="1"/>
    </xf>
    <xf numFmtId="0" fontId="0" fillId="4" borderId="29" xfId="0" applyFill="1" applyBorder="1" applyAlignment="1">
      <alignment horizontal="left" vertical="top" wrapText="1"/>
    </xf>
    <xf numFmtId="0" fontId="0" fillId="50" borderId="31" xfId="0" applyFill="1" applyBorder="1"/>
    <xf numFmtId="0" fontId="0" fillId="50" borderId="32" xfId="0" applyFill="1" applyBorder="1"/>
    <xf numFmtId="0" fontId="0" fillId="50" borderId="33" xfId="0" applyFill="1" applyBorder="1"/>
    <xf numFmtId="0" fontId="0" fillId="50" borderId="34" xfId="0" applyFill="1" applyBorder="1"/>
    <xf numFmtId="0" fontId="0" fillId="4" borderId="27" xfId="0" applyFill="1" applyBorder="1" applyAlignment="1">
      <alignment horizontal="left" vertical="top" wrapText="1"/>
    </xf>
    <xf numFmtId="0" fontId="0" fillId="4" borderId="30" xfId="0" applyFill="1" applyBorder="1" applyAlignment="1">
      <alignment horizontal="left" vertical="top" wrapText="1"/>
    </xf>
    <xf numFmtId="0" fontId="9" fillId="47" borderId="0" xfId="0" quotePrefix="1" applyFont="1" applyFill="1" applyAlignment="1">
      <alignment horizontal="right" vertical="center"/>
    </xf>
    <xf numFmtId="0" fontId="0" fillId="0" borderId="0" xfId="0" pivotButton="1"/>
    <xf numFmtId="0" fontId="0" fillId="0" borderId="0" xfId="0" applyAlignment="1">
      <alignment horizontal="left"/>
    </xf>
    <xf numFmtId="0" fontId="0" fillId="0" borderId="0" xfId="0" applyNumberFormat="1"/>
    <xf numFmtId="14" fontId="0" fillId="0" borderId="0" xfId="0" applyNumberFormat="1" applyAlignment="1">
      <alignment horizontal="left" indent="1"/>
    </xf>
    <xf numFmtId="0" fontId="0" fillId="0" borderId="0" xfId="0" applyAlignment="1">
      <alignment horizontal="left" indent="1"/>
    </xf>
    <xf numFmtId="19" fontId="0" fillId="0" borderId="0" xfId="0" applyNumberFormat="1"/>
    <xf numFmtId="0" fontId="0" fillId="47" borderId="0" xfId="0" applyFill="1" applyBorder="1" applyAlignment="1">
      <alignment vertical="center" wrapText="1"/>
    </xf>
    <xf numFmtId="0" fontId="6" fillId="47" borderId="0" xfId="0" applyFont="1" applyFill="1" applyAlignment="1">
      <alignment horizontal="center" vertical="center" wrapText="1"/>
    </xf>
    <xf numFmtId="0" fontId="0" fillId="47" borderId="35" xfId="0" applyFill="1" applyBorder="1"/>
    <xf numFmtId="0" fontId="9" fillId="47" borderId="35" xfId="0" quotePrefix="1" applyFont="1" applyFill="1" applyBorder="1" applyAlignment="1">
      <alignment horizontal="left" vertical="center"/>
    </xf>
    <xf numFmtId="0" fontId="0" fillId="47" borderId="0" xfId="0" applyFill="1" applyAlignment="1">
      <alignment vertical="center"/>
    </xf>
    <xf numFmtId="0" fontId="0" fillId="51" borderId="36" xfId="0" applyFill="1" applyBorder="1" applyAlignment="1">
      <alignment horizontal="left" vertical="center" wrapText="1"/>
    </xf>
    <xf numFmtId="0" fontId="0" fillId="51" borderId="37" xfId="0" applyFill="1" applyBorder="1" applyAlignment="1">
      <alignment horizontal="left" vertical="center" wrapText="1"/>
    </xf>
    <xf numFmtId="0" fontId="0" fillId="51" borderId="38" xfId="0" applyFill="1" applyBorder="1" applyAlignment="1">
      <alignment horizontal="left" vertical="center" wrapText="1"/>
    </xf>
    <xf numFmtId="0" fontId="0" fillId="6" borderId="0" xfId="0" applyFill="1" applyBorder="1" applyAlignment="1">
      <alignment horizontal="center" vertical="center"/>
    </xf>
    <xf numFmtId="0" fontId="0" fillId="7" borderId="14" xfId="0" applyFill="1" applyBorder="1" applyAlignment="1">
      <alignment horizontal="center" vertical="center"/>
    </xf>
    <xf numFmtId="0" fontId="0" fillId="4" borderId="0" xfId="0" applyFill="1" applyBorder="1" applyAlignment="1">
      <alignment horizontal="center" vertical="center"/>
    </xf>
    <xf numFmtId="0" fontId="0" fillId="5" borderId="14" xfId="0" applyFill="1" applyBorder="1" applyAlignment="1">
      <alignment horizontal="center" vertical="center"/>
    </xf>
    <xf numFmtId="0" fontId="0" fillId="2" borderId="0" xfId="0" applyFill="1" applyBorder="1" applyAlignment="1">
      <alignment horizontal="center" vertical="center"/>
    </xf>
    <xf numFmtId="0" fontId="0" fillId="3" borderId="14" xfId="0" applyFill="1" applyBorder="1" applyAlignment="1">
      <alignment horizontal="center" vertical="center"/>
    </xf>
    <xf numFmtId="0" fontId="0" fillId="8" borderId="16" xfId="0" applyFill="1" applyBorder="1" applyAlignment="1">
      <alignment horizontal="center" vertical="center"/>
    </xf>
    <xf numFmtId="0" fontId="0" fillId="9" borderId="17" xfId="0" applyFill="1" applyBorder="1" applyAlignment="1">
      <alignment horizontal="center" vertical="center"/>
    </xf>
    <xf numFmtId="0" fontId="0" fillId="6" borderId="13" xfId="0" applyFill="1" applyBorder="1" applyAlignment="1">
      <alignment horizontal="center" vertical="center"/>
    </xf>
    <xf numFmtId="0" fontId="0" fillId="10" borderId="0" xfId="0" applyFill="1" applyBorder="1" applyAlignment="1">
      <alignment horizontal="center" vertical="center"/>
    </xf>
    <xf numFmtId="0" fontId="0" fillId="11" borderId="0" xfId="0" applyFill="1" applyBorder="1" applyAlignment="1">
      <alignment horizontal="center" vertical="center"/>
    </xf>
    <xf numFmtId="0" fontId="0" fillId="12" borderId="0" xfId="0" applyFill="1" applyBorder="1" applyAlignment="1">
      <alignment horizontal="center" vertical="center"/>
    </xf>
    <xf numFmtId="0" fontId="0" fillId="13" borderId="0" xfId="0" applyFill="1" applyBorder="1" applyAlignment="1">
      <alignment horizontal="center" vertical="center"/>
    </xf>
    <xf numFmtId="0" fontId="0" fillId="14" borderId="0" xfId="0" applyFill="1" applyBorder="1" applyAlignment="1">
      <alignment horizontal="center" vertical="center"/>
    </xf>
    <xf numFmtId="0" fontId="0" fillId="15" borderId="0" xfId="0" applyFill="1" applyBorder="1" applyAlignment="1">
      <alignment horizontal="center" vertical="center"/>
    </xf>
    <xf numFmtId="0" fontId="0" fillId="0" borderId="14" xfId="0" applyFill="1" applyBorder="1" applyAlignment="1">
      <alignment horizontal="center" vertical="center"/>
    </xf>
    <xf numFmtId="0" fontId="0" fillId="16" borderId="13" xfId="0" applyFill="1" applyBorder="1" applyAlignment="1">
      <alignment horizontal="center" vertical="center"/>
    </xf>
    <xf numFmtId="0" fontId="0" fillId="17" borderId="0" xfId="0" applyFill="1" applyBorder="1" applyAlignment="1">
      <alignment horizontal="center" vertical="center"/>
    </xf>
    <xf numFmtId="0" fontId="0" fillId="18" borderId="0" xfId="0" applyFill="1" applyBorder="1" applyAlignment="1">
      <alignment horizontal="center" vertical="center"/>
    </xf>
    <xf numFmtId="0" fontId="0" fillId="19" borderId="0" xfId="0" applyFill="1" applyBorder="1" applyAlignment="1">
      <alignment horizontal="center" vertical="center"/>
    </xf>
    <xf numFmtId="0" fontId="0" fillId="20" borderId="0" xfId="0" applyFill="1" applyBorder="1" applyAlignment="1">
      <alignment horizontal="center" vertical="center"/>
    </xf>
    <xf numFmtId="0" fontId="0" fillId="21" borderId="0" xfId="0" applyFill="1" applyBorder="1" applyAlignment="1">
      <alignment horizontal="center" vertical="center"/>
    </xf>
    <xf numFmtId="0" fontId="0" fillId="22" borderId="0" xfId="0" applyFill="1" applyBorder="1" applyAlignment="1">
      <alignment horizontal="center" vertical="center"/>
    </xf>
    <xf numFmtId="0" fontId="0" fillId="23" borderId="0" xfId="0" applyFill="1" applyBorder="1" applyAlignment="1">
      <alignment horizontal="center" vertical="center"/>
    </xf>
    <xf numFmtId="0" fontId="0" fillId="24" borderId="0" xfId="0" applyFill="1" applyBorder="1" applyAlignment="1">
      <alignment horizontal="center" vertical="center"/>
    </xf>
    <xf numFmtId="0" fontId="0" fillId="25" borderId="13" xfId="0" applyFill="1" applyBorder="1" applyAlignment="1">
      <alignment horizontal="center" vertical="center"/>
    </xf>
    <xf numFmtId="0" fontId="0" fillId="26" borderId="0" xfId="0" applyFill="1" applyBorder="1" applyAlignment="1">
      <alignment horizontal="center" vertical="center"/>
    </xf>
    <xf numFmtId="0" fontId="0" fillId="27" borderId="0" xfId="0" applyFill="1" applyBorder="1" applyAlignment="1">
      <alignment horizontal="center" vertical="center"/>
    </xf>
    <xf numFmtId="0" fontId="0" fillId="28" borderId="0" xfId="0" applyFill="1" applyBorder="1" applyAlignment="1">
      <alignment horizontal="center" vertical="center"/>
    </xf>
    <xf numFmtId="0" fontId="0" fillId="29" borderId="0" xfId="0" applyFill="1" applyBorder="1" applyAlignment="1">
      <alignment horizontal="center" vertical="center"/>
    </xf>
    <xf numFmtId="0" fontId="0" fillId="30" borderId="0" xfId="0" applyFill="1" applyBorder="1" applyAlignment="1">
      <alignment horizontal="center" vertical="center"/>
    </xf>
    <xf numFmtId="0" fontId="0" fillId="31" borderId="0" xfId="0" applyFill="1" applyBorder="1" applyAlignment="1">
      <alignment horizontal="center" vertical="center"/>
    </xf>
    <xf numFmtId="0" fontId="0" fillId="32" borderId="15" xfId="0" applyFill="1" applyBorder="1" applyAlignment="1">
      <alignment horizontal="center" vertical="center"/>
    </xf>
    <xf numFmtId="0" fontId="0" fillId="36" borderId="16" xfId="0" applyFill="1" applyBorder="1" applyAlignment="1">
      <alignment horizontal="center" vertical="center"/>
    </xf>
    <xf numFmtId="0" fontId="0" fillId="37" borderId="16" xfId="0" applyFill="1" applyBorder="1" applyAlignment="1">
      <alignment horizontal="center" vertical="center"/>
    </xf>
    <xf numFmtId="0" fontId="0" fillId="38" borderId="16" xfId="0" applyFill="1" applyBorder="1" applyAlignment="1">
      <alignment horizontal="center" vertical="center"/>
    </xf>
    <xf numFmtId="0" fontId="0" fillId="39" borderId="16" xfId="0" applyFill="1" applyBorder="1" applyAlignment="1">
      <alignment horizontal="center" vertical="center"/>
    </xf>
    <xf numFmtId="0" fontId="0" fillId="40" borderId="16" xfId="0" applyFill="1" applyBorder="1" applyAlignment="1">
      <alignment horizontal="center" vertical="center"/>
    </xf>
    <xf numFmtId="0" fontId="0" fillId="0" borderId="16" xfId="0" applyFill="1" applyBorder="1" applyAlignment="1">
      <alignment horizontal="center" vertical="center"/>
    </xf>
    <xf numFmtId="0" fontId="0" fillId="0" borderId="17" xfId="0" applyFill="1" applyBorder="1" applyAlignment="1">
      <alignment horizontal="center" vertical="center"/>
    </xf>
    <xf numFmtId="0" fontId="0" fillId="2" borderId="0" xfId="0" applyFill="1" applyBorder="1" applyAlignment="1">
      <alignment horizontal="left" vertical="top" wrapText="1"/>
    </xf>
    <xf numFmtId="0" fontId="0" fillId="2" borderId="26" xfId="0" applyFill="1" applyBorder="1" applyAlignment="1">
      <alignment horizontal="left" vertical="top" wrapText="1"/>
    </xf>
    <xf numFmtId="0" fontId="0" fillId="2" borderId="25" xfId="0" applyFill="1" applyBorder="1" applyAlignment="1">
      <alignment horizontal="left" vertical="top" wrapText="1"/>
    </xf>
    <xf numFmtId="0" fontId="6" fillId="45" borderId="0" xfId="0" applyFont="1" applyFill="1" applyAlignment="1">
      <alignment horizontal="right" vertical="center" wrapText="1"/>
    </xf>
    <xf numFmtId="0" fontId="0" fillId="45" borderId="0" xfId="0" applyFill="1" applyAlignment="1">
      <alignment vertical="top" wrapText="1"/>
    </xf>
    <xf numFmtId="0" fontId="0" fillId="45" borderId="0" xfId="0" applyFill="1" applyAlignment="1">
      <alignment horizontal="right" vertical="center"/>
    </xf>
    <xf numFmtId="0" fontId="5" fillId="45" borderId="14" xfId="0" applyFont="1" applyFill="1" applyBorder="1" applyAlignment="1">
      <alignment horizontal="right" vertical="center" textRotation="90" wrapText="1"/>
    </xf>
    <xf numFmtId="0" fontId="0" fillId="45" borderId="0" xfId="0" applyFill="1"/>
    <xf numFmtId="0" fontId="0" fillId="45" borderId="0" xfId="0" applyFill="1" applyAlignment="1">
      <alignment horizontal="center"/>
    </xf>
    <xf numFmtId="0" fontId="0" fillId="45" borderId="0" xfId="0" applyFont="1" applyFill="1" applyAlignment="1">
      <alignment wrapText="1"/>
    </xf>
    <xf numFmtId="0" fontId="6" fillId="45" borderId="0" xfId="0" applyFont="1" applyFill="1" applyBorder="1" applyAlignment="1">
      <alignment horizontal="center" vertical="center" wrapText="1"/>
    </xf>
    <xf numFmtId="0" fontId="5" fillId="45" borderId="0" xfId="0" applyFont="1" applyFill="1"/>
    <xf numFmtId="0" fontId="0" fillId="45" borderId="0" xfId="0" applyFont="1" applyFill="1" applyAlignment="1">
      <alignment vertical="top" wrapText="1"/>
    </xf>
    <xf numFmtId="0" fontId="0" fillId="45" borderId="0" xfId="0" applyFill="1" applyAlignment="1">
      <alignment vertical="center" wrapText="1"/>
    </xf>
    <xf numFmtId="0" fontId="0" fillId="45" borderId="0" xfId="0" applyFill="1" applyBorder="1" applyAlignment="1">
      <alignment vertical="center" wrapText="1"/>
    </xf>
    <xf numFmtId="0" fontId="6" fillId="45" borderId="0" xfId="0" applyFont="1" applyFill="1" applyAlignment="1">
      <alignment horizontal="center" vertical="center" wrapText="1"/>
    </xf>
    <xf numFmtId="0" fontId="0" fillId="45" borderId="0" xfId="0" applyFill="1" applyAlignment="1">
      <alignment horizontal="left" vertical="top" wrapText="1"/>
    </xf>
    <xf numFmtId="0" fontId="10" fillId="45" borderId="0" xfId="0" applyFont="1" applyFill="1" applyAlignment="1"/>
    <xf numFmtId="0" fontId="0" fillId="45" borderId="0" xfId="0" applyFill="1" applyAlignment="1">
      <alignment vertical="center"/>
    </xf>
    <xf numFmtId="0" fontId="8" fillId="45" borderId="0" xfId="0" applyFont="1" applyFill="1" applyAlignment="1"/>
    <xf numFmtId="0" fontId="11" fillId="45" borderId="0" xfId="0" applyFont="1" applyFill="1" applyAlignment="1"/>
    <xf numFmtId="0" fontId="12" fillId="0" borderId="2" xfId="0" applyFont="1" applyBorder="1" applyAlignment="1">
      <alignment horizontal="center" vertical="center" wrapText="1"/>
    </xf>
    <xf numFmtId="166" fontId="12" fillId="0" borderId="2" xfId="0" applyNumberFormat="1" applyFont="1" applyBorder="1" applyAlignment="1">
      <alignment horizontal="center" vertical="center" wrapText="1"/>
    </xf>
    <xf numFmtId="0" fontId="0" fillId="48" borderId="0" xfId="0" applyFill="1"/>
    <xf numFmtId="0" fontId="0" fillId="52" borderId="0" xfId="0" applyFill="1"/>
    <xf numFmtId="0" fontId="4" fillId="55" borderId="39" xfId="0" applyFont="1" applyFill="1" applyBorder="1"/>
    <xf numFmtId="0" fontId="0" fillId="11" borderId="39" xfId="0" applyFill="1" applyBorder="1"/>
    <xf numFmtId="0" fontId="0" fillId="54" borderId="39" xfId="0" applyFill="1" applyBorder="1"/>
    <xf numFmtId="0" fontId="4" fillId="55" borderId="41" xfId="0" applyFont="1" applyFill="1" applyBorder="1"/>
    <xf numFmtId="0" fontId="0" fillId="11" borderId="41" xfId="0" applyFill="1" applyBorder="1"/>
    <xf numFmtId="0" fontId="0" fillId="54" borderId="41" xfId="0" applyFill="1" applyBorder="1"/>
    <xf numFmtId="0" fontId="4" fillId="44" borderId="40" xfId="0" applyFont="1" applyFill="1" applyBorder="1"/>
    <xf numFmtId="0" fontId="0" fillId="50" borderId="40" xfId="0" applyFill="1" applyBorder="1"/>
    <xf numFmtId="0" fontId="0" fillId="4" borderId="40" xfId="0" applyFill="1" applyBorder="1"/>
    <xf numFmtId="0" fontId="4" fillId="44" borderId="43" xfId="0" applyFont="1" applyFill="1" applyBorder="1"/>
    <xf numFmtId="0" fontId="0" fillId="50" borderId="43" xfId="0" applyFill="1" applyBorder="1"/>
    <xf numFmtId="0" fontId="0" fillId="4" borderId="43" xfId="0" applyFill="1" applyBorder="1"/>
    <xf numFmtId="0" fontId="4" fillId="43" borderId="42" xfId="0" applyFont="1" applyFill="1" applyBorder="1"/>
    <xf numFmtId="0" fontId="0" fillId="48" borderId="42" xfId="0" applyFill="1" applyBorder="1"/>
    <xf numFmtId="0" fontId="0" fillId="2" borderId="42" xfId="0" applyFill="1" applyBorder="1"/>
    <xf numFmtId="0" fontId="4" fillId="43" borderId="45" xfId="0" applyFont="1" applyFill="1" applyBorder="1"/>
    <xf numFmtId="0" fontId="0" fillId="48" borderId="45" xfId="0" applyFill="1" applyBorder="1"/>
    <xf numFmtId="0" fontId="0" fillId="2" borderId="45" xfId="0" applyFill="1" applyBorder="1"/>
    <xf numFmtId="0" fontId="4" fillId="53" borderId="44" xfId="0" applyFont="1" applyFill="1" applyBorder="1"/>
    <xf numFmtId="0" fontId="0" fillId="52" borderId="44" xfId="0" applyFill="1" applyBorder="1"/>
    <xf numFmtId="0" fontId="0" fillId="8" borderId="44" xfId="0" applyFill="1" applyBorder="1"/>
    <xf numFmtId="0" fontId="0" fillId="11" borderId="46" xfId="0" applyFill="1" applyBorder="1"/>
    <xf numFmtId="0" fontId="0" fillId="54" borderId="46" xfId="0" applyFill="1" applyBorder="1"/>
    <xf numFmtId="0" fontId="4" fillId="46" borderId="10" xfId="0" applyFont="1" applyFill="1" applyBorder="1"/>
    <xf numFmtId="0" fontId="4" fillId="45" borderId="10" xfId="0" applyFont="1" applyFill="1" applyBorder="1"/>
    <xf numFmtId="0" fontId="0" fillId="45" borderId="0" xfId="0" applyFill="1" applyBorder="1"/>
    <xf numFmtId="0" fontId="0" fillId="52" borderId="47" xfId="0" applyFill="1" applyBorder="1"/>
    <xf numFmtId="0" fontId="0" fillId="8" borderId="47" xfId="0" applyFill="1" applyBorder="1"/>
    <xf numFmtId="0" fontId="0" fillId="45" borderId="10" xfId="0" applyFill="1" applyBorder="1"/>
    <xf numFmtId="0" fontId="0" fillId="46" borderId="10" xfId="0" applyFill="1" applyBorder="1"/>
    <xf numFmtId="0" fontId="0" fillId="4" borderId="40" xfId="0" applyFill="1" applyBorder="1" applyAlignment="1">
      <alignment horizontal="left" vertical="top" wrapText="1"/>
    </xf>
    <xf numFmtId="0" fontId="4" fillId="50" borderId="0" xfId="0" applyFont="1" applyFill="1" applyBorder="1" applyAlignment="1">
      <alignment vertical="top"/>
    </xf>
    <xf numFmtId="0" fontId="0" fillId="47" borderId="0" xfId="0" applyFill="1" applyBorder="1" applyAlignment="1">
      <alignment vertical="center"/>
    </xf>
    <xf numFmtId="0" fontId="0" fillId="47" borderId="53" xfId="0" applyFill="1" applyBorder="1"/>
    <xf numFmtId="0" fontId="6" fillId="45" borderId="0" xfId="0" applyFont="1" applyFill="1" applyBorder="1" applyAlignment="1">
      <alignment horizontal="left" vertical="center"/>
    </xf>
    <xf numFmtId="0" fontId="0" fillId="43" borderId="0" xfId="0" applyFill="1" applyBorder="1" applyAlignment="1">
      <alignment vertical="center"/>
    </xf>
    <xf numFmtId="0" fontId="4" fillId="43" borderId="0" xfId="0" applyFont="1" applyFill="1" applyBorder="1" applyAlignment="1">
      <alignment horizontal="center" vertical="center"/>
    </xf>
    <xf numFmtId="0" fontId="13" fillId="43" borderId="0" xfId="0" applyFont="1" applyFill="1" applyBorder="1" applyAlignment="1">
      <alignment vertical="center"/>
    </xf>
    <xf numFmtId="0" fontId="0" fillId="47" borderId="0" xfId="0" applyFill="1" applyBorder="1" applyAlignment="1">
      <alignment vertical="top" wrapText="1"/>
    </xf>
    <xf numFmtId="0" fontId="14" fillId="4" borderId="40" xfId="1" applyFill="1" applyBorder="1" applyAlignment="1">
      <alignment horizontal="left" vertical="top" wrapText="1"/>
    </xf>
    <xf numFmtId="0" fontId="0" fillId="50" borderId="49" xfId="0" applyFill="1" applyBorder="1"/>
    <xf numFmtId="0" fontId="0" fillId="50" borderId="50" xfId="0" applyFill="1" applyBorder="1"/>
    <xf numFmtId="0" fontId="0" fillId="4" borderId="58" xfId="0" applyFill="1" applyBorder="1" applyAlignment="1">
      <alignment horizontal="left" vertical="top" wrapText="1"/>
    </xf>
    <xf numFmtId="0" fontId="0" fillId="47" borderId="42" xfId="0" applyFont="1" applyFill="1" applyBorder="1" applyAlignment="1">
      <alignment horizontal="left" vertical="top" wrapText="1"/>
    </xf>
    <xf numFmtId="0" fontId="0" fillId="47" borderId="57" xfId="0" applyFill="1" applyBorder="1" applyAlignment="1">
      <alignment horizontal="left" vertical="top" wrapText="1"/>
    </xf>
    <xf numFmtId="0" fontId="0" fillId="47" borderId="40" xfId="0" applyFill="1" applyBorder="1" applyAlignment="1">
      <alignment horizontal="left" vertical="top" wrapText="1"/>
    </xf>
    <xf numFmtId="0" fontId="0" fillId="47" borderId="58" xfId="0" applyFill="1" applyBorder="1" applyAlignment="1">
      <alignment horizontal="left" vertical="top" wrapText="1"/>
    </xf>
    <xf numFmtId="0" fontId="0" fillId="47" borderId="59" xfId="0" applyFill="1" applyBorder="1" applyAlignment="1">
      <alignment horizontal="left" vertical="top" wrapText="1"/>
    </xf>
    <xf numFmtId="0" fontId="0" fillId="47" borderId="60" xfId="0" applyFill="1" applyBorder="1" applyAlignment="1">
      <alignment horizontal="left" vertical="top" wrapText="1"/>
    </xf>
    <xf numFmtId="0" fontId="0" fillId="47" borderId="61" xfId="0" applyFill="1" applyBorder="1" applyAlignment="1">
      <alignment horizontal="left" vertical="top" wrapText="1"/>
    </xf>
    <xf numFmtId="0" fontId="0" fillId="48" borderId="55" xfId="0" applyFill="1" applyBorder="1" applyAlignment="1">
      <alignment horizontal="left" vertical="center"/>
    </xf>
    <xf numFmtId="0" fontId="0" fillId="47" borderId="0" xfId="0" applyFill="1" applyAlignment="1">
      <alignment horizontal="left" vertical="center"/>
    </xf>
    <xf numFmtId="0" fontId="6" fillId="50" borderId="48" xfId="0" applyFont="1" applyFill="1" applyBorder="1" applyAlignment="1">
      <alignment vertical="top"/>
    </xf>
    <xf numFmtId="0" fontId="6" fillId="48" borderId="51" xfId="0" applyFont="1" applyFill="1" applyBorder="1" applyAlignment="1">
      <alignment horizontal="left" vertical="center"/>
    </xf>
    <xf numFmtId="0" fontId="0" fillId="2" borderId="52" xfId="0" applyFill="1" applyBorder="1" applyAlignment="1">
      <alignment horizontal="left" vertical="top" wrapText="1"/>
    </xf>
    <xf numFmtId="0" fontId="0" fillId="2" borderId="0" xfId="0" applyFill="1" applyBorder="1" applyAlignment="1">
      <alignment vertical="top" wrapText="1"/>
    </xf>
    <xf numFmtId="0" fontId="0" fillId="47" borderId="52" xfId="0" applyFill="1" applyBorder="1" applyAlignment="1">
      <alignment vertical="top" wrapText="1"/>
    </xf>
    <xf numFmtId="0" fontId="0" fillId="47" borderId="63" xfId="0" applyFont="1" applyFill="1" applyBorder="1" applyAlignment="1">
      <alignment horizontal="left" vertical="top" wrapText="1"/>
    </xf>
    <xf numFmtId="0" fontId="0" fillId="47" borderId="68" xfId="0" applyFont="1" applyFill="1" applyBorder="1" applyAlignment="1">
      <alignment horizontal="left" vertical="top" wrapText="1"/>
    </xf>
    <xf numFmtId="0" fontId="4" fillId="4" borderId="64" xfId="0" applyFont="1" applyFill="1" applyBorder="1" applyAlignment="1">
      <alignment horizontal="center" vertical="center"/>
    </xf>
    <xf numFmtId="0" fontId="4" fillId="4" borderId="66" xfId="0" applyFont="1" applyFill="1" applyBorder="1" applyAlignment="1">
      <alignment horizontal="center" vertical="center"/>
    </xf>
    <xf numFmtId="0" fontId="4" fillId="4" borderId="69" xfId="0" applyFont="1" applyFill="1" applyBorder="1" applyAlignment="1">
      <alignment horizontal="center" vertical="center"/>
    </xf>
    <xf numFmtId="0" fontId="0" fillId="47" borderId="62" xfId="0" applyFont="1" applyFill="1" applyBorder="1" applyAlignment="1">
      <alignment horizontal="left" vertical="top" wrapText="1"/>
    </xf>
    <xf numFmtId="0" fontId="0" fillId="47" borderId="65" xfId="0" applyFont="1" applyFill="1" applyBorder="1" applyAlignment="1">
      <alignment horizontal="left" vertical="top" wrapText="1"/>
    </xf>
    <xf numFmtId="0" fontId="0" fillId="47" borderId="67" xfId="0" applyFont="1" applyFill="1" applyBorder="1" applyAlignment="1">
      <alignment horizontal="left" vertical="top" wrapText="1"/>
    </xf>
    <xf numFmtId="0" fontId="0" fillId="50" borderId="73" xfId="0" applyFill="1" applyBorder="1" applyAlignment="1">
      <alignment horizontal="left" vertical="center"/>
    </xf>
    <xf numFmtId="0" fontId="4" fillId="50" borderId="74" xfId="0" applyFont="1" applyFill="1" applyBorder="1" applyAlignment="1">
      <alignment vertical="top"/>
    </xf>
    <xf numFmtId="0" fontId="6" fillId="44" borderId="48" xfId="0" applyFont="1" applyFill="1" applyBorder="1" applyAlignment="1">
      <alignment vertical="center"/>
    </xf>
    <xf numFmtId="0" fontId="0" fillId="44" borderId="49" xfId="0" applyFill="1" applyBorder="1"/>
    <xf numFmtId="0" fontId="0" fillId="44" borderId="49" xfId="0" applyFill="1" applyBorder="1" applyAlignment="1"/>
    <xf numFmtId="0" fontId="0" fillId="44" borderId="50" xfId="0" applyFill="1" applyBorder="1" applyAlignment="1"/>
    <xf numFmtId="0" fontId="4" fillId="50" borderId="76" xfId="0" applyFont="1" applyFill="1" applyBorder="1" applyAlignment="1">
      <alignment horizontal="left" vertical="center"/>
    </xf>
    <xf numFmtId="0" fontId="4" fillId="50" borderId="54" xfId="0" applyFont="1" applyFill="1" applyBorder="1" applyAlignment="1">
      <alignment vertical="top"/>
    </xf>
    <xf numFmtId="0" fontId="4" fillId="4" borderId="77" xfId="0" applyFont="1" applyFill="1" applyBorder="1" applyAlignment="1">
      <alignment horizontal="center" vertical="center"/>
    </xf>
    <xf numFmtId="0" fontId="0" fillId="47" borderId="78" xfId="0" applyFont="1" applyFill="1" applyBorder="1" applyAlignment="1">
      <alignment horizontal="left" vertical="top" wrapText="1"/>
    </xf>
    <xf numFmtId="0" fontId="4" fillId="4" borderId="79" xfId="0" applyFont="1" applyFill="1" applyBorder="1" applyAlignment="1">
      <alignment horizontal="center" vertical="center"/>
    </xf>
    <xf numFmtId="0" fontId="0" fillId="47" borderId="80" xfId="0" applyFont="1" applyFill="1" applyBorder="1" applyAlignment="1">
      <alignment horizontal="left" vertical="top" wrapText="1"/>
    </xf>
    <xf numFmtId="0" fontId="4" fillId="4" borderId="81" xfId="0" applyFont="1" applyFill="1" applyBorder="1" applyAlignment="1">
      <alignment horizontal="center" vertical="center"/>
    </xf>
    <xf numFmtId="0" fontId="0" fillId="47" borderId="82" xfId="0" applyFont="1" applyFill="1" applyBorder="1" applyAlignment="1">
      <alignment horizontal="left" vertical="top" wrapText="1"/>
    </xf>
    <xf numFmtId="0" fontId="4" fillId="11" borderId="39" xfId="0" applyFont="1" applyFill="1" applyBorder="1" applyAlignment="1">
      <alignment horizontal="center" vertical="center"/>
    </xf>
    <xf numFmtId="0" fontId="4" fillId="54" borderId="39" xfId="0" applyFont="1" applyFill="1" applyBorder="1"/>
    <xf numFmtId="0" fontId="0" fillId="47" borderId="83" xfId="0" applyFill="1" applyBorder="1"/>
    <xf numFmtId="0" fontId="0" fillId="47" borderId="39" xfId="0" applyFill="1" applyBorder="1" applyAlignment="1">
      <alignment horizontal="left" vertical="top" wrapText="1"/>
    </xf>
    <xf numFmtId="0" fontId="0" fillId="47" borderId="84" xfId="0" applyFill="1" applyBorder="1"/>
    <xf numFmtId="0" fontId="0" fillId="47" borderId="85" xfId="0" applyFill="1" applyBorder="1"/>
    <xf numFmtId="0" fontId="0" fillId="47" borderId="39" xfId="0" applyFill="1" applyBorder="1"/>
    <xf numFmtId="0" fontId="6" fillId="45" borderId="0" xfId="0" applyFont="1" applyFill="1" applyAlignment="1">
      <alignment horizontal="left" vertical="center"/>
    </xf>
    <xf numFmtId="0" fontId="7" fillId="47" borderId="83" xfId="0" applyFont="1" applyFill="1" applyBorder="1" applyAlignment="1">
      <alignment vertical="center" wrapText="1"/>
    </xf>
    <xf numFmtId="0" fontId="7" fillId="47" borderId="84" xfId="0" applyFont="1" applyFill="1" applyBorder="1" applyAlignment="1">
      <alignment vertical="center" wrapText="1"/>
    </xf>
    <xf numFmtId="0" fontId="7" fillId="47" borderId="85" xfId="0" applyFont="1" applyFill="1" applyBorder="1" applyAlignment="1">
      <alignment vertical="center" wrapText="1"/>
    </xf>
    <xf numFmtId="0" fontId="7" fillId="45" borderId="0" xfId="0" applyFont="1" applyFill="1" applyBorder="1" applyAlignment="1">
      <alignment vertical="center" wrapText="1"/>
    </xf>
    <xf numFmtId="0" fontId="6" fillId="11" borderId="0" xfId="0" applyFont="1" applyFill="1" applyBorder="1"/>
    <xf numFmtId="0" fontId="16" fillId="45" borderId="0" xfId="0" applyFont="1" applyFill="1" applyBorder="1" applyAlignment="1">
      <alignment horizontal="left" vertical="center"/>
    </xf>
    <xf numFmtId="0" fontId="0" fillId="47" borderId="86" xfId="0" applyFill="1" applyBorder="1"/>
    <xf numFmtId="0" fontId="3" fillId="17" borderId="2" xfId="0" applyFont="1" applyFill="1" applyBorder="1" applyAlignment="1">
      <alignment vertical="top"/>
    </xf>
    <xf numFmtId="0" fontId="12" fillId="47" borderId="0" xfId="0" applyFont="1" applyFill="1" applyBorder="1" applyAlignment="1">
      <alignment horizontal="center" vertical="center" wrapText="1"/>
    </xf>
    <xf numFmtId="0" fontId="3" fillId="47" borderId="0" xfId="0" applyFont="1" applyFill="1" applyBorder="1"/>
    <xf numFmtId="0" fontId="0" fillId="47" borderId="90" xfId="0" applyFill="1" applyBorder="1" applyAlignment="1">
      <alignment horizontal="left" vertical="top" wrapText="1"/>
    </xf>
    <xf numFmtId="0" fontId="0" fillId="47" borderId="91" xfId="0" applyFill="1" applyBorder="1" applyAlignment="1">
      <alignment horizontal="left" vertical="top" wrapText="1"/>
    </xf>
    <xf numFmtId="0" fontId="0" fillId="47" borderId="92" xfId="0" applyFill="1" applyBorder="1" applyAlignment="1">
      <alignment horizontal="left" vertical="top" wrapText="1"/>
    </xf>
    <xf numFmtId="0" fontId="0" fillId="47" borderId="93" xfId="0" applyFill="1" applyBorder="1" applyAlignment="1">
      <alignment horizontal="left" vertical="top" wrapText="1"/>
    </xf>
    <xf numFmtId="0" fontId="17" fillId="56" borderId="89" xfId="0" applyFont="1" applyFill="1" applyBorder="1" applyAlignment="1">
      <alignment horizontal="left" vertical="center"/>
    </xf>
    <xf numFmtId="0" fontId="18" fillId="56" borderId="88" xfId="0" applyFont="1" applyFill="1" applyBorder="1" applyAlignment="1">
      <alignment horizontal="left" vertical="center"/>
    </xf>
    <xf numFmtId="0" fontId="5" fillId="45" borderId="0" xfId="0" applyFont="1" applyFill="1" applyAlignment="1">
      <alignment vertical="center"/>
    </xf>
    <xf numFmtId="0" fontId="20" fillId="0" borderId="0" xfId="0" applyFont="1"/>
    <xf numFmtId="0" fontId="0" fillId="57" borderId="0" xfId="0" applyFill="1"/>
    <xf numFmtId="0" fontId="20" fillId="57" borderId="0" xfId="0" applyFont="1" applyFill="1"/>
    <xf numFmtId="0" fontId="15" fillId="57" borderId="0" xfId="0" applyFont="1" applyFill="1"/>
    <xf numFmtId="0" fontId="20" fillId="47" borderId="0" xfId="0" applyFont="1" applyFill="1"/>
    <xf numFmtId="0" fontId="15" fillId="50" borderId="0" xfId="0" applyFont="1" applyFill="1"/>
    <xf numFmtId="0" fontId="15" fillId="48" borderId="0" xfId="0" applyFont="1" applyFill="1"/>
    <xf numFmtId="0" fontId="20" fillId="48" borderId="0" xfId="0" applyFont="1" applyFill="1"/>
    <xf numFmtId="0" fontId="15" fillId="52" borderId="0" xfId="0" applyFont="1" applyFill="1"/>
    <xf numFmtId="0" fontId="20" fillId="52" borderId="0" xfId="0" applyFont="1" applyFill="1"/>
    <xf numFmtId="165" fontId="3" fillId="47" borderId="0" xfId="0" applyNumberFormat="1" applyFont="1" applyFill="1" applyBorder="1"/>
    <xf numFmtId="0" fontId="19" fillId="47" borderId="0" xfId="0" applyFont="1" applyFill="1"/>
    <xf numFmtId="165" fontId="21" fillId="47" borderId="0" xfId="0" applyNumberFormat="1" applyFont="1" applyFill="1" applyBorder="1"/>
    <xf numFmtId="0" fontId="3" fillId="32" borderId="87" xfId="0" applyFont="1" applyFill="1" applyBorder="1"/>
    <xf numFmtId="0" fontId="3" fillId="26" borderId="87" xfId="0" applyFont="1" applyFill="1" applyBorder="1"/>
    <xf numFmtId="0" fontId="3" fillId="21" borderId="87" xfId="0" applyFont="1" applyFill="1" applyBorder="1"/>
    <xf numFmtId="0" fontId="3" fillId="12" borderId="87" xfId="0" applyFont="1" applyFill="1" applyBorder="1"/>
    <xf numFmtId="0" fontId="3" fillId="36" borderId="87" xfId="0" applyFont="1" applyFill="1" applyBorder="1"/>
    <xf numFmtId="0" fontId="3" fillId="22" borderId="87" xfId="0" applyFont="1" applyFill="1" applyBorder="1"/>
    <xf numFmtId="0" fontId="3" fillId="27" borderId="87" xfId="0" applyFont="1" applyFill="1" applyBorder="1"/>
    <xf numFmtId="0" fontId="3" fillId="13" borderId="87" xfId="0" applyFont="1" applyFill="1" applyBorder="1"/>
    <xf numFmtId="0" fontId="3" fillId="37" borderId="87" xfId="0" applyFont="1" applyFill="1" applyBorder="1"/>
    <xf numFmtId="0" fontId="3" fillId="14" borderId="87" xfId="0" applyFont="1" applyFill="1" applyBorder="1"/>
    <xf numFmtId="0" fontId="3" fillId="23" borderId="87" xfId="0" applyFont="1" applyFill="1" applyBorder="1"/>
    <xf numFmtId="0" fontId="3" fillId="28" borderId="87" xfId="0" applyFont="1" applyFill="1" applyBorder="1"/>
    <xf numFmtId="0" fontId="3" fillId="32" borderId="10" xfId="0" applyFont="1" applyFill="1" applyBorder="1"/>
    <xf numFmtId="0" fontId="3" fillId="26" borderId="10" xfId="0" applyFont="1" applyFill="1" applyBorder="1"/>
    <xf numFmtId="0" fontId="3" fillId="21" borderId="10" xfId="0" applyFont="1" applyFill="1" applyBorder="1"/>
    <xf numFmtId="0" fontId="3" fillId="12" borderId="10" xfId="0" applyFont="1" applyFill="1" applyBorder="1"/>
    <xf numFmtId="0" fontId="3" fillId="36" borderId="10" xfId="0" applyFont="1" applyFill="1" applyBorder="1"/>
    <xf numFmtId="0" fontId="3" fillId="22" borderId="10" xfId="0" applyFont="1" applyFill="1" applyBorder="1"/>
    <xf numFmtId="0" fontId="3" fillId="27" borderId="10" xfId="0" applyFont="1" applyFill="1" applyBorder="1"/>
    <xf numFmtId="0" fontId="3" fillId="13" borderId="10" xfId="0" applyFont="1" applyFill="1" applyBorder="1"/>
    <xf numFmtId="0" fontId="3" fillId="37" borderId="10" xfId="0" applyFont="1" applyFill="1" applyBorder="1"/>
    <xf numFmtId="0" fontId="3" fillId="14" borderId="10" xfId="0" applyFont="1" applyFill="1" applyBorder="1"/>
    <xf numFmtId="0" fontId="3" fillId="23" borderId="10" xfId="0" applyFont="1" applyFill="1" applyBorder="1"/>
    <xf numFmtId="0" fontId="3" fillId="28" borderId="10" xfId="0" applyFont="1" applyFill="1" applyBorder="1"/>
    <xf numFmtId="0" fontId="12" fillId="47" borderId="0" xfId="0" quotePrefix="1" applyFont="1" applyFill="1" applyBorder="1" applyAlignment="1">
      <alignment horizontal="center" vertical="center" wrapText="1"/>
    </xf>
    <xf numFmtId="0" fontId="15" fillId="49" borderId="0" xfId="0" applyFont="1" applyFill="1"/>
    <xf numFmtId="0" fontId="20" fillId="49" borderId="0" xfId="0" applyFont="1" applyFill="1"/>
    <xf numFmtId="165" fontId="21" fillId="49" borderId="0" xfId="0" applyNumberFormat="1" applyFont="1" applyFill="1" applyBorder="1"/>
    <xf numFmtId="165" fontId="3" fillId="49" borderId="0" xfId="0" applyNumberFormat="1" applyFont="1" applyFill="1" applyBorder="1"/>
    <xf numFmtId="0" fontId="0" fillId="58" borderId="0" xfId="0" applyFill="1"/>
    <xf numFmtId="0" fontId="6" fillId="4" borderId="0" xfId="0" applyFont="1" applyFill="1" applyAlignment="1">
      <alignment horizontal="center" vertical="top" wrapText="1"/>
    </xf>
    <xf numFmtId="0" fontId="3" fillId="16" borderId="87" xfId="0" applyFont="1" applyFill="1" applyBorder="1"/>
    <xf numFmtId="0" fontId="3" fillId="17" borderId="87" xfId="0" applyFont="1" applyFill="1" applyBorder="1"/>
    <xf numFmtId="0" fontId="3" fillId="18" borderId="87" xfId="0" applyFont="1" applyFill="1" applyBorder="1"/>
    <xf numFmtId="0" fontId="3" fillId="6" borderId="87" xfId="0" applyFont="1" applyFill="1" applyBorder="1"/>
    <xf numFmtId="0" fontId="3" fillId="19" borderId="87" xfId="0" applyFont="1" applyFill="1" applyBorder="1"/>
    <xf numFmtId="0" fontId="3" fillId="10" borderId="87" xfId="0" applyFont="1" applyFill="1" applyBorder="1"/>
    <xf numFmtId="0" fontId="3" fillId="20" borderId="87" xfId="0" applyFont="1" applyFill="1" applyBorder="1"/>
    <xf numFmtId="0" fontId="3" fillId="11" borderId="87" xfId="0" applyFont="1" applyFill="1" applyBorder="1"/>
    <xf numFmtId="0" fontId="3" fillId="25" borderId="87" xfId="0" applyFont="1" applyFill="1" applyBorder="1"/>
    <xf numFmtId="0" fontId="3" fillId="24" borderId="87" xfId="0" applyFont="1" applyFill="1" applyBorder="1"/>
    <xf numFmtId="0" fontId="3" fillId="29" borderId="87" xfId="0" applyFont="1" applyFill="1" applyBorder="1"/>
    <xf numFmtId="0" fontId="3" fillId="15" borderId="87" xfId="0" applyFont="1" applyFill="1" applyBorder="1"/>
    <xf numFmtId="0" fontId="3" fillId="38" borderId="87" xfId="0" applyFont="1" applyFill="1" applyBorder="1"/>
    <xf numFmtId="0" fontId="3" fillId="30" borderId="87" xfId="0" applyFont="1" applyFill="1" applyBorder="1"/>
    <xf numFmtId="0" fontId="3" fillId="39" borderId="87" xfId="0" applyFont="1" applyFill="1" applyBorder="1"/>
    <xf numFmtId="0" fontId="3" fillId="31" borderId="87" xfId="0" applyFont="1" applyFill="1" applyBorder="1"/>
    <xf numFmtId="0" fontId="3" fillId="40" borderId="87" xfId="0" applyFont="1" applyFill="1" applyBorder="1"/>
    <xf numFmtId="0" fontId="3" fillId="40" borderId="95" xfId="0" applyFont="1" applyFill="1" applyBorder="1"/>
    <xf numFmtId="0" fontId="12" fillId="47" borderId="96" xfId="0" applyFont="1" applyFill="1" applyBorder="1" applyAlignment="1">
      <alignment horizontal="center" vertical="center" wrapText="1"/>
    </xf>
    <xf numFmtId="0" fontId="3" fillId="16" borderId="10" xfId="0" applyFont="1" applyFill="1" applyBorder="1"/>
    <xf numFmtId="0" fontId="3" fillId="17" borderId="10" xfId="0" applyFont="1" applyFill="1" applyBorder="1"/>
    <xf numFmtId="0" fontId="3" fillId="18" borderId="10" xfId="0" applyFont="1" applyFill="1" applyBorder="1"/>
    <xf numFmtId="0" fontId="3" fillId="6" borderId="10" xfId="0" applyFont="1" applyFill="1" applyBorder="1"/>
    <xf numFmtId="0" fontId="3" fillId="19" borderId="10" xfId="0" applyFont="1" applyFill="1" applyBorder="1"/>
    <xf numFmtId="0" fontId="3" fillId="10" borderId="10" xfId="0" applyFont="1" applyFill="1" applyBorder="1"/>
    <xf numFmtId="0" fontId="3" fillId="20" borderId="10" xfId="0" applyFont="1" applyFill="1" applyBorder="1"/>
    <xf numFmtId="0" fontId="3" fillId="11" borderId="10" xfId="0" applyFont="1" applyFill="1" applyBorder="1"/>
    <xf numFmtId="0" fontId="3" fillId="25" borderId="10" xfId="0" applyFont="1" applyFill="1" applyBorder="1"/>
    <xf numFmtId="0" fontId="3" fillId="24" borderId="10" xfId="0" applyFont="1" applyFill="1" applyBorder="1"/>
    <xf numFmtId="0" fontId="3" fillId="29" borderId="10" xfId="0" applyFont="1" applyFill="1" applyBorder="1"/>
    <xf numFmtId="0" fontId="3" fillId="15" borderId="10" xfId="0" applyFont="1" applyFill="1" applyBorder="1"/>
    <xf numFmtId="0" fontId="3" fillId="38" borderId="10" xfId="0" applyFont="1" applyFill="1" applyBorder="1"/>
    <xf numFmtId="0" fontId="3" fillId="30" borderId="10" xfId="0" applyFont="1" applyFill="1" applyBorder="1"/>
    <xf numFmtId="0" fontId="3" fillId="39" borderId="10" xfId="0" applyFont="1" applyFill="1" applyBorder="1"/>
    <xf numFmtId="0" fontId="3" fillId="31" borderId="10" xfId="0" applyFont="1" applyFill="1" applyBorder="1"/>
    <xf numFmtId="0" fontId="3" fillId="40" borderId="10" xfId="0" applyFont="1" applyFill="1" applyBorder="1"/>
    <xf numFmtId="0" fontId="2" fillId="16" borderId="2" xfId="0" applyFont="1" applyFill="1" applyBorder="1"/>
    <xf numFmtId="0" fontId="2" fillId="17" borderId="2" xfId="0" applyFont="1" applyFill="1" applyBorder="1"/>
    <xf numFmtId="0" fontId="2" fillId="18" borderId="2" xfId="0" applyFont="1" applyFill="1" applyBorder="1"/>
    <xf numFmtId="0" fontId="2" fillId="6" borderId="2" xfId="0" applyFont="1" applyFill="1" applyBorder="1"/>
    <xf numFmtId="0" fontId="2" fillId="19" borderId="2" xfId="0" applyFont="1" applyFill="1" applyBorder="1"/>
    <xf numFmtId="0" fontId="2" fillId="10" borderId="2" xfId="0" applyFont="1" applyFill="1" applyBorder="1"/>
    <xf numFmtId="0" fontId="2" fillId="20" borderId="2" xfId="0" applyFont="1" applyFill="1" applyBorder="1"/>
    <xf numFmtId="0" fontId="2" fillId="11" borderId="2" xfId="0" applyFont="1" applyFill="1" applyBorder="1"/>
    <xf numFmtId="0" fontId="2" fillId="25" borderId="2" xfId="0" applyFont="1" applyFill="1" applyBorder="1"/>
    <xf numFmtId="0" fontId="2" fillId="26" borderId="2" xfId="0" applyFont="1" applyFill="1" applyBorder="1"/>
    <xf numFmtId="0" fontId="2" fillId="21" borderId="2" xfId="0" applyFont="1" applyFill="1" applyBorder="1"/>
    <xf numFmtId="0" fontId="2" fillId="32" borderId="2" xfId="0" applyFont="1" applyFill="1" applyBorder="1"/>
    <xf numFmtId="0" fontId="2" fillId="12" borderId="2" xfId="0" applyFont="1" applyFill="1" applyBorder="1"/>
    <xf numFmtId="0" fontId="2" fillId="36" borderId="2" xfId="0" applyFont="1" applyFill="1" applyBorder="1"/>
    <xf numFmtId="0" fontId="2" fillId="13" borderId="2" xfId="0" applyFont="1" applyFill="1" applyBorder="1"/>
    <xf numFmtId="0" fontId="2" fillId="22" borderId="2" xfId="0" applyFont="1" applyFill="1" applyBorder="1"/>
    <xf numFmtId="0" fontId="2" fillId="27" borderId="2" xfId="0" applyFont="1" applyFill="1" applyBorder="1"/>
    <xf numFmtId="0" fontId="2" fillId="37" borderId="2" xfId="0" applyFont="1" applyFill="1" applyBorder="1"/>
    <xf numFmtId="0" fontId="2" fillId="28" borderId="2" xfId="0" applyFont="1" applyFill="1" applyBorder="1"/>
    <xf numFmtId="0" fontId="2" fillId="23" borderId="2" xfId="0" applyFont="1" applyFill="1" applyBorder="1"/>
    <xf numFmtId="0" fontId="2" fillId="14" borderId="2" xfId="0" applyFont="1" applyFill="1" applyBorder="1"/>
    <xf numFmtId="0" fontId="2" fillId="24" borderId="2" xfId="0" applyFont="1" applyFill="1" applyBorder="1"/>
    <xf numFmtId="0" fontId="2" fillId="29" borderId="2" xfId="0" applyFont="1" applyFill="1" applyBorder="1"/>
    <xf numFmtId="0" fontId="2" fillId="15" borderId="2" xfId="0" applyFont="1" applyFill="1" applyBorder="1"/>
    <xf numFmtId="0" fontId="2" fillId="38" borderId="2" xfId="0" applyFont="1" applyFill="1" applyBorder="1"/>
    <xf numFmtId="0" fontId="2" fillId="30" borderId="2" xfId="0" applyFont="1" applyFill="1" applyBorder="1"/>
    <xf numFmtId="0" fontId="2" fillId="39" borderId="2" xfId="0" applyFont="1" applyFill="1" applyBorder="1"/>
    <xf numFmtId="0" fontId="2" fillId="31" borderId="2" xfId="0" applyFont="1" applyFill="1" applyBorder="1"/>
    <xf numFmtId="0" fontId="2" fillId="40" borderId="2" xfId="0" applyFont="1" applyFill="1" applyBorder="1"/>
    <xf numFmtId="15" fontId="2" fillId="16" borderId="2" xfId="0" applyNumberFormat="1" applyFont="1" applyFill="1" applyBorder="1"/>
    <xf numFmtId="15" fontId="2" fillId="17" borderId="2" xfId="0" applyNumberFormat="1" applyFont="1" applyFill="1" applyBorder="1"/>
    <xf numFmtId="15" fontId="2" fillId="18" borderId="2" xfId="0" applyNumberFormat="1" applyFont="1" applyFill="1" applyBorder="1"/>
    <xf numFmtId="15" fontId="2" fillId="6" borderId="2" xfId="0" applyNumberFormat="1" applyFont="1" applyFill="1" applyBorder="1"/>
    <xf numFmtId="15" fontId="2" fillId="19" borderId="2" xfId="0" applyNumberFormat="1" applyFont="1" applyFill="1" applyBorder="1"/>
    <xf numFmtId="15" fontId="2" fillId="10" borderId="2" xfId="0" applyNumberFormat="1" applyFont="1" applyFill="1" applyBorder="1"/>
    <xf numFmtId="15" fontId="2" fillId="20" borderId="2" xfId="0" applyNumberFormat="1" applyFont="1" applyFill="1" applyBorder="1"/>
    <xf numFmtId="15" fontId="2" fillId="11" borderId="2" xfId="0" applyNumberFormat="1" applyFont="1" applyFill="1" applyBorder="1"/>
    <xf numFmtId="15" fontId="2" fillId="25" borderId="2" xfId="0" applyNumberFormat="1" applyFont="1" applyFill="1" applyBorder="1"/>
    <xf numFmtId="15" fontId="2" fillId="26" borderId="2" xfId="0" applyNumberFormat="1" applyFont="1" applyFill="1" applyBorder="1"/>
    <xf numFmtId="15" fontId="2" fillId="21" borderId="2" xfId="0" applyNumberFormat="1" applyFont="1" applyFill="1" applyBorder="1"/>
    <xf numFmtId="15" fontId="2" fillId="32" borderId="2" xfId="0" applyNumberFormat="1" applyFont="1" applyFill="1" applyBorder="1"/>
    <xf numFmtId="15" fontId="2" fillId="12" borderId="2" xfId="0" applyNumberFormat="1" applyFont="1" applyFill="1" applyBorder="1"/>
    <xf numFmtId="15" fontId="2" fillId="36" borderId="2" xfId="0" applyNumberFormat="1" applyFont="1" applyFill="1" applyBorder="1"/>
    <xf numFmtId="15" fontId="2" fillId="13" borderId="2" xfId="0" applyNumberFormat="1" applyFont="1" applyFill="1" applyBorder="1"/>
    <xf numFmtId="164" fontId="2" fillId="22" borderId="2" xfId="0" applyNumberFormat="1" applyFont="1" applyFill="1" applyBorder="1"/>
    <xf numFmtId="15" fontId="2" fillId="22" borderId="2" xfId="0" applyNumberFormat="1" applyFont="1" applyFill="1" applyBorder="1"/>
    <xf numFmtId="15" fontId="2" fillId="27" borderId="2" xfId="0" applyNumberFormat="1" applyFont="1" applyFill="1" applyBorder="1"/>
    <xf numFmtId="15" fontId="2" fillId="37" borderId="2" xfId="0" applyNumberFormat="1" applyFont="1" applyFill="1" applyBorder="1"/>
    <xf numFmtId="15" fontId="2" fillId="28" borderId="2" xfId="0" applyNumberFormat="1" applyFont="1" applyFill="1" applyBorder="1"/>
    <xf numFmtId="15" fontId="2" fillId="23" borderId="2" xfId="0" applyNumberFormat="1" applyFont="1" applyFill="1" applyBorder="1"/>
    <xf numFmtId="15" fontId="2" fillId="14" borderId="2" xfId="0" applyNumberFormat="1" applyFont="1" applyFill="1" applyBorder="1"/>
    <xf numFmtId="15" fontId="2" fillId="24" borderId="2" xfId="0" applyNumberFormat="1" applyFont="1" applyFill="1" applyBorder="1"/>
    <xf numFmtId="15" fontId="2" fillId="29" borderId="2" xfId="0" applyNumberFormat="1" applyFont="1" applyFill="1" applyBorder="1"/>
    <xf numFmtId="15" fontId="2" fillId="15" borderId="2" xfId="0" applyNumberFormat="1" applyFont="1" applyFill="1" applyBorder="1"/>
    <xf numFmtId="15" fontId="2" fillId="38" borderId="2" xfId="0" applyNumberFormat="1" applyFont="1" applyFill="1" applyBorder="1"/>
    <xf numFmtId="15" fontId="2" fillId="30" borderId="2" xfId="0" applyNumberFormat="1" applyFont="1" applyFill="1" applyBorder="1"/>
    <xf numFmtId="15" fontId="2" fillId="39" borderId="2" xfId="0" applyNumberFormat="1" applyFont="1" applyFill="1" applyBorder="1"/>
    <xf numFmtId="15" fontId="2" fillId="31" borderId="2" xfId="0" applyNumberFormat="1" applyFont="1" applyFill="1" applyBorder="1"/>
    <xf numFmtId="15" fontId="2" fillId="40" borderId="2" xfId="0" applyNumberFormat="1" applyFont="1" applyFill="1" applyBorder="1"/>
    <xf numFmtId="0" fontId="0" fillId="47" borderId="70" xfId="0" applyFont="1" applyFill="1" applyBorder="1" applyAlignment="1">
      <alignment horizontal="left" vertical="top" wrapText="1"/>
    </xf>
    <xf numFmtId="0" fontId="0" fillId="47" borderId="71" xfId="0" applyFont="1" applyFill="1" applyBorder="1" applyAlignment="1">
      <alignment horizontal="left" vertical="top" wrapText="1"/>
    </xf>
    <xf numFmtId="0" fontId="0" fillId="47" borderId="97" xfId="0" applyFont="1" applyFill="1" applyBorder="1" applyAlignment="1">
      <alignment horizontal="left" vertical="top" wrapText="1"/>
    </xf>
    <xf numFmtId="0" fontId="0" fillId="47" borderId="0" xfId="0" applyFont="1" applyFill="1" applyBorder="1" applyAlignment="1">
      <alignment horizontal="left" vertical="center" textRotation="90" wrapText="1"/>
    </xf>
    <xf numFmtId="0" fontId="0" fillId="47" borderId="74" xfId="0" applyFont="1" applyFill="1" applyBorder="1" applyAlignment="1">
      <alignment horizontal="left" vertical="top" wrapText="1"/>
    </xf>
    <xf numFmtId="0" fontId="0" fillId="47" borderId="0" xfId="0" applyFont="1" applyFill="1" applyBorder="1" applyAlignment="1">
      <alignment horizontal="left" vertical="top" wrapText="1"/>
    </xf>
    <xf numFmtId="0" fontId="4" fillId="4" borderId="71" xfId="0" applyFont="1" applyFill="1" applyBorder="1" applyAlignment="1">
      <alignment horizontal="center" vertical="center"/>
    </xf>
    <xf numFmtId="0" fontId="4" fillId="4" borderId="0" xfId="0" applyFont="1" applyFill="1" applyBorder="1" applyAlignment="1">
      <alignment horizontal="center" vertical="center"/>
    </xf>
    <xf numFmtId="0" fontId="4" fillId="4" borderId="70" xfId="0" applyFont="1" applyFill="1" applyBorder="1" applyAlignment="1">
      <alignment horizontal="center" vertical="center"/>
    </xf>
    <xf numFmtId="0" fontId="4" fillId="4" borderId="72" xfId="0" applyFont="1" applyFill="1" applyBorder="1" applyAlignment="1">
      <alignment horizontal="center" vertical="center"/>
    </xf>
    <xf numFmtId="0" fontId="4" fillId="4" borderId="74" xfId="0" applyFont="1" applyFill="1" applyBorder="1" applyAlignment="1">
      <alignment horizontal="center" vertical="center"/>
    </xf>
    <xf numFmtId="0" fontId="4" fillId="4" borderId="75" xfId="0" applyFont="1" applyFill="1" applyBorder="1" applyAlignment="1">
      <alignment horizontal="center" vertical="center"/>
    </xf>
    <xf numFmtId="0" fontId="4" fillId="4" borderId="100" xfId="0" applyFont="1" applyFill="1" applyBorder="1" applyAlignment="1">
      <alignment horizontal="center" vertical="center"/>
    </xf>
    <xf numFmtId="0" fontId="4" fillId="4" borderId="101" xfId="0" applyFont="1" applyFill="1" applyBorder="1" applyAlignment="1">
      <alignment horizontal="center" vertical="center"/>
    </xf>
    <xf numFmtId="0" fontId="0" fillId="47" borderId="72" xfId="0" applyFont="1" applyFill="1" applyBorder="1" applyAlignment="1">
      <alignment horizontal="left" vertical="top" wrapText="1"/>
    </xf>
    <xf numFmtId="0" fontId="0" fillId="47" borderId="75" xfId="0" applyFont="1" applyFill="1" applyBorder="1" applyAlignment="1">
      <alignment horizontal="left" vertical="top" wrapText="1"/>
    </xf>
    <xf numFmtId="0" fontId="4" fillId="47" borderId="74" xfId="0" applyFont="1" applyFill="1" applyBorder="1" applyAlignment="1">
      <alignment horizontal="left" vertical="center" textRotation="90" wrapText="1"/>
    </xf>
    <xf numFmtId="0" fontId="0" fillId="47" borderId="75" xfId="0" applyFont="1" applyFill="1" applyBorder="1" applyAlignment="1">
      <alignment horizontal="left" vertical="center" textRotation="90" wrapText="1"/>
    </xf>
    <xf numFmtId="0" fontId="0" fillId="47" borderId="74" xfId="0" applyFont="1" applyFill="1" applyBorder="1" applyAlignment="1">
      <alignment horizontal="left" vertical="center" textRotation="90" wrapText="1"/>
    </xf>
    <xf numFmtId="0" fontId="0" fillId="47" borderId="100" xfId="0" applyFont="1" applyFill="1" applyBorder="1" applyAlignment="1">
      <alignment horizontal="left" vertical="center" textRotation="90" wrapText="1"/>
    </xf>
    <xf numFmtId="0" fontId="0" fillId="47" borderId="94" xfId="0" applyFont="1" applyFill="1" applyBorder="1" applyAlignment="1">
      <alignment horizontal="left" vertical="center" textRotation="90" wrapText="1"/>
    </xf>
    <xf numFmtId="0" fontId="0" fillId="47" borderId="101" xfId="0" applyFont="1" applyFill="1" applyBorder="1" applyAlignment="1">
      <alignment horizontal="left" vertical="center" textRotation="90" wrapText="1"/>
    </xf>
    <xf numFmtId="0" fontId="0" fillId="47" borderId="54" xfId="0" applyFont="1" applyFill="1" applyBorder="1" applyAlignment="1">
      <alignment horizontal="left" vertical="center" textRotation="90" wrapText="1"/>
    </xf>
    <xf numFmtId="0" fontId="0" fillId="47" borderId="98" xfId="0" applyFont="1" applyFill="1" applyBorder="1" applyAlignment="1">
      <alignment horizontal="left" vertical="center" textRotation="90" wrapText="1"/>
    </xf>
    <xf numFmtId="0" fontId="0" fillId="47" borderId="56" xfId="0" applyFont="1" applyFill="1" applyBorder="1" applyAlignment="1">
      <alignment horizontal="left" vertical="center" textRotation="90" wrapText="1"/>
    </xf>
    <xf numFmtId="0" fontId="0" fillId="47" borderId="99" xfId="0" applyFont="1" applyFill="1" applyBorder="1" applyAlignment="1">
      <alignment horizontal="left" vertical="center" textRotation="90" wrapText="1"/>
    </xf>
    <xf numFmtId="0" fontId="7" fillId="47" borderId="102" xfId="0" applyFont="1" applyFill="1" applyBorder="1" applyAlignment="1">
      <alignment vertical="center" wrapText="1"/>
    </xf>
    <xf numFmtId="0" fontId="7" fillId="47" borderId="103" xfId="0" applyFont="1" applyFill="1" applyBorder="1" applyAlignment="1">
      <alignment vertical="center" wrapText="1"/>
    </xf>
    <xf numFmtId="0" fontId="7" fillId="47" borderId="104" xfId="0" applyFont="1" applyFill="1" applyBorder="1" applyAlignment="1">
      <alignment vertical="center" wrapText="1"/>
    </xf>
  </cellXfs>
  <cellStyles count="2">
    <cellStyle name="Hyperlink" xfId="1" builtinId="8"/>
    <cellStyle name="Normal" xfId="0" builtinId="0"/>
  </cellStyles>
  <dxfs count="33">
    <dxf>
      <border>
        <top style="thin">
          <color auto="1"/>
        </top>
      </border>
    </dxf>
    <dxf>
      <border>
        <top style="thin">
          <color auto="1"/>
        </top>
      </border>
    </dxf>
    <dxf>
      <border>
        <top style="thin">
          <color auto="1"/>
        </top>
      </border>
    </dxf>
    <dxf>
      <border>
        <top style="thin">
          <color auto="1"/>
        </top>
      </border>
    </dxf>
    <dxf>
      <fill>
        <patternFill patternType="solid">
          <bgColor theme="0" tint="-0.34998626667073579"/>
        </patternFill>
      </fill>
      <border>
        <top style="thin">
          <color auto="1"/>
        </top>
      </border>
    </dxf>
    <dxf>
      <fill>
        <patternFill>
          <bgColor theme="0" tint="-0.14996795556505021"/>
        </patternFill>
      </fill>
      <border>
        <left/>
        <right/>
        <top/>
        <bottom/>
      </border>
    </dxf>
    <dxf>
      <border>
        <top style="thin">
          <color auto="1"/>
        </top>
      </border>
    </dxf>
    <dxf>
      <border>
        <top style="thin">
          <color auto="1"/>
        </top>
      </border>
    </dxf>
    <dxf>
      <border>
        <top style="thin">
          <color auto="1"/>
        </top>
      </border>
    </dxf>
    <dxf>
      <fill>
        <patternFill>
          <bgColor theme="0" tint="-0.14996795556505021"/>
        </patternFill>
      </fill>
      <border>
        <left/>
        <right/>
        <top/>
        <bottom/>
      </border>
    </dxf>
    <dxf>
      <fill>
        <patternFill patternType="solid">
          <bgColor theme="0" tint="-0.34998626667073579"/>
        </patternFill>
      </fill>
      <border>
        <top style="thin">
          <color auto="1"/>
        </top>
      </border>
    </dxf>
    <dxf>
      <font>
        <b/>
        <i val="0"/>
        <strike val="0"/>
        <condense val="0"/>
        <extend val="0"/>
        <outline val="0"/>
        <shadow val="0"/>
        <u val="none"/>
        <vertAlign val="baseline"/>
        <sz val="12"/>
        <color auto="1"/>
        <name val="Calibri"/>
        <family val="2"/>
        <scheme val="minor"/>
      </font>
      <numFmt numFmtId="20" formatCode="d\-mmm\-yy"/>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2"/>
        <color auto="1"/>
        <name val="Calibri"/>
        <family val="2"/>
        <scheme val="minor"/>
      </font>
      <border diagonalUp="0" diagonalDown="0" outline="0">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2"/>
        <color auto="1"/>
        <name val="Calibri"/>
        <family val="2"/>
        <scheme val="minor"/>
      </font>
      <border diagonalUp="0" diagonalDown="0" outline="0">
        <left style="thin">
          <color theme="0" tint="-0.34998626667073579"/>
        </left>
        <right/>
        <top style="thin">
          <color theme="0" tint="-0.34998626667073579"/>
        </top>
        <bottom style="thin">
          <color theme="0" tint="-0.34998626667073579"/>
        </bottom>
      </border>
    </dxf>
    <dxf>
      <font>
        <b/>
        <i val="0"/>
        <strike val="0"/>
        <condense val="0"/>
        <extend val="0"/>
        <outline val="0"/>
        <shadow val="0"/>
        <u val="none"/>
        <vertAlign val="baseline"/>
        <sz val="12"/>
        <color auto="1"/>
        <name val="Calibri"/>
        <family val="2"/>
        <scheme val="minor"/>
      </font>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2"/>
        <color auto="1"/>
        <name val="Calibri"/>
        <family val="2"/>
        <scheme val="minor"/>
      </font>
      <border diagonalUp="0" diagonalDown="0" outline="0">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2"/>
        <color auto="1"/>
        <name val="Calibri"/>
        <family val="2"/>
        <scheme val="minor"/>
      </font>
      <fill>
        <patternFill patternType="solid">
          <fgColor indexed="64"/>
          <bgColor rgb="FF4583BF"/>
        </patternFill>
      </fill>
      <border diagonalUp="0" diagonalDown="0" outline="0">
        <left style="thin">
          <color theme="0" tint="-0.34998626667073579"/>
        </left>
        <right/>
        <top style="thin">
          <color theme="0" tint="-0.34998626667073579"/>
        </top>
        <bottom style="thin">
          <color theme="0" tint="-0.34998626667073579"/>
        </bottom>
      </border>
    </dxf>
    <dxf>
      <font>
        <b val="0"/>
        <i val="0"/>
        <strike val="0"/>
        <condense val="0"/>
        <extend val="0"/>
        <outline val="0"/>
        <shadow val="0"/>
        <u val="none"/>
        <vertAlign val="baseline"/>
        <sz val="12"/>
        <color auto="1"/>
        <name val="Calibri"/>
        <family val="2"/>
        <scheme val="minor"/>
      </font>
      <numFmt numFmtId="0" formatCode="General"/>
      <border diagonalUp="0" diagonalDown="0">
        <left style="thin">
          <color theme="0" tint="-0.249977111117893"/>
        </left>
        <right style="thin">
          <color theme="0" tint="-0.249977111117893"/>
        </right>
        <top style="thin">
          <color theme="0" tint="-0.249977111117893"/>
        </top>
        <bottom style="thin">
          <color theme="0" tint="-0.249977111117893"/>
        </bottom>
        <vertical style="thin">
          <color theme="0" tint="-0.249977111117893"/>
        </vertical>
        <horizontal style="thin">
          <color theme="0" tint="-0.249977111117893"/>
        </horizontal>
      </border>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rgb="FFCF7131"/>
        </patternFill>
      </fill>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i val="0"/>
        <strike val="0"/>
        <condense val="0"/>
        <extend val="0"/>
        <outline val="0"/>
        <shadow val="0"/>
        <u val="none"/>
        <vertAlign val="baseline"/>
        <sz val="16"/>
        <color auto="1"/>
        <name val="Calibri"/>
        <family val="2"/>
        <scheme val="minor"/>
      </font>
      <alignment horizontal="center" vertical="center" textRotation="0" wrapText="1" indent="0" justifyLastLine="0" shrinkToFit="0" readingOrder="0"/>
      <border diagonalUp="0" diagonalDown="0" outline="0">
        <left style="thin">
          <color theme="0" tint="-0.34998626667073579"/>
        </left>
        <right style="thin">
          <color theme="0" tint="-0.34998626667073579"/>
        </right>
        <top/>
        <bottom/>
      </border>
    </dxf>
    <dxf>
      <font>
        <b val="0"/>
        <i val="0"/>
        <strike val="0"/>
        <condense val="0"/>
        <extend val="0"/>
        <outline val="0"/>
        <shadow val="0"/>
        <u val="none"/>
        <vertAlign val="baseline"/>
        <sz val="12"/>
        <color auto="1"/>
        <name val="Calibri"/>
        <family val="2"/>
        <scheme val="minor"/>
      </font>
      <fill>
        <patternFill patternType="solid">
          <fgColor indexed="64"/>
          <bgColor rgb="FFCF7131"/>
        </patternFill>
      </fill>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2"/>
        <color auto="1"/>
        <name val="Calibri"/>
        <family val="2"/>
        <scheme val="minor"/>
      </font>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2"/>
        <color auto="1"/>
        <name val="Calibri"/>
        <family val="2"/>
        <scheme val="minor"/>
      </font>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2"/>
        <color auto="1"/>
        <name val="Calibri"/>
        <family val="2"/>
        <scheme val="minor"/>
      </font>
      <numFmt numFmtId="165" formatCode="[$-409]h:mm\ AM/PM;@"/>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2"/>
        <color auto="1"/>
        <name val="Calibri"/>
        <family val="2"/>
        <scheme val="minor"/>
      </font>
      <fill>
        <patternFill patternType="solid">
          <fgColor indexed="64"/>
          <bgColor rgb="FF4583BF"/>
        </patternFill>
      </fill>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2"/>
        <color auto="1"/>
        <name val="Calibri"/>
        <family val="2"/>
        <scheme val="minor"/>
      </font>
      <fill>
        <patternFill patternType="solid">
          <fgColor indexed="64"/>
          <bgColor rgb="FF4583BF"/>
        </patternFill>
      </fill>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rgb="FF4583BF"/>
        </patternFill>
      </fill>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2"/>
        <color auto="1"/>
        <name val="Calibri"/>
        <family val="2"/>
        <scheme val="minor"/>
      </font>
      <fill>
        <patternFill patternType="solid">
          <fgColor indexed="64"/>
          <bgColor rgb="FF4583BF"/>
        </patternFill>
      </fill>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i val="0"/>
        <strike val="0"/>
        <condense val="0"/>
        <extend val="0"/>
        <outline val="0"/>
        <shadow val="0"/>
        <u val="none"/>
        <vertAlign val="baseline"/>
        <sz val="12"/>
        <color auto="1"/>
        <name val="Calibri"/>
        <family val="2"/>
        <scheme val="minor"/>
      </font>
      <fill>
        <patternFill patternType="solid">
          <fgColor indexed="64"/>
          <bgColor rgb="FF2F75B5"/>
        </patternFill>
      </fill>
      <border diagonalUp="0" diagonalDown="0">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outline="0">
        <top style="dashed">
          <color theme="1" tint="0.14999847407452621"/>
        </top>
      </border>
    </dxf>
    <dxf>
      <border outline="0">
        <left style="dashed">
          <color theme="1" tint="0.14999847407452621"/>
        </left>
        <right style="dashed">
          <color theme="1" tint="0.14999847407452621"/>
        </right>
        <top style="dashed">
          <color theme="1" tint="0.14999847407452621"/>
        </top>
        <bottom style="dashed">
          <color theme="1" tint="0.14999847407452621"/>
        </bottom>
      </border>
    </dxf>
    <dxf>
      <font>
        <b val="0"/>
        <i val="0"/>
        <strike val="0"/>
        <condense val="0"/>
        <extend val="0"/>
        <outline val="0"/>
        <shadow val="0"/>
        <u val="none"/>
        <vertAlign val="baseline"/>
        <sz val="12"/>
        <color auto="1"/>
        <name val="Calibri"/>
        <family val="2"/>
        <scheme val="minor"/>
      </font>
    </dxf>
    <dxf>
      <border outline="0">
        <bottom style="dashed">
          <color theme="1" tint="0.14999847407452621"/>
        </bottom>
      </border>
    </dxf>
  </dxfs>
  <tableStyles count="0" defaultTableStyle="TableStyleMedium2" defaultPivotStyle="PivotStyleLight16"/>
  <colors>
    <mruColors>
      <color rgb="FF9E4FD7"/>
      <color rgb="FFB37EE8"/>
      <color rgb="FFF99492"/>
      <color rgb="FFC01439"/>
      <color rgb="FFFF7E79"/>
      <color rgb="FFCFBBFB"/>
      <color rgb="FFC19CF1"/>
      <color rgb="FF2E74B5"/>
      <color rgb="FF458891"/>
      <color rgb="FF71AD4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[NBC Thursday Night Line Up - Github.xlsm]Graphs!PivotTable1</c:name>
    <c:fmtId val="0"/>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b="1"/>
              <a:t>U.S. Viewership by Date</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rgbClr val="9E4FD7"/>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Graphs!$B$16:$B$17</c:f>
              <c:strCache>
                <c:ptCount val="1"/>
                <c:pt idx="0">
                  <c:v>30 Rock</c:v>
                </c:pt>
              </c:strCache>
            </c:strRef>
          </c:tx>
          <c:spPr>
            <a:ln w="28575" cap="rnd">
              <a:solidFill>
                <a:srgbClr val="9E4FD7"/>
              </a:solidFill>
              <a:round/>
            </a:ln>
            <a:effectLst/>
          </c:spPr>
          <c:marker>
            <c:symbol val="none"/>
          </c:marker>
          <c:cat>
            <c:multiLvlStrRef>
              <c:f>Graphs!$A$18:$A$279</c:f>
              <c:multiLvlStrCache>
                <c:ptCount val="250"/>
                <c:lvl>
                  <c:pt idx="0">
                    <c:v>3/24/05</c:v>
                  </c:pt>
                  <c:pt idx="1">
                    <c:v>3/29/05</c:v>
                  </c:pt>
                  <c:pt idx="2">
                    <c:v>4/5/05</c:v>
                  </c:pt>
                  <c:pt idx="3">
                    <c:v>4/12/05</c:v>
                  </c:pt>
                  <c:pt idx="4">
                    <c:v>4/19/05</c:v>
                  </c:pt>
                  <c:pt idx="5">
                    <c:v>4/26/05</c:v>
                  </c:pt>
                  <c:pt idx="6">
                    <c:v>9/20/05</c:v>
                  </c:pt>
                  <c:pt idx="7">
                    <c:v>9/27/05</c:v>
                  </c:pt>
                  <c:pt idx="8">
                    <c:v>10/4/05</c:v>
                  </c:pt>
                  <c:pt idx="9">
                    <c:v>10/11/05</c:v>
                  </c:pt>
                  <c:pt idx="10">
                    <c:v>10/18/05</c:v>
                  </c:pt>
                  <c:pt idx="11">
                    <c:v>11/1/05</c:v>
                  </c:pt>
                  <c:pt idx="12">
                    <c:v>11/8/05</c:v>
                  </c:pt>
                  <c:pt idx="13">
                    <c:v>11/15/05</c:v>
                  </c:pt>
                  <c:pt idx="14">
                    <c:v>11/22/05</c:v>
                  </c:pt>
                  <c:pt idx="15">
                    <c:v>12/6/05</c:v>
                  </c:pt>
                  <c:pt idx="16">
                    <c:v>1/5/06</c:v>
                  </c:pt>
                  <c:pt idx="17">
                    <c:v>1/12/06</c:v>
                  </c:pt>
                  <c:pt idx="18">
                    <c:v>1/19/06</c:v>
                  </c:pt>
                  <c:pt idx="19">
                    <c:v>1/26/06</c:v>
                  </c:pt>
                  <c:pt idx="20">
                    <c:v>2/2/06</c:v>
                  </c:pt>
                  <c:pt idx="21">
                    <c:v>2/9/06</c:v>
                  </c:pt>
                  <c:pt idx="22">
                    <c:v>3/2/06</c:v>
                  </c:pt>
                  <c:pt idx="23">
                    <c:v>3/16/06</c:v>
                  </c:pt>
                  <c:pt idx="24">
                    <c:v>3/30/06</c:v>
                  </c:pt>
                  <c:pt idx="25">
                    <c:v>4/27/06</c:v>
                  </c:pt>
                  <c:pt idx="26">
                    <c:v>5/4/06</c:v>
                  </c:pt>
                  <c:pt idx="27">
                    <c:v>5/11/06</c:v>
                  </c:pt>
                  <c:pt idx="28">
                    <c:v>9/21/06</c:v>
                  </c:pt>
                  <c:pt idx="29">
                    <c:v>9/28/06</c:v>
                  </c:pt>
                  <c:pt idx="30">
                    <c:v>10/5/06</c:v>
                  </c:pt>
                  <c:pt idx="31">
                    <c:v>10/11/06</c:v>
                  </c:pt>
                  <c:pt idx="32">
                    <c:v>10/12/06</c:v>
                  </c:pt>
                  <c:pt idx="33">
                    <c:v>10/18/06</c:v>
                  </c:pt>
                  <c:pt idx="34">
                    <c:v>10/19/06</c:v>
                  </c:pt>
                  <c:pt idx="35">
                    <c:v>10/25/06</c:v>
                  </c:pt>
                  <c:pt idx="36">
                    <c:v>11/1/06</c:v>
                  </c:pt>
                  <c:pt idx="37">
                    <c:v>11/2/06</c:v>
                  </c:pt>
                  <c:pt idx="38">
                    <c:v>11/9/06</c:v>
                  </c:pt>
                  <c:pt idx="39">
                    <c:v>11/16/06</c:v>
                  </c:pt>
                  <c:pt idx="40">
                    <c:v>11/30/06</c:v>
                  </c:pt>
                  <c:pt idx="41">
                    <c:v>12/7/06</c:v>
                  </c:pt>
                  <c:pt idx="42">
                    <c:v>12/14/06</c:v>
                  </c:pt>
                  <c:pt idx="43">
                    <c:v>1/4/07</c:v>
                  </c:pt>
                  <c:pt idx="44">
                    <c:v>1/11/07</c:v>
                  </c:pt>
                  <c:pt idx="45">
                    <c:v>1/18/07</c:v>
                  </c:pt>
                  <c:pt idx="46">
                    <c:v>2/1/07</c:v>
                  </c:pt>
                  <c:pt idx="47">
                    <c:v>2/8/07</c:v>
                  </c:pt>
                  <c:pt idx="48">
                    <c:v>2/15/07</c:v>
                  </c:pt>
                  <c:pt idx="49">
                    <c:v>2/22/07</c:v>
                  </c:pt>
                  <c:pt idx="50">
                    <c:v>3/1/07</c:v>
                  </c:pt>
                  <c:pt idx="51">
                    <c:v>3/8/07</c:v>
                  </c:pt>
                  <c:pt idx="52">
                    <c:v>4/5/07</c:v>
                  </c:pt>
                  <c:pt idx="53">
                    <c:v>4/12/07</c:v>
                  </c:pt>
                  <c:pt idx="54">
                    <c:v>4/19/07</c:v>
                  </c:pt>
                  <c:pt idx="55">
                    <c:v>4/26/07</c:v>
                  </c:pt>
                  <c:pt idx="56">
                    <c:v>5/3/07</c:v>
                  </c:pt>
                  <c:pt idx="57">
                    <c:v>5/10/07</c:v>
                  </c:pt>
                  <c:pt idx="58">
                    <c:v>5/17/07</c:v>
                  </c:pt>
                  <c:pt idx="59">
                    <c:v>9/27/07</c:v>
                  </c:pt>
                  <c:pt idx="60">
                    <c:v>10/4/07</c:v>
                  </c:pt>
                  <c:pt idx="61">
                    <c:v>10/11/07</c:v>
                  </c:pt>
                  <c:pt idx="62">
                    <c:v>10/18/07</c:v>
                  </c:pt>
                  <c:pt idx="63">
                    <c:v>10/25/07</c:v>
                  </c:pt>
                  <c:pt idx="64">
                    <c:v>11/1/07</c:v>
                  </c:pt>
                  <c:pt idx="65">
                    <c:v>11/8/07</c:v>
                  </c:pt>
                  <c:pt idx="66">
                    <c:v>11/15/07</c:v>
                  </c:pt>
                  <c:pt idx="67">
                    <c:v>11/29/07</c:v>
                  </c:pt>
                  <c:pt idx="68">
                    <c:v>12/6/07</c:v>
                  </c:pt>
                  <c:pt idx="69">
                    <c:v>12/13/07</c:v>
                  </c:pt>
                  <c:pt idx="70">
                    <c:v>1/10/08</c:v>
                  </c:pt>
                  <c:pt idx="71">
                    <c:v>4/10/08</c:v>
                  </c:pt>
                  <c:pt idx="72">
                    <c:v>4/17/08</c:v>
                  </c:pt>
                  <c:pt idx="73">
                    <c:v>4/24/08</c:v>
                  </c:pt>
                  <c:pt idx="74">
                    <c:v>5/1/08</c:v>
                  </c:pt>
                  <c:pt idx="75">
                    <c:v>5/8/08</c:v>
                  </c:pt>
                  <c:pt idx="76">
                    <c:v>5/15/08</c:v>
                  </c:pt>
                  <c:pt idx="77">
                    <c:v>9/25/08</c:v>
                  </c:pt>
                  <c:pt idx="78">
                    <c:v>10/9/08</c:v>
                  </c:pt>
                  <c:pt idx="79">
                    <c:v>10/16/08</c:v>
                  </c:pt>
                  <c:pt idx="80">
                    <c:v>10/23/08</c:v>
                  </c:pt>
                  <c:pt idx="81">
                    <c:v>10/30/08</c:v>
                  </c:pt>
                  <c:pt idx="82">
                    <c:v>11/6/08</c:v>
                  </c:pt>
                  <c:pt idx="83">
                    <c:v>11/13/08</c:v>
                  </c:pt>
                  <c:pt idx="84">
                    <c:v>11/20/08</c:v>
                  </c:pt>
                  <c:pt idx="85">
                    <c:v>12/4/08</c:v>
                  </c:pt>
                  <c:pt idx="86">
                    <c:v>12/11/08</c:v>
                  </c:pt>
                  <c:pt idx="87">
                    <c:v>1/8/09</c:v>
                  </c:pt>
                  <c:pt idx="88">
                    <c:v>1/15/09</c:v>
                  </c:pt>
                  <c:pt idx="89">
                    <c:v>1/22/09</c:v>
                  </c:pt>
                  <c:pt idx="90">
                    <c:v>2/1/09</c:v>
                  </c:pt>
                  <c:pt idx="91">
                    <c:v>2/5/09</c:v>
                  </c:pt>
                  <c:pt idx="92">
                    <c:v>2/12/09</c:v>
                  </c:pt>
                  <c:pt idx="93">
                    <c:v>2/26/09</c:v>
                  </c:pt>
                  <c:pt idx="94">
                    <c:v>3/5/09</c:v>
                  </c:pt>
                  <c:pt idx="95">
                    <c:v>3/12/09</c:v>
                  </c:pt>
                  <c:pt idx="96">
                    <c:v>3/19/09</c:v>
                  </c:pt>
                  <c:pt idx="97">
                    <c:v>3/26/09</c:v>
                  </c:pt>
                  <c:pt idx="98">
                    <c:v>4/9/09</c:v>
                  </c:pt>
                  <c:pt idx="99">
                    <c:v>4/16/09</c:v>
                  </c:pt>
                  <c:pt idx="100">
                    <c:v>4/23/09</c:v>
                  </c:pt>
                  <c:pt idx="101">
                    <c:v>4/30/09</c:v>
                  </c:pt>
                  <c:pt idx="102">
                    <c:v>5/7/09</c:v>
                  </c:pt>
                  <c:pt idx="103">
                    <c:v>5/14/09</c:v>
                  </c:pt>
                  <c:pt idx="104">
                    <c:v>9/17/09</c:v>
                  </c:pt>
                  <c:pt idx="105">
                    <c:v>9/24/09</c:v>
                  </c:pt>
                  <c:pt idx="106">
                    <c:v>10/1/09</c:v>
                  </c:pt>
                  <c:pt idx="107">
                    <c:v>10/8/09</c:v>
                  </c:pt>
                  <c:pt idx="108">
                    <c:v>10/15/09</c:v>
                  </c:pt>
                  <c:pt idx="109">
                    <c:v>10/22/09</c:v>
                  </c:pt>
                  <c:pt idx="110">
                    <c:v>10/29/09</c:v>
                  </c:pt>
                  <c:pt idx="111">
                    <c:v>11/5/09</c:v>
                  </c:pt>
                  <c:pt idx="112">
                    <c:v>11/12/09</c:v>
                  </c:pt>
                  <c:pt idx="113">
                    <c:v>11/19/09</c:v>
                  </c:pt>
                  <c:pt idx="114">
                    <c:v>12/3/09</c:v>
                  </c:pt>
                  <c:pt idx="115">
                    <c:v>12/10/09</c:v>
                  </c:pt>
                  <c:pt idx="116">
                    <c:v>1/14/10</c:v>
                  </c:pt>
                  <c:pt idx="117">
                    <c:v>1/21/10</c:v>
                  </c:pt>
                  <c:pt idx="118">
                    <c:v>2/4/10</c:v>
                  </c:pt>
                  <c:pt idx="119">
                    <c:v>2/11/10</c:v>
                  </c:pt>
                  <c:pt idx="120">
                    <c:v>3/4/10</c:v>
                  </c:pt>
                  <c:pt idx="121">
                    <c:v>3/11/10</c:v>
                  </c:pt>
                  <c:pt idx="122">
                    <c:v>3/18/10</c:v>
                  </c:pt>
                  <c:pt idx="123">
                    <c:v>3/25/10</c:v>
                  </c:pt>
                  <c:pt idx="124">
                    <c:v>4/22/10</c:v>
                  </c:pt>
                  <c:pt idx="125">
                    <c:v>4/29/10</c:v>
                  </c:pt>
                  <c:pt idx="126">
                    <c:v>5/6/10</c:v>
                  </c:pt>
                  <c:pt idx="127">
                    <c:v>5/13/10</c:v>
                  </c:pt>
                  <c:pt idx="128">
                    <c:v>5/20/10</c:v>
                  </c:pt>
                  <c:pt idx="129">
                    <c:v>9/23/10</c:v>
                  </c:pt>
                  <c:pt idx="130">
                    <c:v>9/30/10</c:v>
                  </c:pt>
                  <c:pt idx="131">
                    <c:v>10/7/10</c:v>
                  </c:pt>
                  <c:pt idx="132">
                    <c:v>10/14/10</c:v>
                  </c:pt>
                  <c:pt idx="133">
                    <c:v>10/21/10</c:v>
                  </c:pt>
                  <c:pt idx="134">
                    <c:v>10/28/10</c:v>
                  </c:pt>
                  <c:pt idx="135">
                    <c:v>11/4/10</c:v>
                  </c:pt>
                  <c:pt idx="136">
                    <c:v>11/11/10</c:v>
                  </c:pt>
                  <c:pt idx="137">
                    <c:v>11/18/10</c:v>
                  </c:pt>
                  <c:pt idx="138">
                    <c:v>12/2/10</c:v>
                  </c:pt>
                  <c:pt idx="139">
                    <c:v>12/9/10</c:v>
                  </c:pt>
                  <c:pt idx="140">
                    <c:v>1/20/11</c:v>
                  </c:pt>
                  <c:pt idx="141">
                    <c:v>1/27/11</c:v>
                  </c:pt>
                  <c:pt idx="142">
                    <c:v>2/3/11</c:v>
                  </c:pt>
                  <c:pt idx="143">
                    <c:v>2/10/11</c:v>
                  </c:pt>
                  <c:pt idx="144">
                    <c:v>2/17/11</c:v>
                  </c:pt>
                  <c:pt idx="145">
                    <c:v>2/24/11</c:v>
                  </c:pt>
                  <c:pt idx="146">
                    <c:v>3/17/11</c:v>
                  </c:pt>
                  <c:pt idx="147">
                    <c:v>3/24/11</c:v>
                  </c:pt>
                  <c:pt idx="148">
                    <c:v>4/14/11</c:v>
                  </c:pt>
                  <c:pt idx="149">
                    <c:v>4/21/11</c:v>
                  </c:pt>
                  <c:pt idx="150">
                    <c:v>4/28/11</c:v>
                  </c:pt>
                  <c:pt idx="151">
                    <c:v>5/5/11</c:v>
                  </c:pt>
                  <c:pt idx="152">
                    <c:v>5/12/11</c:v>
                  </c:pt>
                  <c:pt idx="153">
                    <c:v>5/19/11</c:v>
                  </c:pt>
                  <c:pt idx="154">
                    <c:v>9/22/11</c:v>
                  </c:pt>
                  <c:pt idx="155">
                    <c:v>9/29/11</c:v>
                  </c:pt>
                  <c:pt idx="156">
                    <c:v>10/6/11</c:v>
                  </c:pt>
                  <c:pt idx="157">
                    <c:v>10/13/11</c:v>
                  </c:pt>
                  <c:pt idx="158">
                    <c:v>10/27/11</c:v>
                  </c:pt>
                  <c:pt idx="159">
                    <c:v>11/3/11</c:v>
                  </c:pt>
                  <c:pt idx="160">
                    <c:v>11/10/11</c:v>
                  </c:pt>
                  <c:pt idx="161">
                    <c:v>11/17/11</c:v>
                  </c:pt>
                  <c:pt idx="162">
                    <c:v>12/1/11</c:v>
                  </c:pt>
                  <c:pt idx="163">
                    <c:v>12/8/11</c:v>
                  </c:pt>
                  <c:pt idx="164">
                    <c:v>1/12/12</c:v>
                  </c:pt>
                  <c:pt idx="165">
                    <c:v>1/19/12</c:v>
                  </c:pt>
                  <c:pt idx="166">
                    <c:v>1/26/12</c:v>
                  </c:pt>
                  <c:pt idx="167">
                    <c:v>2/2/12</c:v>
                  </c:pt>
                  <c:pt idx="168">
                    <c:v>2/9/12</c:v>
                  </c:pt>
                  <c:pt idx="169">
                    <c:v>2/16/12</c:v>
                  </c:pt>
                  <c:pt idx="170">
                    <c:v>2/23/12</c:v>
                  </c:pt>
                  <c:pt idx="171">
                    <c:v>3/1/12</c:v>
                  </c:pt>
                  <c:pt idx="172">
                    <c:v>3/8/12</c:v>
                  </c:pt>
                  <c:pt idx="173">
                    <c:v>3/15/12</c:v>
                  </c:pt>
                  <c:pt idx="174">
                    <c:v>3/22/12</c:v>
                  </c:pt>
                  <c:pt idx="175">
                    <c:v>3/29/12</c:v>
                  </c:pt>
                  <c:pt idx="176">
                    <c:v>4/5/12</c:v>
                  </c:pt>
                  <c:pt idx="177">
                    <c:v>4/12/12</c:v>
                  </c:pt>
                  <c:pt idx="178">
                    <c:v>4/19/12</c:v>
                  </c:pt>
                  <c:pt idx="179">
                    <c:v>4/26/12</c:v>
                  </c:pt>
                  <c:pt idx="180">
                    <c:v>5/3/12</c:v>
                  </c:pt>
                  <c:pt idx="181">
                    <c:v>5/10/12</c:v>
                  </c:pt>
                  <c:pt idx="182">
                    <c:v>5/17/12</c:v>
                  </c:pt>
                  <c:pt idx="183">
                    <c:v>9/20/12</c:v>
                  </c:pt>
                  <c:pt idx="184">
                    <c:v>9/27/12</c:v>
                  </c:pt>
                  <c:pt idx="185">
                    <c:v>10/4/12</c:v>
                  </c:pt>
                  <c:pt idx="186">
                    <c:v>10/11/12</c:v>
                  </c:pt>
                  <c:pt idx="187">
                    <c:v>10/18/12</c:v>
                  </c:pt>
                  <c:pt idx="188">
                    <c:v>10/25/12</c:v>
                  </c:pt>
                  <c:pt idx="189">
                    <c:v>10/31/12</c:v>
                  </c:pt>
                  <c:pt idx="190">
                    <c:v>11/8/12</c:v>
                  </c:pt>
                  <c:pt idx="191">
                    <c:v>11/15/12</c:v>
                  </c:pt>
                  <c:pt idx="192">
                    <c:v>11/29/12</c:v>
                  </c:pt>
                  <c:pt idx="193">
                    <c:v>12/6/12</c:v>
                  </c:pt>
                  <c:pt idx="194">
                    <c:v>1/10/13</c:v>
                  </c:pt>
                  <c:pt idx="195">
                    <c:v>1/17/13</c:v>
                  </c:pt>
                  <c:pt idx="196">
                    <c:v>1/24/13</c:v>
                  </c:pt>
                  <c:pt idx="197">
                    <c:v>1/31/13</c:v>
                  </c:pt>
                  <c:pt idx="198">
                    <c:v>2/7/13</c:v>
                  </c:pt>
                  <c:pt idx="199">
                    <c:v>2/14/13</c:v>
                  </c:pt>
                  <c:pt idx="200">
                    <c:v>2/21/13</c:v>
                  </c:pt>
                  <c:pt idx="201">
                    <c:v>2/28/13</c:v>
                  </c:pt>
                  <c:pt idx="202">
                    <c:v>3/7/13</c:v>
                  </c:pt>
                  <c:pt idx="203">
                    <c:v>3/14/13</c:v>
                  </c:pt>
                  <c:pt idx="204">
                    <c:v>3/21/13</c:v>
                  </c:pt>
                  <c:pt idx="205">
                    <c:v>4/4/13</c:v>
                  </c:pt>
                  <c:pt idx="206">
                    <c:v>4/11/13</c:v>
                  </c:pt>
                  <c:pt idx="207">
                    <c:v>4/18/13</c:v>
                  </c:pt>
                  <c:pt idx="208">
                    <c:v>4/25/13</c:v>
                  </c:pt>
                  <c:pt idx="209">
                    <c:v>5/2/13</c:v>
                  </c:pt>
                  <c:pt idx="210">
                    <c:v>5/9/13</c:v>
                  </c:pt>
                  <c:pt idx="211">
                    <c:v>5/16/13</c:v>
                  </c:pt>
                  <c:pt idx="212">
                    <c:v>9/26/13</c:v>
                  </c:pt>
                  <c:pt idx="213">
                    <c:v>10/3/13</c:v>
                  </c:pt>
                  <c:pt idx="214">
                    <c:v>10/10/13</c:v>
                  </c:pt>
                  <c:pt idx="215">
                    <c:v>10/17/13</c:v>
                  </c:pt>
                  <c:pt idx="216">
                    <c:v>11/14/13</c:v>
                  </c:pt>
                  <c:pt idx="217">
                    <c:v>11/21/13</c:v>
                  </c:pt>
                  <c:pt idx="218">
                    <c:v>1/2/14</c:v>
                  </c:pt>
                  <c:pt idx="219">
                    <c:v>1/9/14</c:v>
                  </c:pt>
                  <c:pt idx="220">
                    <c:v>1/16/14</c:v>
                  </c:pt>
                  <c:pt idx="221">
                    <c:v>1/23/14</c:v>
                  </c:pt>
                  <c:pt idx="222">
                    <c:v>1/30/14</c:v>
                  </c:pt>
                  <c:pt idx="223">
                    <c:v>2/27/14</c:v>
                  </c:pt>
                  <c:pt idx="224">
                    <c:v>3/6/14</c:v>
                  </c:pt>
                  <c:pt idx="225">
                    <c:v>3/13/14</c:v>
                  </c:pt>
                  <c:pt idx="226">
                    <c:v>3/20/14</c:v>
                  </c:pt>
                  <c:pt idx="227">
                    <c:v>4/3/14</c:v>
                  </c:pt>
                  <c:pt idx="228">
                    <c:v>4/10/14</c:v>
                  </c:pt>
                  <c:pt idx="229">
                    <c:v>4/17/14</c:v>
                  </c:pt>
                  <c:pt idx="230">
                    <c:v>4/24/14</c:v>
                  </c:pt>
                  <c:pt idx="231">
                    <c:v>1/13/15</c:v>
                  </c:pt>
                  <c:pt idx="232">
                    <c:v>1/20/15</c:v>
                  </c:pt>
                  <c:pt idx="233">
                    <c:v>1/27/15</c:v>
                  </c:pt>
                  <c:pt idx="234">
                    <c:v>2/3/15</c:v>
                  </c:pt>
                  <c:pt idx="235">
                    <c:v>2/10/15</c:v>
                  </c:pt>
                  <c:pt idx="236">
                    <c:v>2/17/15</c:v>
                  </c:pt>
                  <c:pt idx="237">
                    <c:v>2/24/15</c:v>
                  </c:pt>
                  <c:pt idx="238">
                    <c:v>3/17/15</c:v>
                  </c:pt>
                  <c:pt idx="239">
                    <c:v>3/24/15</c:v>
                  </c:pt>
                  <c:pt idx="240">
                    <c:v>3/31/15</c:v>
                  </c:pt>
                  <c:pt idx="241">
                    <c:v>4/7/15</c:v>
                  </c:pt>
                  <c:pt idx="242">
                    <c:v>4/14/15</c:v>
                  </c:pt>
                  <c:pt idx="243">
                    <c:v>4/21/15</c:v>
                  </c:pt>
                  <c:pt idx="244">
                    <c:v>4/28/15</c:v>
                  </c:pt>
                  <c:pt idx="245">
                    <c:v>5/5/15</c:v>
                  </c:pt>
                  <c:pt idx="246">
                    <c:v>5/12/15</c:v>
                  </c:pt>
                  <c:pt idx="247">
                    <c:v>5/19/15</c:v>
                  </c:pt>
                  <c:pt idx="248">
                    <c:v>5/26/15</c:v>
                  </c:pt>
                  <c:pt idx="249">
                    <c:v>6/2/15</c:v>
                  </c:pt>
                </c:lvl>
                <c:lvl>
                  <c:pt idx="0">
                    <c:v>2005</c:v>
                  </c:pt>
                  <c:pt idx="16">
                    <c:v>2006</c:v>
                  </c:pt>
                  <c:pt idx="43">
                    <c:v>2007</c:v>
                  </c:pt>
                  <c:pt idx="70">
                    <c:v>2008</c:v>
                  </c:pt>
                  <c:pt idx="87">
                    <c:v>2009</c:v>
                  </c:pt>
                  <c:pt idx="116">
                    <c:v>2010</c:v>
                  </c:pt>
                  <c:pt idx="140">
                    <c:v>2011</c:v>
                  </c:pt>
                  <c:pt idx="164">
                    <c:v>2012</c:v>
                  </c:pt>
                  <c:pt idx="194">
                    <c:v>2013</c:v>
                  </c:pt>
                  <c:pt idx="218">
                    <c:v>2014</c:v>
                  </c:pt>
                  <c:pt idx="231">
                    <c:v>2015</c:v>
                  </c:pt>
                </c:lvl>
              </c:multiLvlStrCache>
            </c:multiLvlStrRef>
          </c:cat>
          <c:val>
            <c:numRef>
              <c:f>Graphs!$B$18:$B$279</c:f>
              <c:numCache>
                <c:formatCode>General</c:formatCode>
                <c:ptCount val="250"/>
                <c:pt idx="31">
                  <c:v>8.1</c:v>
                </c:pt>
                <c:pt idx="33">
                  <c:v>5.7</c:v>
                </c:pt>
                <c:pt idx="35">
                  <c:v>6</c:v>
                </c:pt>
                <c:pt idx="36">
                  <c:v>4.5999999999999996</c:v>
                </c:pt>
                <c:pt idx="39">
                  <c:v>5.2</c:v>
                </c:pt>
                <c:pt idx="40">
                  <c:v>6</c:v>
                </c:pt>
                <c:pt idx="41">
                  <c:v>6.8</c:v>
                </c:pt>
                <c:pt idx="42">
                  <c:v>5.9</c:v>
                </c:pt>
                <c:pt idx="43">
                  <c:v>5.9</c:v>
                </c:pt>
                <c:pt idx="44">
                  <c:v>6.1</c:v>
                </c:pt>
                <c:pt idx="45">
                  <c:v>5</c:v>
                </c:pt>
                <c:pt idx="46">
                  <c:v>5.7</c:v>
                </c:pt>
                <c:pt idx="47">
                  <c:v>5.2</c:v>
                </c:pt>
                <c:pt idx="48">
                  <c:v>5</c:v>
                </c:pt>
                <c:pt idx="49">
                  <c:v>4.5999999999999996</c:v>
                </c:pt>
                <c:pt idx="50">
                  <c:v>5.7</c:v>
                </c:pt>
                <c:pt idx="51">
                  <c:v>5.2</c:v>
                </c:pt>
                <c:pt idx="52">
                  <c:v>5.4</c:v>
                </c:pt>
                <c:pt idx="53">
                  <c:v>5.0999999999999996</c:v>
                </c:pt>
                <c:pt idx="54">
                  <c:v>5.2</c:v>
                </c:pt>
                <c:pt idx="55">
                  <c:v>4.7</c:v>
                </c:pt>
                <c:pt idx="60">
                  <c:v>7.3</c:v>
                </c:pt>
                <c:pt idx="61">
                  <c:v>6.6</c:v>
                </c:pt>
                <c:pt idx="62">
                  <c:v>6.2</c:v>
                </c:pt>
                <c:pt idx="63">
                  <c:v>6.5</c:v>
                </c:pt>
                <c:pt idx="65">
                  <c:v>6.6</c:v>
                </c:pt>
                <c:pt idx="66">
                  <c:v>5.8</c:v>
                </c:pt>
                <c:pt idx="67">
                  <c:v>6.4</c:v>
                </c:pt>
                <c:pt idx="68">
                  <c:v>5.8</c:v>
                </c:pt>
                <c:pt idx="69">
                  <c:v>5.6</c:v>
                </c:pt>
                <c:pt idx="70">
                  <c:v>6</c:v>
                </c:pt>
                <c:pt idx="71">
                  <c:v>5.7</c:v>
                </c:pt>
                <c:pt idx="72">
                  <c:v>6.4</c:v>
                </c:pt>
                <c:pt idx="73">
                  <c:v>5.5</c:v>
                </c:pt>
                <c:pt idx="74">
                  <c:v>5.4</c:v>
                </c:pt>
                <c:pt idx="75">
                  <c:v>5.6</c:v>
                </c:pt>
                <c:pt idx="81">
                  <c:v>8.6999999999999993</c:v>
                </c:pt>
                <c:pt idx="82">
                  <c:v>8</c:v>
                </c:pt>
                <c:pt idx="83">
                  <c:v>7.5</c:v>
                </c:pt>
                <c:pt idx="84">
                  <c:v>7.3</c:v>
                </c:pt>
                <c:pt idx="85">
                  <c:v>7.1</c:v>
                </c:pt>
                <c:pt idx="86">
                  <c:v>8.9</c:v>
                </c:pt>
                <c:pt idx="87">
                  <c:v>5.4</c:v>
                </c:pt>
                <c:pt idx="88">
                  <c:v>6.6</c:v>
                </c:pt>
                <c:pt idx="89">
                  <c:v>6.4</c:v>
                </c:pt>
                <c:pt idx="91">
                  <c:v>6.4</c:v>
                </c:pt>
                <c:pt idx="92">
                  <c:v>7.6</c:v>
                </c:pt>
                <c:pt idx="93">
                  <c:v>6.4</c:v>
                </c:pt>
                <c:pt idx="94">
                  <c:v>7.3</c:v>
                </c:pt>
                <c:pt idx="95">
                  <c:v>6.4</c:v>
                </c:pt>
                <c:pt idx="96">
                  <c:v>7.1</c:v>
                </c:pt>
                <c:pt idx="97">
                  <c:v>7.2</c:v>
                </c:pt>
                <c:pt idx="98">
                  <c:v>6.8</c:v>
                </c:pt>
                <c:pt idx="99">
                  <c:v>7.3</c:v>
                </c:pt>
                <c:pt idx="100">
                  <c:v>6.3</c:v>
                </c:pt>
                <c:pt idx="101">
                  <c:v>6</c:v>
                </c:pt>
                <c:pt idx="102">
                  <c:v>6.2</c:v>
                </c:pt>
                <c:pt idx="103">
                  <c:v>5.7</c:v>
                </c:pt>
                <c:pt idx="108">
                  <c:v>6.39</c:v>
                </c:pt>
                <c:pt idx="109">
                  <c:v>6.68</c:v>
                </c:pt>
                <c:pt idx="110">
                  <c:v>6.01</c:v>
                </c:pt>
                <c:pt idx="111">
                  <c:v>6.15</c:v>
                </c:pt>
                <c:pt idx="112">
                  <c:v>6</c:v>
                </c:pt>
                <c:pt idx="113">
                  <c:v>5.72</c:v>
                </c:pt>
                <c:pt idx="114">
                  <c:v>6.08</c:v>
                </c:pt>
                <c:pt idx="115">
                  <c:v>6.7</c:v>
                </c:pt>
                <c:pt idx="116">
                  <c:v>10.129999999999999</c:v>
                </c:pt>
                <c:pt idx="117">
                  <c:v>5.58</c:v>
                </c:pt>
                <c:pt idx="118">
                  <c:v>5.79</c:v>
                </c:pt>
                <c:pt idx="119">
                  <c:v>6</c:v>
                </c:pt>
                <c:pt idx="121">
                  <c:v>5.89</c:v>
                </c:pt>
                <c:pt idx="122">
                  <c:v>6.79</c:v>
                </c:pt>
                <c:pt idx="123">
                  <c:v>6.25</c:v>
                </c:pt>
                <c:pt idx="124">
                  <c:v>9.16</c:v>
                </c:pt>
                <c:pt idx="125">
                  <c:v>5.44</c:v>
                </c:pt>
                <c:pt idx="126">
                  <c:v>5.42</c:v>
                </c:pt>
                <c:pt idx="127">
                  <c:v>4.96</c:v>
                </c:pt>
                <c:pt idx="128">
                  <c:v>5.45</c:v>
                </c:pt>
                <c:pt idx="129">
                  <c:v>5.85</c:v>
                </c:pt>
                <c:pt idx="130">
                  <c:v>5.68</c:v>
                </c:pt>
                <c:pt idx="131">
                  <c:v>4.9000000000000004</c:v>
                </c:pt>
                <c:pt idx="132">
                  <c:v>6.7</c:v>
                </c:pt>
                <c:pt idx="133">
                  <c:v>5.18</c:v>
                </c:pt>
                <c:pt idx="135">
                  <c:v>5.31</c:v>
                </c:pt>
                <c:pt idx="136">
                  <c:v>5.09</c:v>
                </c:pt>
                <c:pt idx="137">
                  <c:v>5.1100000000000003</c:v>
                </c:pt>
                <c:pt idx="138">
                  <c:v>5.03</c:v>
                </c:pt>
                <c:pt idx="139">
                  <c:v>4.76</c:v>
                </c:pt>
                <c:pt idx="140">
                  <c:v>5.34</c:v>
                </c:pt>
                <c:pt idx="141">
                  <c:v>4.92</c:v>
                </c:pt>
                <c:pt idx="142">
                  <c:v>4.78</c:v>
                </c:pt>
                <c:pt idx="143">
                  <c:v>4.59</c:v>
                </c:pt>
                <c:pt idx="144">
                  <c:v>4.07</c:v>
                </c:pt>
                <c:pt idx="145">
                  <c:v>4.5</c:v>
                </c:pt>
                <c:pt idx="146">
                  <c:v>4.1900000000000004</c:v>
                </c:pt>
                <c:pt idx="147">
                  <c:v>4.3600000000000003</c:v>
                </c:pt>
                <c:pt idx="148">
                  <c:v>4.45</c:v>
                </c:pt>
                <c:pt idx="149">
                  <c:v>4.5999999999999996</c:v>
                </c:pt>
                <c:pt idx="150">
                  <c:v>7.9</c:v>
                </c:pt>
                <c:pt idx="151">
                  <c:v>4.2</c:v>
                </c:pt>
                <c:pt idx="164">
                  <c:v>4.47</c:v>
                </c:pt>
                <c:pt idx="165">
                  <c:v>4.05</c:v>
                </c:pt>
                <c:pt idx="166">
                  <c:v>7.8</c:v>
                </c:pt>
                <c:pt idx="167">
                  <c:v>3.23</c:v>
                </c:pt>
                <c:pt idx="168">
                  <c:v>3.88</c:v>
                </c:pt>
                <c:pt idx="169">
                  <c:v>7.18</c:v>
                </c:pt>
                <c:pt idx="170">
                  <c:v>3.7</c:v>
                </c:pt>
                <c:pt idx="171">
                  <c:v>3.77</c:v>
                </c:pt>
                <c:pt idx="172">
                  <c:v>3.42</c:v>
                </c:pt>
                <c:pt idx="173">
                  <c:v>4</c:v>
                </c:pt>
                <c:pt idx="174">
                  <c:v>6.73</c:v>
                </c:pt>
                <c:pt idx="175">
                  <c:v>3.14</c:v>
                </c:pt>
                <c:pt idx="176">
                  <c:v>2.79</c:v>
                </c:pt>
                <c:pt idx="177">
                  <c:v>2.98</c:v>
                </c:pt>
                <c:pt idx="178">
                  <c:v>3.06</c:v>
                </c:pt>
                <c:pt idx="179">
                  <c:v>3.47</c:v>
                </c:pt>
                <c:pt idx="180">
                  <c:v>3.04</c:v>
                </c:pt>
                <c:pt idx="181">
                  <c:v>2.92</c:v>
                </c:pt>
                <c:pt idx="182">
                  <c:v>2.84</c:v>
                </c:pt>
                <c:pt idx="185">
                  <c:v>3.46</c:v>
                </c:pt>
                <c:pt idx="186">
                  <c:v>3.4</c:v>
                </c:pt>
                <c:pt idx="187">
                  <c:v>3.04</c:v>
                </c:pt>
                <c:pt idx="188">
                  <c:v>3.13</c:v>
                </c:pt>
                <c:pt idx="189">
                  <c:v>3.38</c:v>
                </c:pt>
                <c:pt idx="191">
                  <c:v>3.34</c:v>
                </c:pt>
                <c:pt idx="192">
                  <c:v>3.61</c:v>
                </c:pt>
                <c:pt idx="193">
                  <c:v>3.22</c:v>
                </c:pt>
                <c:pt idx="194">
                  <c:v>3.79</c:v>
                </c:pt>
                <c:pt idx="195">
                  <c:v>3.44</c:v>
                </c:pt>
                <c:pt idx="196">
                  <c:v>3.81</c:v>
                </c:pt>
                <c:pt idx="197">
                  <c:v>9.76</c:v>
                </c:pt>
              </c:numCache>
            </c:numRef>
          </c:val>
          <c:smooth val="0"/>
          <c:extLst>
            <c:ext xmlns:c16="http://schemas.microsoft.com/office/drawing/2014/chart" uri="{C3380CC4-5D6E-409C-BE32-E72D297353CC}">
              <c16:uniqueId val="{00000000-CCD6-DF45-8168-A431D2FB4607}"/>
            </c:ext>
          </c:extLst>
        </c:ser>
        <c:ser>
          <c:idx val="1"/>
          <c:order val="1"/>
          <c:tx>
            <c:strRef>
              <c:f>Graphs!$C$16:$C$17</c:f>
              <c:strCache>
                <c:ptCount val="1"/>
                <c:pt idx="0">
                  <c:v>Community</c:v>
                </c:pt>
              </c:strCache>
            </c:strRef>
          </c:tx>
          <c:spPr>
            <a:ln w="28575" cap="rnd">
              <a:solidFill>
                <a:schemeClr val="accent2"/>
              </a:solidFill>
              <a:round/>
            </a:ln>
            <a:effectLst/>
          </c:spPr>
          <c:marker>
            <c:symbol val="none"/>
          </c:marker>
          <c:cat>
            <c:multiLvlStrRef>
              <c:f>Graphs!$A$18:$A$279</c:f>
              <c:multiLvlStrCache>
                <c:ptCount val="250"/>
                <c:lvl>
                  <c:pt idx="0">
                    <c:v>3/24/05</c:v>
                  </c:pt>
                  <c:pt idx="1">
                    <c:v>3/29/05</c:v>
                  </c:pt>
                  <c:pt idx="2">
                    <c:v>4/5/05</c:v>
                  </c:pt>
                  <c:pt idx="3">
                    <c:v>4/12/05</c:v>
                  </c:pt>
                  <c:pt idx="4">
                    <c:v>4/19/05</c:v>
                  </c:pt>
                  <c:pt idx="5">
                    <c:v>4/26/05</c:v>
                  </c:pt>
                  <c:pt idx="6">
                    <c:v>9/20/05</c:v>
                  </c:pt>
                  <c:pt idx="7">
                    <c:v>9/27/05</c:v>
                  </c:pt>
                  <c:pt idx="8">
                    <c:v>10/4/05</c:v>
                  </c:pt>
                  <c:pt idx="9">
                    <c:v>10/11/05</c:v>
                  </c:pt>
                  <c:pt idx="10">
                    <c:v>10/18/05</c:v>
                  </c:pt>
                  <c:pt idx="11">
                    <c:v>11/1/05</c:v>
                  </c:pt>
                  <c:pt idx="12">
                    <c:v>11/8/05</c:v>
                  </c:pt>
                  <c:pt idx="13">
                    <c:v>11/15/05</c:v>
                  </c:pt>
                  <c:pt idx="14">
                    <c:v>11/22/05</c:v>
                  </c:pt>
                  <c:pt idx="15">
                    <c:v>12/6/05</c:v>
                  </c:pt>
                  <c:pt idx="16">
                    <c:v>1/5/06</c:v>
                  </c:pt>
                  <c:pt idx="17">
                    <c:v>1/12/06</c:v>
                  </c:pt>
                  <c:pt idx="18">
                    <c:v>1/19/06</c:v>
                  </c:pt>
                  <c:pt idx="19">
                    <c:v>1/26/06</c:v>
                  </c:pt>
                  <c:pt idx="20">
                    <c:v>2/2/06</c:v>
                  </c:pt>
                  <c:pt idx="21">
                    <c:v>2/9/06</c:v>
                  </c:pt>
                  <c:pt idx="22">
                    <c:v>3/2/06</c:v>
                  </c:pt>
                  <c:pt idx="23">
                    <c:v>3/16/06</c:v>
                  </c:pt>
                  <c:pt idx="24">
                    <c:v>3/30/06</c:v>
                  </c:pt>
                  <c:pt idx="25">
                    <c:v>4/27/06</c:v>
                  </c:pt>
                  <c:pt idx="26">
                    <c:v>5/4/06</c:v>
                  </c:pt>
                  <c:pt idx="27">
                    <c:v>5/11/06</c:v>
                  </c:pt>
                  <c:pt idx="28">
                    <c:v>9/21/06</c:v>
                  </c:pt>
                  <c:pt idx="29">
                    <c:v>9/28/06</c:v>
                  </c:pt>
                  <c:pt idx="30">
                    <c:v>10/5/06</c:v>
                  </c:pt>
                  <c:pt idx="31">
                    <c:v>10/11/06</c:v>
                  </c:pt>
                  <c:pt idx="32">
                    <c:v>10/12/06</c:v>
                  </c:pt>
                  <c:pt idx="33">
                    <c:v>10/18/06</c:v>
                  </c:pt>
                  <c:pt idx="34">
                    <c:v>10/19/06</c:v>
                  </c:pt>
                  <c:pt idx="35">
                    <c:v>10/25/06</c:v>
                  </c:pt>
                  <c:pt idx="36">
                    <c:v>11/1/06</c:v>
                  </c:pt>
                  <c:pt idx="37">
                    <c:v>11/2/06</c:v>
                  </c:pt>
                  <c:pt idx="38">
                    <c:v>11/9/06</c:v>
                  </c:pt>
                  <c:pt idx="39">
                    <c:v>11/16/06</c:v>
                  </c:pt>
                  <c:pt idx="40">
                    <c:v>11/30/06</c:v>
                  </c:pt>
                  <c:pt idx="41">
                    <c:v>12/7/06</c:v>
                  </c:pt>
                  <c:pt idx="42">
                    <c:v>12/14/06</c:v>
                  </c:pt>
                  <c:pt idx="43">
                    <c:v>1/4/07</c:v>
                  </c:pt>
                  <c:pt idx="44">
                    <c:v>1/11/07</c:v>
                  </c:pt>
                  <c:pt idx="45">
                    <c:v>1/18/07</c:v>
                  </c:pt>
                  <c:pt idx="46">
                    <c:v>2/1/07</c:v>
                  </c:pt>
                  <c:pt idx="47">
                    <c:v>2/8/07</c:v>
                  </c:pt>
                  <c:pt idx="48">
                    <c:v>2/15/07</c:v>
                  </c:pt>
                  <c:pt idx="49">
                    <c:v>2/22/07</c:v>
                  </c:pt>
                  <c:pt idx="50">
                    <c:v>3/1/07</c:v>
                  </c:pt>
                  <c:pt idx="51">
                    <c:v>3/8/07</c:v>
                  </c:pt>
                  <c:pt idx="52">
                    <c:v>4/5/07</c:v>
                  </c:pt>
                  <c:pt idx="53">
                    <c:v>4/12/07</c:v>
                  </c:pt>
                  <c:pt idx="54">
                    <c:v>4/19/07</c:v>
                  </c:pt>
                  <c:pt idx="55">
                    <c:v>4/26/07</c:v>
                  </c:pt>
                  <c:pt idx="56">
                    <c:v>5/3/07</c:v>
                  </c:pt>
                  <c:pt idx="57">
                    <c:v>5/10/07</c:v>
                  </c:pt>
                  <c:pt idx="58">
                    <c:v>5/17/07</c:v>
                  </c:pt>
                  <c:pt idx="59">
                    <c:v>9/27/07</c:v>
                  </c:pt>
                  <c:pt idx="60">
                    <c:v>10/4/07</c:v>
                  </c:pt>
                  <c:pt idx="61">
                    <c:v>10/11/07</c:v>
                  </c:pt>
                  <c:pt idx="62">
                    <c:v>10/18/07</c:v>
                  </c:pt>
                  <c:pt idx="63">
                    <c:v>10/25/07</c:v>
                  </c:pt>
                  <c:pt idx="64">
                    <c:v>11/1/07</c:v>
                  </c:pt>
                  <c:pt idx="65">
                    <c:v>11/8/07</c:v>
                  </c:pt>
                  <c:pt idx="66">
                    <c:v>11/15/07</c:v>
                  </c:pt>
                  <c:pt idx="67">
                    <c:v>11/29/07</c:v>
                  </c:pt>
                  <c:pt idx="68">
                    <c:v>12/6/07</c:v>
                  </c:pt>
                  <c:pt idx="69">
                    <c:v>12/13/07</c:v>
                  </c:pt>
                  <c:pt idx="70">
                    <c:v>1/10/08</c:v>
                  </c:pt>
                  <c:pt idx="71">
                    <c:v>4/10/08</c:v>
                  </c:pt>
                  <c:pt idx="72">
                    <c:v>4/17/08</c:v>
                  </c:pt>
                  <c:pt idx="73">
                    <c:v>4/24/08</c:v>
                  </c:pt>
                  <c:pt idx="74">
                    <c:v>5/1/08</c:v>
                  </c:pt>
                  <c:pt idx="75">
                    <c:v>5/8/08</c:v>
                  </c:pt>
                  <c:pt idx="76">
                    <c:v>5/15/08</c:v>
                  </c:pt>
                  <c:pt idx="77">
                    <c:v>9/25/08</c:v>
                  </c:pt>
                  <c:pt idx="78">
                    <c:v>10/9/08</c:v>
                  </c:pt>
                  <c:pt idx="79">
                    <c:v>10/16/08</c:v>
                  </c:pt>
                  <c:pt idx="80">
                    <c:v>10/23/08</c:v>
                  </c:pt>
                  <c:pt idx="81">
                    <c:v>10/30/08</c:v>
                  </c:pt>
                  <c:pt idx="82">
                    <c:v>11/6/08</c:v>
                  </c:pt>
                  <c:pt idx="83">
                    <c:v>11/13/08</c:v>
                  </c:pt>
                  <c:pt idx="84">
                    <c:v>11/20/08</c:v>
                  </c:pt>
                  <c:pt idx="85">
                    <c:v>12/4/08</c:v>
                  </c:pt>
                  <c:pt idx="86">
                    <c:v>12/11/08</c:v>
                  </c:pt>
                  <c:pt idx="87">
                    <c:v>1/8/09</c:v>
                  </c:pt>
                  <c:pt idx="88">
                    <c:v>1/15/09</c:v>
                  </c:pt>
                  <c:pt idx="89">
                    <c:v>1/22/09</c:v>
                  </c:pt>
                  <c:pt idx="90">
                    <c:v>2/1/09</c:v>
                  </c:pt>
                  <c:pt idx="91">
                    <c:v>2/5/09</c:v>
                  </c:pt>
                  <c:pt idx="92">
                    <c:v>2/12/09</c:v>
                  </c:pt>
                  <c:pt idx="93">
                    <c:v>2/26/09</c:v>
                  </c:pt>
                  <c:pt idx="94">
                    <c:v>3/5/09</c:v>
                  </c:pt>
                  <c:pt idx="95">
                    <c:v>3/12/09</c:v>
                  </c:pt>
                  <c:pt idx="96">
                    <c:v>3/19/09</c:v>
                  </c:pt>
                  <c:pt idx="97">
                    <c:v>3/26/09</c:v>
                  </c:pt>
                  <c:pt idx="98">
                    <c:v>4/9/09</c:v>
                  </c:pt>
                  <c:pt idx="99">
                    <c:v>4/16/09</c:v>
                  </c:pt>
                  <c:pt idx="100">
                    <c:v>4/23/09</c:v>
                  </c:pt>
                  <c:pt idx="101">
                    <c:v>4/30/09</c:v>
                  </c:pt>
                  <c:pt idx="102">
                    <c:v>5/7/09</c:v>
                  </c:pt>
                  <c:pt idx="103">
                    <c:v>5/14/09</c:v>
                  </c:pt>
                  <c:pt idx="104">
                    <c:v>9/17/09</c:v>
                  </c:pt>
                  <c:pt idx="105">
                    <c:v>9/24/09</c:v>
                  </c:pt>
                  <c:pt idx="106">
                    <c:v>10/1/09</c:v>
                  </c:pt>
                  <c:pt idx="107">
                    <c:v>10/8/09</c:v>
                  </c:pt>
                  <c:pt idx="108">
                    <c:v>10/15/09</c:v>
                  </c:pt>
                  <c:pt idx="109">
                    <c:v>10/22/09</c:v>
                  </c:pt>
                  <c:pt idx="110">
                    <c:v>10/29/09</c:v>
                  </c:pt>
                  <c:pt idx="111">
                    <c:v>11/5/09</c:v>
                  </c:pt>
                  <c:pt idx="112">
                    <c:v>11/12/09</c:v>
                  </c:pt>
                  <c:pt idx="113">
                    <c:v>11/19/09</c:v>
                  </c:pt>
                  <c:pt idx="114">
                    <c:v>12/3/09</c:v>
                  </c:pt>
                  <c:pt idx="115">
                    <c:v>12/10/09</c:v>
                  </c:pt>
                  <c:pt idx="116">
                    <c:v>1/14/10</c:v>
                  </c:pt>
                  <c:pt idx="117">
                    <c:v>1/21/10</c:v>
                  </c:pt>
                  <c:pt idx="118">
                    <c:v>2/4/10</c:v>
                  </c:pt>
                  <c:pt idx="119">
                    <c:v>2/11/10</c:v>
                  </c:pt>
                  <c:pt idx="120">
                    <c:v>3/4/10</c:v>
                  </c:pt>
                  <c:pt idx="121">
                    <c:v>3/11/10</c:v>
                  </c:pt>
                  <c:pt idx="122">
                    <c:v>3/18/10</c:v>
                  </c:pt>
                  <c:pt idx="123">
                    <c:v>3/25/10</c:v>
                  </c:pt>
                  <c:pt idx="124">
                    <c:v>4/22/10</c:v>
                  </c:pt>
                  <c:pt idx="125">
                    <c:v>4/29/10</c:v>
                  </c:pt>
                  <c:pt idx="126">
                    <c:v>5/6/10</c:v>
                  </c:pt>
                  <c:pt idx="127">
                    <c:v>5/13/10</c:v>
                  </c:pt>
                  <c:pt idx="128">
                    <c:v>5/20/10</c:v>
                  </c:pt>
                  <c:pt idx="129">
                    <c:v>9/23/10</c:v>
                  </c:pt>
                  <c:pt idx="130">
                    <c:v>9/30/10</c:v>
                  </c:pt>
                  <c:pt idx="131">
                    <c:v>10/7/10</c:v>
                  </c:pt>
                  <c:pt idx="132">
                    <c:v>10/14/10</c:v>
                  </c:pt>
                  <c:pt idx="133">
                    <c:v>10/21/10</c:v>
                  </c:pt>
                  <c:pt idx="134">
                    <c:v>10/28/10</c:v>
                  </c:pt>
                  <c:pt idx="135">
                    <c:v>11/4/10</c:v>
                  </c:pt>
                  <c:pt idx="136">
                    <c:v>11/11/10</c:v>
                  </c:pt>
                  <c:pt idx="137">
                    <c:v>11/18/10</c:v>
                  </c:pt>
                  <c:pt idx="138">
                    <c:v>12/2/10</c:v>
                  </c:pt>
                  <c:pt idx="139">
                    <c:v>12/9/10</c:v>
                  </c:pt>
                  <c:pt idx="140">
                    <c:v>1/20/11</c:v>
                  </c:pt>
                  <c:pt idx="141">
                    <c:v>1/27/11</c:v>
                  </c:pt>
                  <c:pt idx="142">
                    <c:v>2/3/11</c:v>
                  </c:pt>
                  <c:pt idx="143">
                    <c:v>2/10/11</c:v>
                  </c:pt>
                  <c:pt idx="144">
                    <c:v>2/17/11</c:v>
                  </c:pt>
                  <c:pt idx="145">
                    <c:v>2/24/11</c:v>
                  </c:pt>
                  <c:pt idx="146">
                    <c:v>3/17/11</c:v>
                  </c:pt>
                  <c:pt idx="147">
                    <c:v>3/24/11</c:v>
                  </c:pt>
                  <c:pt idx="148">
                    <c:v>4/14/11</c:v>
                  </c:pt>
                  <c:pt idx="149">
                    <c:v>4/21/11</c:v>
                  </c:pt>
                  <c:pt idx="150">
                    <c:v>4/28/11</c:v>
                  </c:pt>
                  <c:pt idx="151">
                    <c:v>5/5/11</c:v>
                  </c:pt>
                  <c:pt idx="152">
                    <c:v>5/12/11</c:v>
                  </c:pt>
                  <c:pt idx="153">
                    <c:v>5/19/11</c:v>
                  </c:pt>
                  <c:pt idx="154">
                    <c:v>9/22/11</c:v>
                  </c:pt>
                  <c:pt idx="155">
                    <c:v>9/29/11</c:v>
                  </c:pt>
                  <c:pt idx="156">
                    <c:v>10/6/11</c:v>
                  </c:pt>
                  <c:pt idx="157">
                    <c:v>10/13/11</c:v>
                  </c:pt>
                  <c:pt idx="158">
                    <c:v>10/27/11</c:v>
                  </c:pt>
                  <c:pt idx="159">
                    <c:v>11/3/11</c:v>
                  </c:pt>
                  <c:pt idx="160">
                    <c:v>11/10/11</c:v>
                  </c:pt>
                  <c:pt idx="161">
                    <c:v>11/17/11</c:v>
                  </c:pt>
                  <c:pt idx="162">
                    <c:v>12/1/11</c:v>
                  </c:pt>
                  <c:pt idx="163">
                    <c:v>12/8/11</c:v>
                  </c:pt>
                  <c:pt idx="164">
                    <c:v>1/12/12</c:v>
                  </c:pt>
                  <c:pt idx="165">
                    <c:v>1/19/12</c:v>
                  </c:pt>
                  <c:pt idx="166">
                    <c:v>1/26/12</c:v>
                  </c:pt>
                  <c:pt idx="167">
                    <c:v>2/2/12</c:v>
                  </c:pt>
                  <c:pt idx="168">
                    <c:v>2/9/12</c:v>
                  </c:pt>
                  <c:pt idx="169">
                    <c:v>2/16/12</c:v>
                  </c:pt>
                  <c:pt idx="170">
                    <c:v>2/23/12</c:v>
                  </c:pt>
                  <c:pt idx="171">
                    <c:v>3/1/12</c:v>
                  </c:pt>
                  <c:pt idx="172">
                    <c:v>3/8/12</c:v>
                  </c:pt>
                  <c:pt idx="173">
                    <c:v>3/15/12</c:v>
                  </c:pt>
                  <c:pt idx="174">
                    <c:v>3/22/12</c:v>
                  </c:pt>
                  <c:pt idx="175">
                    <c:v>3/29/12</c:v>
                  </c:pt>
                  <c:pt idx="176">
                    <c:v>4/5/12</c:v>
                  </c:pt>
                  <c:pt idx="177">
                    <c:v>4/12/12</c:v>
                  </c:pt>
                  <c:pt idx="178">
                    <c:v>4/19/12</c:v>
                  </c:pt>
                  <c:pt idx="179">
                    <c:v>4/26/12</c:v>
                  </c:pt>
                  <c:pt idx="180">
                    <c:v>5/3/12</c:v>
                  </c:pt>
                  <c:pt idx="181">
                    <c:v>5/10/12</c:v>
                  </c:pt>
                  <c:pt idx="182">
                    <c:v>5/17/12</c:v>
                  </c:pt>
                  <c:pt idx="183">
                    <c:v>9/20/12</c:v>
                  </c:pt>
                  <c:pt idx="184">
                    <c:v>9/27/12</c:v>
                  </c:pt>
                  <c:pt idx="185">
                    <c:v>10/4/12</c:v>
                  </c:pt>
                  <c:pt idx="186">
                    <c:v>10/11/12</c:v>
                  </c:pt>
                  <c:pt idx="187">
                    <c:v>10/18/12</c:v>
                  </c:pt>
                  <c:pt idx="188">
                    <c:v>10/25/12</c:v>
                  </c:pt>
                  <c:pt idx="189">
                    <c:v>10/31/12</c:v>
                  </c:pt>
                  <c:pt idx="190">
                    <c:v>11/8/12</c:v>
                  </c:pt>
                  <c:pt idx="191">
                    <c:v>11/15/12</c:v>
                  </c:pt>
                  <c:pt idx="192">
                    <c:v>11/29/12</c:v>
                  </c:pt>
                  <c:pt idx="193">
                    <c:v>12/6/12</c:v>
                  </c:pt>
                  <c:pt idx="194">
                    <c:v>1/10/13</c:v>
                  </c:pt>
                  <c:pt idx="195">
                    <c:v>1/17/13</c:v>
                  </c:pt>
                  <c:pt idx="196">
                    <c:v>1/24/13</c:v>
                  </c:pt>
                  <c:pt idx="197">
                    <c:v>1/31/13</c:v>
                  </c:pt>
                  <c:pt idx="198">
                    <c:v>2/7/13</c:v>
                  </c:pt>
                  <c:pt idx="199">
                    <c:v>2/14/13</c:v>
                  </c:pt>
                  <c:pt idx="200">
                    <c:v>2/21/13</c:v>
                  </c:pt>
                  <c:pt idx="201">
                    <c:v>2/28/13</c:v>
                  </c:pt>
                  <c:pt idx="202">
                    <c:v>3/7/13</c:v>
                  </c:pt>
                  <c:pt idx="203">
                    <c:v>3/14/13</c:v>
                  </c:pt>
                  <c:pt idx="204">
                    <c:v>3/21/13</c:v>
                  </c:pt>
                  <c:pt idx="205">
                    <c:v>4/4/13</c:v>
                  </c:pt>
                  <c:pt idx="206">
                    <c:v>4/11/13</c:v>
                  </c:pt>
                  <c:pt idx="207">
                    <c:v>4/18/13</c:v>
                  </c:pt>
                  <c:pt idx="208">
                    <c:v>4/25/13</c:v>
                  </c:pt>
                  <c:pt idx="209">
                    <c:v>5/2/13</c:v>
                  </c:pt>
                  <c:pt idx="210">
                    <c:v>5/9/13</c:v>
                  </c:pt>
                  <c:pt idx="211">
                    <c:v>5/16/13</c:v>
                  </c:pt>
                  <c:pt idx="212">
                    <c:v>9/26/13</c:v>
                  </c:pt>
                  <c:pt idx="213">
                    <c:v>10/3/13</c:v>
                  </c:pt>
                  <c:pt idx="214">
                    <c:v>10/10/13</c:v>
                  </c:pt>
                  <c:pt idx="215">
                    <c:v>10/17/13</c:v>
                  </c:pt>
                  <c:pt idx="216">
                    <c:v>11/14/13</c:v>
                  </c:pt>
                  <c:pt idx="217">
                    <c:v>11/21/13</c:v>
                  </c:pt>
                  <c:pt idx="218">
                    <c:v>1/2/14</c:v>
                  </c:pt>
                  <c:pt idx="219">
                    <c:v>1/9/14</c:v>
                  </c:pt>
                  <c:pt idx="220">
                    <c:v>1/16/14</c:v>
                  </c:pt>
                  <c:pt idx="221">
                    <c:v>1/23/14</c:v>
                  </c:pt>
                  <c:pt idx="222">
                    <c:v>1/30/14</c:v>
                  </c:pt>
                  <c:pt idx="223">
                    <c:v>2/27/14</c:v>
                  </c:pt>
                  <c:pt idx="224">
                    <c:v>3/6/14</c:v>
                  </c:pt>
                  <c:pt idx="225">
                    <c:v>3/13/14</c:v>
                  </c:pt>
                  <c:pt idx="226">
                    <c:v>3/20/14</c:v>
                  </c:pt>
                  <c:pt idx="227">
                    <c:v>4/3/14</c:v>
                  </c:pt>
                  <c:pt idx="228">
                    <c:v>4/10/14</c:v>
                  </c:pt>
                  <c:pt idx="229">
                    <c:v>4/17/14</c:v>
                  </c:pt>
                  <c:pt idx="230">
                    <c:v>4/24/14</c:v>
                  </c:pt>
                  <c:pt idx="231">
                    <c:v>1/13/15</c:v>
                  </c:pt>
                  <c:pt idx="232">
                    <c:v>1/20/15</c:v>
                  </c:pt>
                  <c:pt idx="233">
                    <c:v>1/27/15</c:v>
                  </c:pt>
                  <c:pt idx="234">
                    <c:v>2/3/15</c:v>
                  </c:pt>
                  <c:pt idx="235">
                    <c:v>2/10/15</c:v>
                  </c:pt>
                  <c:pt idx="236">
                    <c:v>2/17/15</c:v>
                  </c:pt>
                  <c:pt idx="237">
                    <c:v>2/24/15</c:v>
                  </c:pt>
                  <c:pt idx="238">
                    <c:v>3/17/15</c:v>
                  </c:pt>
                  <c:pt idx="239">
                    <c:v>3/24/15</c:v>
                  </c:pt>
                  <c:pt idx="240">
                    <c:v>3/31/15</c:v>
                  </c:pt>
                  <c:pt idx="241">
                    <c:v>4/7/15</c:v>
                  </c:pt>
                  <c:pt idx="242">
                    <c:v>4/14/15</c:v>
                  </c:pt>
                  <c:pt idx="243">
                    <c:v>4/21/15</c:v>
                  </c:pt>
                  <c:pt idx="244">
                    <c:v>4/28/15</c:v>
                  </c:pt>
                  <c:pt idx="245">
                    <c:v>5/5/15</c:v>
                  </c:pt>
                  <c:pt idx="246">
                    <c:v>5/12/15</c:v>
                  </c:pt>
                  <c:pt idx="247">
                    <c:v>5/19/15</c:v>
                  </c:pt>
                  <c:pt idx="248">
                    <c:v>5/26/15</c:v>
                  </c:pt>
                  <c:pt idx="249">
                    <c:v>6/2/15</c:v>
                  </c:pt>
                </c:lvl>
                <c:lvl>
                  <c:pt idx="0">
                    <c:v>2005</c:v>
                  </c:pt>
                  <c:pt idx="16">
                    <c:v>2006</c:v>
                  </c:pt>
                  <c:pt idx="43">
                    <c:v>2007</c:v>
                  </c:pt>
                  <c:pt idx="70">
                    <c:v>2008</c:v>
                  </c:pt>
                  <c:pt idx="87">
                    <c:v>2009</c:v>
                  </c:pt>
                  <c:pt idx="116">
                    <c:v>2010</c:v>
                  </c:pt>
                  <c:pt idx="140">
                    <c:v>2011</c:v>
                  </c:pt>
                  <c:pt idx="164">
                    <c:v>2012</c:v>
                  </c:pt>
                  <c:pt idx="194">
                    <c:v>2013</c:v>
                  </c:pt>
                  <c:pt idx="218">
                    <c:v>2014</c:v>
                  </c:pt>
                  <c:pt idx="231">
                    <c:v>2015</c:v>
                  </c:pt>
                </c:lvl>
              </c:multiLvlStrCache>
            </c:multiLvlStrRef>
          </c:cat>
          <c:val>
            <c:numRef>
              <c:f>Graphs!$C$18:$C$279</c:f>
              <c:numCache>
                <c:formatCode>General</c:formatCode>
                <c:ptCount val="250"/>
                <c:pt idx="104">
                  <c:v>7.89</c:v>
                </c:pt>
                <c:pt idx="105">
                  <c:v>5.39</c:v>
                </c:pt>
                <c:pt idx="106">
                  <c:v>5.86</c:v>
                </c:pt>
                <c:pt idx="107">
                  <c:v>4.87</c:v>
                </c:pt>
                <c:pt idx="108">
                  <c:v>5.01</c:v>
                </c:pt>
                <c:pt idx="109">
                  <c:v>5.18</c:v>
                </c:pt>
                <c:pt idx="110">
                  <c:v>5.32</c:v>
                </c:pt>
                <c:pt idx="111">
                  <c:v>5.45</c:v>
                </c:pt>
                <c:pt idx="112">
                  <c:v>5.09</c:v>
                </c:pt>
                <c:pt idx="113">
                  <c:v>4.8600000000000003</c:v>
                </c:pt>
                <c:pt idx="114">
                  <c:v>5.42</c:v>
                </c:pt>
                <c:pt idx="115">
                  <c:v>5.51</c:v>
                </c:pt>
                <c:pt idx="116">
                  <c:v>5.42</c:v>
                </c:pt>
                <c:pt idx="117">
                  <c:v>4.7300000000000004</c:v>
                </c:pt>
                <c:pt idx="118">
                  <c:v>5.23</c:v>
                </c:pt>
                <c:pt idx="119">
                  <c:v>5.15</c:v>
                </c:pt>
                <c:pt idx="120">
                  <c:v>5.0599999999999996</c:v>
                </c:pt>
                <c:pt idx="121">
                  <c:v>4.7</c:v>
                </c:pt>
                <c:pt idx="122">
                  <c:v>5.21</c:v>
                </c:pt>
                <c:pt idx="123">
                  <c:v>5.07</c:v>
                </c:pt>
                <c:pt idx="124">
                  <c:v>3.67</c:v>
                </c:pt>
                <c:pt idx="125">
                  <c:v>4.3600000000000003</c:v>
                </c:pt>
                <c:pt idx="126">
                  <c:v>4.3499999999999996</c:v>
                </c:pt>
                <c:pt idx="127">
                  <c:v>4.49</c:v>
                </c:pt>
                <c:pt idx="128">
                  <c:v>4.41</c:v>
                </c:pt>
                <c:pt idx="129">
                  <c:v>5.01</c:v>
                </c:pt>
                <c:pt idx="130">
                  <c:v>4.53</c:v>
                </c:pt>
                <c:pt idx="131">
                  <c:v>4.2</c:v>
                </c:pt>
                <c:pt idx="132">
                  <c:v>4.8099999999999996</c:v>
                </c:pt>
                <c:pt idx="133">
                  <c:v>4.46</c:v>
                </c:pt>
                <c:pt idx="134">
                  <c:v>5.64</c:v>
                </c:pt>
                <c:pt idx="135">
                  <c:v>4.6100000000000003</c:v>
                </c:pt>
                <c:pt idx="136">
                  <c:v>4.53</c:v>
                </c:pt>
                <c:pt idx="137">
                  <c:v>4.41</c:v>
                </c:pt>
                <c:pt idx="138">
                  <c:v>4.55</c:v>
                </c:pt>
                <c:pt idx="139">
                  <c:v>4.29</c:v>
                </c:pt>
                <c:pt idx="140">
                  <c:v>4.7300000000000004</c:v>
                </c:pt>
                <c:pt idx="141">
                  <c:v>4.59</c:v>
                </c:pt>
                <c:pt idx="142">
                  <c:v>4.37</c:v>
                </c:pt>
                <c:pt idx="143">
                  <c:v>3.81</c:v>
                </c:pt>
                <c:pt idx="144">
                  <c:v>4.1100000000000003</c:v>
                </c:pt>
                <c:pt idx="145">
                  <c:v>3.79</c:v>
                </c:pt>
                <c:pt idx="146">
                  <c:v>4.1500000000000004</c:v>
                </c:pt>
                <c:pt idx="147">
                  <c:v>4.46</c:v>
                </c:pt>
                <c:pt idx="148">
                  <c:v>3.49</c:v>
                </c:pt>
                <c:pt idx="149">
                  <c:v>3.17</c:v>
                </c:pt>
                <c:pt idx="150">
                  <c:v>3.35</c:v>
                </c:pt>
                <c:pt idx="151">
                  <c:v>3.49</c:v>
                </c:pt>
                <c:pt idx="152">
                  <c:v>3.32</c:v>
                </c:pt>
                <c:pt idx="154">
                  <c:v>3.93</c:v>
                </c:pt>
                <c:pt idx="155">
                  <c:v>3.98</c:v>
                </c:pt>
                <c:pt idx="156">
                  <c:v>3.35</c:v>
                </c:pt>
                <c:pt idx="157">
                  <c:v>3.78</c:v>
                </c:pt>
                <c:pt idx="158">
                  <c:v>3.42</c:v>
                </c:pt>
                <c:pt idx="159">
                  <c:v>3.84</c:v>
                </c:pt>
                <c:pt idx="160">
                  <c:v>3.49</c:v>
                </c:pt>
                <c:pt idx="161">
                  <c:v>3.62</c:v>
                </c:pt>
                <c:pt idx="162">
                  <c:v>3.74</c:v>
                </c:pt>
                <c:pt idx="163">
                  <c:v>3.6</c:v>
                </c:pt>
                <c:pt idx="173">
                  <c:v>4.75</c:v>
                </c:pt>
                <c:pt idx="174">
                  <c:v>3.87</c:v>
                </c:pt>
                <c:pt idx="175">
                  <c:v>3.48</c:v>
                </c:pt>
                <c:pt idx="176">
                  <c:v>3</c:v>
                </c:pt>
                <c:pt idx="177">
                  <c:v>3.09</c:v>
                </c:pt>
                <c:pt idx="178">
                  <c:v>2.77</c:v>
                </c:pt>
                <c:pt idx="179">
                  <c:v>3.21</c:v>
                </c:pt>
                <c:pt idx="180">
                  <c:v>3.2</c:v>
                </c:pt>
                <c:pt idx="181">
                  <c:v>2.99</c:v>
                </c:pt>
                <c:pt idx="182">
                  <c:v>8.06</c:v>
                </c:pt>
                <c:pt idx="198">
                  <c:v>3.88</c:v>
                </c:pt>
                <c:pt idx="199">
                  <c:v>2.76</c:v>
                </c:pt>
                <c:pt idx="200">
                  <c:v>3.08</c:v>
                </c:pt>
                <c:pt idx="201">
                  <c:v>2.83</c:v>
                </c:pt>
                <c:pt idx="202">
                  <c:v>3.29</c:v>
                </c:pt>
                <c:pt idx="203">
                  <c:v>2.58</c:v>
                </c:pt>
                <c:pt idx="204">
                  <c:v>2.95</c:v>
                </c:pt>
                <c:pt idx="205">
                  <c:v>2.3199999999999998</c:v>
                </c:pt>
                <c:pt idx="206">
                  <c:v>2.84</c:v>
                </c:pt>
                <c:pt idx="207">
                  <c:v>3.13</c:v>
                </c:pt>
                <c:pt idx="208">
                  <c:v>2.33</c:v>
                </c:pt>
                <c:pt idx="209">
                  <c:v>2.67</c:v>
                </c:pt>
                <c:pt idx="210">
                  <c:v>3.08</c:v>
                </c:pt>
                <c:pt idx="218">
                  <c:v>6.98</c:v>
                </c:pt>
                <c:pt idx="219">
                  <c:v>3.58</c:v>
                </c:pt>
                <c:pt idx="220">
                  <c:v>3.07</c:v>
                </c:pt>
                <c:pt idx="221">
                  <c:v>3.02</c:v>
                </c:pt>
                <c:pt idx="222">
                  <c:v>3.01</c:v>
                </c:pt>
                <c:pt idx="223">
                  <c:v>2.56</c:v>
                </c:pt>
                <c:pt idx="224">
                  <c:v>2.79</c:v>
                </c:pt>
                <c:pt idx="225">
                  <c:v>2.77</c:v>
                </c:pt>
                <c:pt idx="226">
                  <c:v>3.32</c:v>
                </c:pt>
                <c:pt idx="227">
                  <c:v>2.5</c:v>
                </c:pt>
                <c:pt idx="228">
                  <c:v>2.56</c:v>
                </c:pt>
                <c:pt idx="229">
                  <c:v>2.87</c:v>
                </c:pt>
              </c:numCache>
            </c:numRef>
          </c:val>
          <c:smooth val="0"/>
          <c:extLst>
            <c:ext xmlns:c16="http://schemas.microsoft.com/office/drawing/2014/chart" uri="{C3380CC4-5D6E-409C-BE32-E72D297353CC}">
              <c16:uniqueId val="{00000001-CCD6-DF45-8168-A431D2FB4607}"/>
            </c:ext>
          </c:extLst>
        </c:ser>
        <c:ser>
          <c:idx val="2"/>
          <c:order val="2"/>
          <c:tx>
            <c:strRef>
              <c:f>Graphs!$D$16:$D$17</c:f>
              <c:strCache>
                <c:ptCount val="1"/>
                <c:pt idx="0">
                  <c:v>Parks and Rec</c:v>
                </c:pt>
              </c:strCache>
            </c:strRef>
          </c:tx>
          <c:spPr>
            <a:ln w="28575" cap="rnd">
              <a:solidFill>
                <a:schemeClr val="accent6"/>
              </a:solidFill>
              <a:round/>
            </a:ln>
            <a:effectLst/>
          </c:spPr>
          <c:marker>
            <c:symbol val="none"/>
          </c:marker>
          <c:cat>
            <c:multiLvlStrRef>
              <c:f>Graphs!$A$18:$A$279</c:f>
              <c:multiLvlStrCache>
                <c:ptCount val="250"/>
                <c:lvl>
                  <c:pt idx="0">
                    <c:v>3/24/05</c:v>
                  </c:pt>
                  <c:pt idx="1">
                    <c:v>3/29/05</c:v>
                  </c:pt>
                  <c:pt idx="2">
                    <c:v>4/5/05</c:v>
                  </c:pt>
                  <c:pt idx="3">
                    <c:v>4/12/05</c:v>
                  </c:pt>
                  <c:pt idx="4">
                    <c:v>4/19/05</c:v>
                  </c:pt>
                  <c:pt idx="5">
                    <c:v>4/26/05</c:v>
                  </c:pt>
                  <c:pt idx="6">
                    <c:v>9/20/05</c:v>
                  </c:pt>
                  <c:pt idx="7">
                    <c:v>9/27/05</c:v>
                  </c:pt>
                  <c:pt idx="8">
                    <c:v>10/4/05</c:v>
                  </c:pt>
                  <c:pt idx="9">
                    <c:v>10/11/05</c:v>
                  </c:pt>
                  <c:pt idx="10">
                    <c:v>10/18/05</c:v>
                  </c:pt>
                  <c:pt idx="11">
                    <c:v>11/1/05</c:v>
                  </c:pt>
                  <c:pt idx="12">
                    <c:v>11/8/05</c:v>
                  </c:pt>
                  <c:pt idx="13">
                    <c:v>11/15/05</c:v>
                  </c:pt>
                  <c:pt idx="14">
                    <c:v>11/22/05</c:v>
                  </c:pt>
                  <c:pt idx="15">
                    <c:v>12/6/05</c:v>
                  </c:pt>
                  <c:pt idx="16">
                    <c:v>1/5/06</c:v>
                  </c:pt>
                  <c:pt idx="17">
                    <c:v>1/12/06</c:v>
                  </c:pt>
                  <c:pt idx="18">
                    <c:v>1/19/06</c:v>
                  </c:pt>
                  <c:pt idx="19">
                    <c:v>1/26/06</c:v>
                  </c:pt>
                  <c:pt idx="20">
                    <c:v>2/2/06</c:v>
                  </c:pt>
                  <c:pt idx="21">
                    <c:v>2/9/06</c:v>
                  </c:pt>
                  <c:pt idx="22">
                    <c:v>3/2/06</c:v>
                  </c:pt>
                  <c:pt idx="23">
                    <c:v>3/16/06</c:v>
                  </c:pt>
                  <c:pt idx="24">
                    <c:v>3/30/06</c:v>
                  </c:pt>
                  <c:pt idx="25">
                    <c:v>4/27/06</c:v>
                  </c:pt>
                  <c:pt idx="26">
                    <c:v>5/4/06</c:v>
                  </c:pt>
                  <c:pt idx="27">
                    <c:v>5/11/06</c:v>
                  </c:pt>
                  <c:pt idx="28">
                    <c:v>9/21/06</c:v>
                  </c:pt>
                  <c:pt idx="29">
                    <c:v>9/28/06</c:v>
                  </c:pt>
                  <c:pt idx="30">
                    <c:v>10/5/06</c:v>
                  </c:pt>
                  <c:pt idx="31">
                    <c:v>10/11/06</c:v>
                  </c:pt>
                  <c:pt idx="32">
                    <c:v>10/12/06</c:v>
                  </c:pt>
                  <c:pt idx="33">
                    <c:v>10/18/06</c:v>
                  </c:pt>
                  <c:pt idx="34">
                    <c:v>10/19/06</c:v>
                  </c:pt>
                  <c:pt idx="35">
                    <c:v>10/25/06</c:v>
                  </c:pt>
                  <c:pt idx="36">
                    <c:v>11/1/06</c:v>
                  </c:pt>
                  <c:pt idx="37">
                    <c:v>11/2/06</c:v>
                  </c:pt>
                  <c:pt idx="38">
                    <c:v>11/9/06</c:v>
                  </c:pt>
                  <c:pt idx="39">
                    <c:v>11/16/06</c:v>
                  </c:pt>
                  <c:pt idx="40">
                    <c:v>11/30/06</c:v>
                  </c:pt>
                  <c:pt idx="41">
                    <c:v>12/7/06</c:v>
                  </c:pt>
                  <c:pt idx="42">
                    <c:v>12/14/06</c:v>
                  </c:pt>
                  <c:pt idx="43">
                    <c:v>1/4/07</c:v>
                  </c:pt>
                  <c:pt idx="44">
                    <c:v>1/11/07</c:v>
                  </c:pt>
                  <c:pt idx="45">
                    <c:v>1/18/07</c:v>
                  </c:pt>
                  <c:pt idx="46">
                    <c:v>2/1/07</c:v>
                  </c:pt>
                  <c:pt idx="47">
                    <c:v>2/8/07</c:v>
                  </c:pt>
                  <c:pt idx="48">
                    <c:v>2/15/07</c:v>
                  </c:pt>
                  <c:pt idx="49">
                    <c:v>2/22/07</c:v>
                  </c:pt>
                  <c:pt idx="50">
                    <c:v>3/1/07</c:v>
                  </c:pt>
                  <c:pt idx="51">
                    <c:v>3/8/07</c:v>
                  </c:pt>
                  <c:pt idx="52">
                    <c:v>4/5/07</c:v>
                  </c:pt>
                  <c:pt idx="53">
                    <c:v>4/12/07</c:v>
                  </c:pt>
                  <c:pt idx="54">
                    <c:v>4/19/07</c:v>
                  </c:pt>
                  <c:pt idx="55">
                    <c:v>4/26/07</c:v>
                  </c:pt>
                  <c:pt idx="56">
                    <c:v>5/3/07</c:v>
                  </c:pt>
                  <c:pt idx="57">
                    <c:v>5/10/07</c:v>
                  </c:pt>
                  <c:pt idx="58">
                    <c:v>5/17/07</c:v>
                  </c:pt>
                  <c:pt idx="59">
                    <c:v>9/27/07</c:v>
                  </c:pt>
                  <c:pt idx="60">
                    <c:v>10/4/07</c:v>
                  </c:pt>
                  <c:pt idx="61">
                    <c:v>10/11/07</c:v>
                  </c:pt>
                  <c:pt idx="62">
                    <c:v>10/18/07</c:v>
                  </c:pt>
                  <c:pt idx="63">
                    <c:v>10/25/07</c:v>
                  </c:pt>
                  <c:pt idx="64">
                    <c:v>11/1/07</c:v>
                  </c:pt>
                  <c:pt idx="65">
                    <c:v>11/8/07</c:v>
                  </c:pt>
                  <c:pt idx="66">
                    <c:v>11/15/07</c:v>
                  </c:pt>
                  <c:pt idx="67">
                    <c:v>11/29/07</c:v>
                  </c:pt>
                  <c:pt idx="68">
                    <c:v>12/6/07</c:v>
                  </c:pt>
                  <c:pt idx="69">
                    <c:v>12/13/07</c:v>
                  </c:pt>
                  <c:pt idx="70">
                    <c:v>1/10/08</c:v>
                  </c:pt>
                  <c:pt idx="71">
                    <c:v>4/10/08</c:v>
                  </c:pt>
                  <c:pt idx="72">
                    <c:v>4/17/08</c:v>
                  </c:pt>
                  <c:pt idx="73">
                    <c:v>4/24/08</c:v>
                  </c:pt>
                  <c:pt idx="74">
                    <c:v>5/1/08</c:v>
                  </c:pt>
                  <c:pt idx="75">
                    <c:v>5/8/08</c:v>
                  </c:pt>
                  <c:pt idx="76">
                    <c:v>5/15/08</c:v>
                  </c:pt>
                  <c:pt idx="77">
                    <c:v>9/25/08</c:v>
                  </c:pt>
                  <c:pt idx="78">
                    <c:v>10/9/08</c:v>
                  </c:pt>
                  <c:pt idx="79">
                    <c:v>10/16/08</c:v>
                  </c:pt>
                  <c:pt idx="80">
                    <c:v>10/23/08</c:v>
                  </c:pt>
                  <c:pt idx="81">
                    <c:v>10/30/08</c:v>
                  </c:pt>
                  <c:pt idx="82">
                    <c:v>11/6/08</c:v>
                  </c:pt>
                  <c:pt idx="83">
                    <c:v>11/13/08</c:v>
                  </c:pt>
                  <c:pt idx="84">
                    <c:v>11/20/08</c:v>
                  </c:pt>
                  <c:pt idx="85">
                    <c:v>12/4/08</c:v>
                  </c:pt>
                  <c:pt idx="86">
                    <c:v>12/11/08</c:v>
                  </c:pt>
                  <c:pt idx="87">
                    <c:v>1/8/09</c:v>
                  </c:pt>
                  <c:pt idx="88">
                    <c:v>1/15/09</c:v>
                  </c:pt>
                  <c:pt idx="89">
                    <c:v>1/22/09</c:v>
                  </c:pt>
                  <c:pt idx="90">
                    <c:v>2/1/09</c:v>
                  </c:pt>
                  <c:pt idx="91">
                    <c:v>2/5/09</c:v>
                  </c:pt>
                  <c:pt idx="92">
                    <c:v>2/12/09</c:v>
                  </c:pt>
                  <c:pt idx="93">
                    <c:v>2/26/09</c:v>
                  </c:pt>
                  <c:pt idx="94">
                    <c:v>3/5/09</c:v>
                  </c:pt>
                  <c:pt idx="95">
                    <c:v>3/12/09</c:v>
                  </c:pt>
                  <c:pt idx="96">
                    <c:v>3/19/09</c:v>
                  </c:pt>
                  <c:pt idx="97">
                    <c:v>3/26/09</c:v>
                  </c:pt>
                  <c:pt idx="98">
                    <c:v>4/9/09</c:v>
                  </c:pt>
                  <c:pt idx="99">
                    <c:v>4/16/09</c:v>
                  </c:pt>
                  <c:pt idx="100">
                    <c:v>4/23/09</c:v>
                  </c:pt>
                  <c:pt idx="101">
                    <c:v>4/30/09</c:v>
                  </c:pt>
                  <c:pt idx="102">
                    <c:v>5/7/09</c:v>
                  </c:pt>
                  <c:pt idx="103">
                    <c:v>5/14/09</c:v>
                  </c:pt>
                  <c:pt idx="104">
                    <c:v>9/17/09</c:v>
                  </c:pt>
                  <c:pt idx="105">
                    <c:v>9/24/09</c:v>
                  </c:pt>
                  <c:pt idx="106">
                    <c:v>10/1/09</c:v>
                  </c:pt>
                  <c:pt idx="107">
                    <c:v>10/8/09</c:v>
                  </c:pt>
                  <c:pt idx="108">
                    <c:v>10/15/09</c:v>
                  </c:pt>
                  <c:pt idx="109">
                    <c:v>10/22/09</c:v>
                  </c:pt>
                  <c:pt idx="110">
                    <c:v>10/29/09</c:v>
                  </c:pt>
                  <c:pt idx="111">
                    <c:v>11/5/09</c:v>
                  </c:pt>
                  <c:pt idx="112">
                    <c:v>11/12/09</c:v>
                  </c:pt>
                  <c:pt idx="113">
                    <c:v>11/19/09</c:v>
                  </c:pt>
                  <c:pt idx="114">
                    <c:v>12/3/09</c:v>
                  </c:pt>
                  <c:pt idx="115">
                    <c:v>12/10/09</c:v>
                  </c:pt>
                  <c:pt idx="116">
                    <c:v>1/14/10</c:v>
                  </c:pt>
                  <c:pt idx="117">
                    <c:v>1/21/10</c:v>
                  </c:pt>
                  <c:pt idx="118">
                    <c:v>2/4/10</c:v>
                  </c:pt>
                  <c:pt idx="119">
                    <c:v>2/11/10</c:v>
                  </c:pt>
                  <c:pt idx="120">
                    <c:v>3/4/10</c:v>
                  </c:pt>
                  <c:pt idx="121">
                    <c:v>3/11/10</c:v>
                  </c:pt>
                  <c:pt idx="122">
                    <c:v>3/18/10</c:v>
                  </c:pt>
                  <c:pt idx="123">
                    <c:v>3/25/10</c:v>
                  </c:pt>
                  <c:pt idx="124">
                    <c:v>4/22/10</c:v>
                  </c:pt>
                  <c:pt idx="125">
                    <c:v>4/29/10</c:v>
                  </c:pt>
                  <c:pt idx="126">
                    <c:v>5/6/10</c:v>
                  </c:pt>
                  <c:pt idx="127">
                    <c:v>5/13/10</c:v>
                  </c:pt>
                  <c:pt idx="128">
                    <c:v>5/20/10</c:v>
                  </c:pt>
                  <c:pt idx="129">
                    <c:v>9/23/10</c:v>
                  </c:pt>
                  <c:pt idx="130">
                    <c:v>9/30/10</c:v>
                  </c:pt>
                  <c:pt idx="131">
                    <c:v>10/7/10</c:v>
                  </c:pt>
                  <c:pt idx="132">
                    <c:v>10/14/10</c:v>
                  </c:pt>
                  <c:pt idx="133">
                    <c:v>10/21/10</c:v>
                  </c:pt>
                  <c:pt idx="134">
                    <c:v>10/28/10</c:v>
                  </c:pt>
                  <c:pt idx="135">
                    <c:v>11/4/10</c:v>
                  </c:pt>
                  <c:pt idx="136">
                    <c:v>11/11/10</c:v>
                  </c:pt>
                  <c:pt idx="137">
                    <c:v>11/18/10</c:v>
                  </c:pt>
                  <c:pt idx="138">
                    <c:v>12/2/10</c:v>
                  </c:pt>
                  <c:pt idx="139">
                    <c:v>12/9/10</c:v>
                  </c:pt>
                  <c:pt idx="140">
                    <c:v>1/20/11</c:v>
                  </c:pt>
                  <c:pt idx="141">
                    <c:v>1/27/11</c:v>
                  </c:pt>
                  <c:pt idx="142">
                    <c:v>2/3/11</c:v>
                  </c:pt>
                  <c:pt idx="143">
                    <c:v>2/10/11</c:v>
                  </c:pt>
                  <c:pt idx="144">
                    <c:v>2/17/11</c:v>
                  </c:pt>
                  <c:pt idx="145">
                    <c:v>2/24/11</c:v>
                  </c:pt>
                  <c:pt idx="146">
                    <c:v>3/17/11</c:v>
                  </c:pt>
                  <c:pt idx="147">
                    <c:v>3/24/11</c:v>
                  </c:pt>
                  <c:pt idx="148">
                    <c:v>4/14/11</c:v>
                  </c:pt>
                  <c:pt idx="149">
                    <c:v>4/21/11</c:v>
                  </c:pt>
                  <c:pt idx="150">
                    <c:v>4/28/11</c:v>
                  </c:pt>
                  <c:pt idx="151">
                    <c:v>5/5/11</c:v>
                  </c:pt>
                  <c:pt idx="152">
                    <c:v>5/12/11</c:v>
                  </c:pt>
                  <c:pt idx="153">
                    <c:v>5/19/11</c:v>
                  </c:pt>
                  <c:pt idx="154">
                    <c:v>9/22/11</c:v>
                  </c:pt>
                  <c:pt idx="155">
                    <c:v>9/29/11</c:v>
                  </c:pt>
                  <c:pt idx="156">
                    <c:v>10/6/11</c:v>
                  </c:pt>
                  <c:pt idx="157">
                    <c:v>10/13/11</c:v>
                  </c:pt>
                  <c:pt idx="158">
                    <c:v>10/27/11</c:v>
                  </c:pt>
                  <c:pt idx="159">
                    <c:v>11/3/11</c:v>
                  </c:pt>
                  <c:pt idx="160">
                    <c:v>11/10/11</c:v>
                  </c:pt>
                  <c:pt idx="161">
                    <c:v>11/17/11</c:v>
                  </c:pt>
                  <c:pt idx="162">
                    <c:v>12/1/11</c:v>
                  </c:pt>
                  <c:pt idx="163">
                    <c:v>12/8/11</c:v>
                  </c:pt>
                  <c:pt idx="164">
                    <c:v>1/12/12</c:v>
                  </c:pt>
                  <c:pt idx="165">
                    <c:v>1/19/12</c:v>
                  </c:pt>
                  <c:pt idx="166">
                    <c:v>1/26/12</c:v>
                  </c:pt>
                  <c:pt idx="167">
                    <c:v>2/2/12</c:v>
                  </c:pt>
                  <c:pt idx="168">
                    <c:v>2/9/12</c:v>
                  </c:pt>
                  <c:pt idx="169">
                    <c:v>2/16/12</c:v>
                  </c:pt>
                  <c:pt idx="170">
                    <c:v>2/23/12</c:v>
                  </c:pt>
                  <c:pt idx="171">
                    <c:v>3/1/12</c:v>
                  </c:pt>
                  <c:pt idx="172">
                    <c:v>3/8/12</c:v>
                  </c:pt>
                  <c:pt idx="173">
                    <c:v>3/15/12</c:v>
                  </c:pt>
                  <c:pt idx="174">
                    <c:v>3/22/12</c:v>
                  </c:pt>
                  <c:pt idx="175">
                    <c:v>3/29/12</c:v>
                  </c:pt>
                  <c:pt idx="176">
                    <c:v>4/5/12</c:v>
                  </c:pt>
                  <c:pt idx="177">
                    <c:v>4/12/12</c:v>
                  </c:pt>
                  <c:pt idx="178">
                    <c:v>4/19/12</c:v>
                  </c:pt>
                  <c:pt idx="179">
                    <c:v>4/26/12</c:v>
                  </c:pt>
                  <c:pt idx="180">
                    <c:v>5/3/12</c:v>
                  </c:pt>
                  <c:pt idx="181">
                    <c:v>5/10/12</c:v>
                  </c:pt>
                  <c:pt idx="182">
                    <c:v>5/17/12</c:v>
                  </c:pt>
                  <c:pt idx="183">
                    <c:v>9/20/12</c:v>
                  </c:pt>
                  <c:pt idx="184">
                    <c:v>9/27/12</c:v>
                  </c:pt>
                  <c:pt idx="185">
                    <c:v>10/4/12</c:v>
                  </c:pt>
                  <c:pt idx="186">
                    <c:v>10/11/12</c:v>
                  </c:pt>
                  <c:pt idx="187">
                    <c:v>10/18/12</c:v>
                  </c:pt>
                  <c:pt idx="188">
                    <c:v>10/25/12</c:v>
                  </c:pt>
                  <c:pt idx="189">
                    <c:v>10/31/12</c:v>
                  </c:pt>
                  <c:pt idx="190">
                    <c:v>11/8/12</c:v>
                  </c:pt>
                  <c:pt idx="191">
                    <c:v>11/15/12</c:v>
                  </c:pt>
                  <c:pt idx="192">
                    <c:v>11/29/12</c:v>
                  </c:pt>
                  <c:pt idx="193">
                    <c:v>12/6/12</c:v>
                  </c:pt>
                  <c:pt idx="194">
                    <c:v>1/10/13</c:v>
                  </c:pt>
                  <c:pt idx="195">
                    <c:v>1/17/13</c:v>
                  </c:pt>
                  <c:pt idx="196">
                    <c:v>1/24/13</c:v>
                  </c:pt>
                  <c:pt idx="197">
                    <c:v>1/31/13</c:v>
                  </c:pt>
                  <c:pt idx="198">
                    <c:v>2/7/13</c:v>
                  </c:pt>
                  <c:pt idx="199">
                    <c:v>2/14/13</c:v>
                  </c:pt>
                  <c:pt idx="200">
                    <c:v>2/21/13</c:v>
                  </c:pt>
                  <c:pt idx="201">
                    <c:v>2/28/13</c:v>
                  </c:pt>
                  <c:pt idx="202">
                    <c:v>3/7/13</c:v>
                  </c:pt>
                  <c:pt idx="203">
                    <c:v>3/14/13</c:v>
                  </c:pt>
                  <c:pt idx="204">
                    <c:v>3/21/13</c:v>
                  </c:pt>
                  <c:pt idx="205">
                    <c:v>4/4/13</c:v>
                  </c:pt>
                  <c:pt idx="206">
                    <c:v>4/11/13</c:v>
                  </c:pt>
                  <c:pt idx="207">
                    <c:v>4/18/13</c:v>
                  </c:pt>
                  <c:pt idx="208">
                    <c:v>4/25/13</c:v>
                  </c:pt>
                  <c:pt idx="209">
                    <c:v>5/2/13</c:v>
                  </c:pt>
                  <c:pt idx="210">
                    <c:v>5/9/13</c:v>
                  </c:pt>
                  <c:pt idx="211">
                    <c:v>5/16/13</c:v>
                  </c:pt>
                  <c:pt idx="212">
                    <c:v>9/26/13</c:v>
                  </c:pt>
                  <c:pt idx="213">
                    <c:v>10/3/13</c:v>
                  </c:pt>
                  <c:pt idx="214">
                    <c:v>10/10/13</c:v>
                  </c:pt>
                  <c:pt idx="215">
                    <c:v>10/17/13</c:v>
                  </c:pt>
                  <c:pt idx="216">
                    <c:v>11/14/13</c:v>
                  </c:pt>
                  <c:pt idx="217">
                    <c:v>11/21/13</c:v>
                  </c:pt>
                  <c:pt idx="218">
                    <c:v>1/2/14</c:v>
                  </c:pt>
                  <c:pt idx="219">
                    <c:v>1/9/14</c:v>
                  </c:pt>
                  <c:pt idx="220">
                    <c:v>1/16/14</c:v>
                  </c:pt>
                  <c:pt idx="221">
                    <c:v>1/23/14</c:v>
                  </c:pt>
                  <c:pt idx="222">
                    <c:v>1/30/14</c:v>
                  </c:pt>
                  <c:pt idx="223">
                    <c:v>2/27/14</c:v>
                  </c:pt>
                  <c:pt idx="224">
                    <c:v>3/6/14</c:v>
                  </c:pt>
                  <c:pt idx="225">
                    <c:v>3/13/14</c:v>
                  </c:pt>
                  <c:pt idx="226">
                    <c:v>3/20/14</c:v>
                  </c:pt>
                  <c:pt idx="227">
                    <c:v>4/3/14</c:v>
                  </c:pt>
                  <c:pt idx="228">
                    <c:v>4/10/14</c:v>
                  </c:pt>
                  <c:pt idx="229">
                    <c:v>4/17/14</c:v>
                  </c:pt>
                  <c:pt idx="230">
                    <c:v>4/24/14</c:v>
                  </c:pt>
                  <c:pt idx="231">
                    <c:v>1/13/15</c:v>
                  </c:pt>
                  <c:pt idx="232">
                    <c:v>1/20/15</c:v>
                  </c:pt>
                  <c:pt idx="233">
                    <c:v>1/27/15</c:v>
                  </c:pt>
                  <c:pt idx="234">
                    <c:v>2/3/15</c:v>
                  </c:pt>
                  <c:pt idx="235">
                    <c:v>2/10/15</c:v>
                  </c:pt>
                  <c:pt idx="236">
                    <c:v>2/17/15</c:v>
                  </c:pt>
                  <c:pt idx="237">
                    <c:v>2/24/15</c:v>
                  </c:pt>
                  <c:pt idx="238">
                    <c:v>3/17/15</c:v>
                  </c:pt>
                  <c:pt idx="239">
                    <c:v>3/24/15</c:v>
                  </c:pt>
                  <c:pt idx="240">
                    <c:v>3/31/15</c:v>
                  </c:pt>
                  <c:pt idx="241">
                    <c:v>4/7/15</c:v>
                  </c:pt>
                  <c:pt idx="242">
                    <c:v>4/14/15</c:v>
                  </c:pt>
                  <c:pt idx="243">
                    <c:v>4/21/15</c:v>
                  </c:pt>
                  <c:pt idx="244">
                    <c:v>4/28/15</c:v>
                  </c:pt>
                  <c:pt idx="245">
                    <c:v>5/5/15</c:v>
                  </c:pt>
                  <c:pt idx="246">
                    <c:v>5/12/15</c:v>
                  </c:pt>
                  <c:pt idx="247">
                    <c:v>5/19/15</c:v>
                  </c:pt>
                  <c:pt idx="248">
                    <c:v>5/26/15</c:v>
                  </c:pt>
                  <c:pt idx="249">
                    <c:v>6/2/15</c:v>
                  </c:pt>
                </c:lvl>
                <c:lvl>
                  <c:pt idx="0">
                    <c:v>2005</c:v>
                  </c:pt>
                  <c:pt idx="16">
                    <c:v>2006</c:v>
                  </c:pt>
                  <c:pt idx="43">
                    <c:v>2007</c:v>
                  </c:pt>
                  <c:pt idx="70">
                    <c:v>2008</c:v>
                  </c:pt>
                  <c:pt idx="87">
                    <c:v>2009</c:v>
                  </c:pt>
                  <c:pt idx="116">
                    <c:v>2010</c:v>
                  </c:pt>
                  <c:pt idx="140">
                    <c:v>2011</c:v>
                  </c:pt>
                  <c:pt idx="164">
                    <c:v>2012</c:v>
                  </c:pt>
                  <c:pt idx="194">
                    <c:v>2013</c:v>
                  </c:pt>
                  <c:pt idx="218">
                    <c:v>2014</c:v>
                  </c:pt>
                  <c:pt idx="231">
                    <c:v>2015</c:v>
                  </c:pt>
                </c:lvl>
              </c:multiLvlStrCache>
            </c:multiLvlStrRef>
          </c:cat>
          <c:val>
            <c:numRef>
              <c:f>Graphs!$D$18:$D$279</c:f>
              <c:numCache>
                <c:formatCode>General</c:formatCode>
                <c:ptCount val="250"/>
                <c:pt idx="98">
                  <c:v>6.77</c:v>
                </c:pt>
                <c:pt idx="99">
                  <c:v>5.92</c:v>
                </c:pt>
                <c:pt idx="100">
                  <c:v>5.24</c:v>
                </c:pt>
                <c:pt idx="101">
                  <c:v>5.29</c:v>
                </c:pt>
                <c:pt idx="102">
                  <c:v>4.6399999999999997</c:v>
                </c:pt>
                <c:pt idx="103">
                  <c:v>4.25</c:v>
                </c:pt>
                <c:pt idx="104">
                  <c:v>5</c:v>
                </c:pt>
                <c:pt idx="105">
                  <c:v>4.22</c:v>
                </c:pt>
                <c:pt idx="106">
                  <c:v>4.63</c:v>
                </c:pt>
                <c:pt idx="107">
                  <c:v>4.97</c:v>
                </c:pt>
                <c:pt idx="108">
                  <c:v>4.6900000000000004</c:v>
                </c:pt>
                <c:pt idx="109">
                  <c:v>4.9800000000000004</c:v>
                </c:pt>
                <c:pt idx="110">
                  <c:v>4.96</c:v>
                </c:pt>
                <c:pt idx="111">
                  <c:v>4.9400000000000004</c:v>
                </c:pt>
                <c:pt idx="112">
                  <c:v>4.67</c:v>
                </c:pt>
                <c:pt idx="113">
                  <c:v>4.6100000000000003</c:v>
                </c:pt>
                <c:pt idx="114">
                  <c:v>4.83</c:v>
                </c:pt>
                <c:pt idx="115">
                  <c:v>4.9000000000000004</c:v>
                </c:pt>
                <c:pt idx="116">
                  <c:v>4.59</c:v>
                </c:pt>
                <c:pt idx="117">
                  <c:v>4.3499999999999996</c:v>
                </c:pt>
                <c:pt idx="118">
                  <c:v>4.87</c:v>
                </c:pt>
                <c:pt idx="119">
                  <c:v>4.9800000000000004</c:v>
                </c:pt>
                <c:pt idx="120">
                  <c:v>4.6399999999999997</c:v>
                </c:pt>
                <c:pt idx="121">
                  <c:v>4.6100000000000003</c:v>
                </c:pt>
                <c:pt idx="122">
                  <c:v>4.7</c:v>
                </c:pt>
                <c:pt idx="123">
                  <c:v>4.49</c:v>
                </c:pt>
                <c:pt idx="125">
                  <c:v>4.03</c:v>
                </c:pt>
                <c:pt idx="126">
                  <c:v>4.03</c:v>
                </c:pt>
                <c:pt idx="127">
                  <c:v>4.28</c:v>
                </c:pt>
                <c:pt idx="128">
                  <c:v>4.55</c:v>
                </c:pt>
                <c:pt idx="140">
                  <c:v>6.14</c:v>
                </c:pt>
                <c:pt idx="141">
                  <c:v>5.83</c:v>
                </c:pt>
                <c:pt idx="142">
                  <c:v>4.95</c:v>
                </c:pt>
                <c:pt idx="143">
                  <c:v>5.03</c:v>
                </c:pt>
                <c:pt idx="144">
                  <c:v>4.33</c:v>
                </c:pt>
                <c:pt idx="145">
                  <c:v>4.59</c:v>
                </c:pt>
                <c:pt idx="146">
                  <c:v>4.08</c:v>
                </c:pt>
                <c:pt idx="147">
                  <c:v>5.15</c:v>
                </c:pt>
                <c:pt idx="148">
                  <c:v>5.16</c:v>
                </c:pt>
                <c:pt idx="149">
                  <c:v>4.88</c:v>
                </c:pt>
                <c:pt idx="150">
                  <c:v>4.71</c:v>
                </c:pt>
                <c:pt idx="151">
                  <c:v>5.0599999999999996</c:v>
                </c:pt>
                <c:pt idx="152">
                  <c:v>8.09</c:v>
                </c:pt>
                <c:pt idx="153">
                  <c:v>7.99</c:v>
                </c:pt>
                <c:pt idx="154">
                  <c:v>4.1100000000000003</c:v>
                </c:pt>
                <c:pt idx="155">
                  <c:v>4.33</c:v>
                </c:pt>
                <c:pt idx="156">
                  <c:v>4.1500000000000004</c:v>
                </c:pt>
                <c:pt idx="157">
                  <c:v>3.99</c:v>
                </c:pt>
                <c:pt idx="158">
                  <c:v>3.9</c:v>
                </c:pt>
                <c:pt idx="159">
                  <c:v>4</c:v>
                </c:pt>
                <c:pt idx="160">
                  <c:v>3.66</c:v>
                </c:pt>
                <c:pt idx="161">
                  <c:v>3.68</c:v>
                </c:pt>
                <c:pt idx="162">
                  <c:v>3.69</c:v>
                </c:pt>
                <c:pt idx="163">
                  <c:v>3.64</c:v>
                </c:pt>
                <c:pt idx="164">
                  <c:v>4.09</c:v>
                </c:pt>
                <c:pt idx="165">
                  <c:v>4.25</c:v>
                </c:pt>
                <c:pt idx="166">
                  <c:v>3.49</c:v>
                </c:pt>
                <c:pt idx="167">
                  <c:v>3.6</c:v>
                </c:pt>
                <c:pt idx="169">
                  <c:v>3.45</c:v>
                </c:pt>
                <c:pt idx="170">
                  <c:v>3.43</c:v>
                </c:pt>
                <c:pt idx="171">
                  <c:v>3.77</c:v>
                </c:pt>
                <c:pt idx="172">
                  <c:v>3.66</c:v>
                </c:pt>
                <c:pt idx="178">
                  <c:v>3.46</c:v>
                </c:pt>
                <c:pt idx="179">
                  <c:v>3.17</c:v>
                </c:pt>
                <c:pt idx="180">
                  <c:v>3.26</c:v>
                </c:pt>
                <c:pt idx="181">
                  <c:v>3.42</c:v>
                </c:pt>
                <c:pt idx="183">
                  <c:v>3.5</c:v>
                </c:pt>
                <c:pt idx="184">
                  <c:v>3.27</c:v>
                </c:pt>
                <c:pt idx="185">
                  <c:v>3.53</c:v>
                </c:pt>
                <c:pt idx="187">
                  <c:v>3.46</c:v>
                </c:pt>
                <c:pt idx="188">
                  <c:v>3.34</c:v>
                </c:pt>
                <c:pt idx="190">
                  <c:v>3.46</c:v>
                </c:pt>
                <c:pt idx="191">
                  <c:v>3.52</c:v>
                </c:pt>
                <c:pt idx="192">
                  <c:v>2.99</c:v>
                </c:pt>
                <c:pt idx="193">
                  <c:v>3.27</c:v>
                </c:pt>
                <c:pt idx="195">
                  <c:v>3.92</c:v>
                </c:pt>
                <c:pt idx="196">
                  <c:v>3.94</c:v>
                </c:pt>
                <c:pt idx="198">
                  <c:v>3.76</c:v>
                </c:pt>
                <c:pt idx="199">
                  <c:v>3.18</c:v>
                </c:pt>
                <c:pt idx="200">
                  <c:v>6.02</c:v>
                </c:pt>
                <c:pt idx="203">
                  <c:v>3</c:v>
                </c:pt>
                <c:pt idx="205">
                  <c:v>2.93</c:v>
                </c:pt>
                <c:pt idx="206">
                  <c:v>3.15</c:v>
                </c:pt>
                <c:pt idx="207">
                  <c:v>6.6899999999999995</c:v>
                </c:pt>
                <c:pt idx="208">
                  <c:v>2.59</c:v>
                </c:pt>
                <c:pt idx="209">
                  <c:v>2.99</c:v>
                </c:pt>
                <c:pt idx="212">
                  <c:v>6.54</c:v>
                </c:pt>
                <c:pt idx="213">
                  <c:v>3.14</c:v>
                </c:pt>
                <c:pt idx="214">
                  <c:v>3.23</c:v>
                </c:pt>
                <c:pt idx="215">
                  <c:v>3.27</c:v>
                </c:pt>
                <c:pt idx="216">
                  <c:v>6.06</c:v>
                </c:pt>
                <c:pt idx="217">
                  <c:v>5.62</c:v>
                </c:pt>
                <c:pt idx="219">
                  <c:v>3.43</c:v>
                </c:pt>
                <c:pt idx="220">
                  <c:v>3.05</c:v>
                </c:pt>
                <c:pt idx="221">
                  <c:v>2.98</c:v>
                </c:pt>
                <c:pt idx="222">
                  <c:v>3.03</c:v>
                </c:pt>
                <c:pt idx="223">
                  <c:v>2.52</c:v>
                </c:pt>
                <c:pt idx="224">
                  <c:v>2.95</c:v>
                </c:pt>
                <c:pt idx="225">
                  <c:v>2.72</c:v>
                </c:pt>
                <c:pt idx="226">
                  <c:v>3.05</c:v>
                </c:pt>
                <c:pt idx="227">
                  <c:v>2.67</c:v>
                </c:pt>
                <c:pt idx="228">
                  <c:v>2.56</c:v>
                </c:pt>
                <c:pt idx="229">
                  <c:v>2.39</c:v>
                </c:pt>
                <c:pt idx="230">
                  <c:v>5.42</c:v>
                </c:pt>
                <c:pt idx="231">
                  <c:v>7</c:v>
                </c:pt>
                <c:pt idx="232">
                  <c:v>7.17</c:v>
                </c:pt>
                <c:pt idx="233">
                  <c:v>6.45</c:v>
                </c:pt>
                <c:pt idx="234">
                  <c:v>3.45</c:v>
                </c:pt>
                <c:pt idx="235">
                  <c:v>5.53</c:v>
                </c:pt>
                <c:pt idx="236">
                  <c:v>5.41</c:v>
                </c:pt>
                <c:pt idx="237">
                  <c:v>8.3000000000000007</c:v>
                </c:pt>
              </c:numCache>
            </c:numRef>
          </c:val>
          <c:smooth val="0"/>
          <c:extLst>
            <c:ext xmlns:c16="http://schemas.microsoft.com/office/drawing/2014/chart" uri="{C3380CC4-5D6E-409C-BE32-E72D297353CC}">
              <c16:uniqueId val="{00000002-CCD6-DF45-8168-A431D2FB4607}"/>
            </c:ext>
          </c:extLst>
        </c:ser>
        <c:ser>
          <c:idx val="3"/>
          <c:order val="3"/>
          <c:tx>
            <c:strRef>
              <c:f>Graphs!$E$16:$E$17</c:f>
              <c:strCache>
                <c:ptCount val="1"/>
                <c:pt idx="0">
                  <c:v>The Office</c:v>
                </c:pt>
              </c:strCache>
            </c:strRef>
          </c:tx>
          <c:spPr>
            <a:ln w="28575" cap="rnd">
              <a:solidFill>
                <a:schemeClr val="accent5"/>
              </a:solidFill>
              <a:round/>
            </a:ln>
            <a:effectLst/>
          </c:spPr>
          <c:marker>
            <c:symbol val="none"/>
          </c:marker>
          <c:cat>
            <c:multiLvlStrRef>
              <c:f>Graphs!$A$18:$A$279</c:f>
              <c:multiLvlStrCache>
                <c:ptCount val="250"/>
                <c:lvl>
                  <c:pt idx="0">
                    <c:v>3/24/05</c:v>
                  </c:pt>
                  <c:pt idx="1">
                    <c:v>3/29/05</c:v>
                  </c:pt>
                  <c:pt idx="2">
                    <c:v>4/5/05</c:v>
                  </c:pt>
                  <c:pt idx="3">
                    <c:v>4/12/05</c:v>
                  </c:pt>
                  <c:pt idx="4">
                    <c:v>4/19/05</c:v>
                  </c:pt>
                  <c:pt idx="5">
                    <c:v>4/26/05</c:v>
                  </c:pt>
                  <c:pt idx="6">
                    <c:v>9/20/05</c:v>
                  </c:pt>
                  <c:pt idx="7">
                    <c:v>9/27/05</c:v>
                  </c:pt>
                  <c:pt idx="8">
                    <c:v>10/4/05</c:v>
                  </c:pt>
                  <c:pt idx="9">
                    <c:v>10/11/05</c:v>
                  </c:pt>
                  <c:pt idx="10">
                    <c:v>10/18/05</c:v>
                  </c:pt>
                  <c:pt idx="11">
                    <c:v>11/1/05</c:v>
                  </c:pt>
                  <c:pt idx="12">
                    <c:v>11/8/05</c:v>
                  </c:pt>
                  <c:pt idx="13">
                    <c:v>11/15/05</c:v>
                  </c:pt>
                  <c:pt idx="14">
                    <c:v>11/22/05</c:v>
                  </c:pt>
                  <c:pt idx="15">
                    <c:v>12/6/05</c:v>
                  </c:pt>
                  <c:pt idx="16">
                    <c:v>1/5/06</c:v>
                  </c:pt>
                  <c:pt idx="17">
                    <c:v>1/12/06</c:v>
                  </c:pt>
                  <c:pt idx="18">
                    <c:v>1/19/06</c:v>
                  </c:pt>
                  <c:pt idx="19">
                    <c:v>1/26/06</c:v>
                  </c:pt>
                  <c:pt idx="20">
                    <c:v>2/2/06</c:v>
                  </c:pt>
                  <c:pt idx="21">
                    <c:v>2/9/06</c:v>
                  </c:pt>
                  <c:pt idx="22">
                    <c:v>3/2/06</c:v>
                  </c:pt>
                  <c:pt idx="23">
                    <c:v>3/16/06</c:v>
                  </c:pt>
                  <c:pt idx="24">
                    <c:v>3/30/06</c:v>
                  </c:pt>
                  <c:pt idx="25">
                    <c:v>4/27/06</c:v>
                  </c:pt>
                  <c:pt idx="26">
                    <c:v>5/4/06</c:v>
                  </c:pt>
                  <c:pt idx="27">
                    <c:v>5/11/06</c:v>
                  </c:pt>
                  <c:pt idx="28">
                    <c:v>9/21/06</c:v>
                  </c:pt>
                  <c:pt idx="29">
                    <c:v>9/28/06</c:v>
                  </c:pt>
                  <c:pt idx="30">
                    <c:v>10/5/06</c:v>
                  </c:pt>
                  <c:pt idx="31">
                    <c:v>10/11/06</c:v>
                  </c:pt>
                  <c:pt idx="32">
                    <c:v>10/12/06</c:v>
                  </c:pt>
                  <c:pt idx="33">
                    <c:v>10/18/06</c:v>
                  </c:pt>
                  <c:pt idx="34">
                    <c:v>10/19/06</c:v>
                  </c:pt>
                  <c:pt idx="35">
                    <c:v>10/25/06</c:v>
                  </c:pt>
                  <c:pt idx="36">
                    <c:v>11/1/06</c:v>
                  </c:pt>
                  <c:pt idx="37">
                    <c:v>11/2/06</c:v>
                  </c:pt>
                  <c:pt idx="38">
                    <c:v>11/9/06</c:v>
                  </c:pt>
                  <c:pt idx="39">
                    <c:v>11/16/06</c:v>
                  </c:pt>
                  <c:pt idx="40">
                    <c:v>11/30/06</c:v>
                  </c:pt>
                  <c:pt idx="41">
                    <c:v>12/7/06</c:v>
                  </c:pt>
                  <c:pt idx="42">
                    <c:v>12/14/06</c:v>
                  </c:pt>
                  <c:pt idx="43">
                    <c:v>1/4/07</c:v>
                  </c:pt>
                  <c:pt idx="44">
                    <c:v>1/11/07</c:v>
                  </c:pt>
                  <c:pt idx="45">
                    <c:v>1/18/07</c:v>
                  </c:pt>
                  <c:pt idx="46">
                    <c:v>2/1/07</c:v>
                  </c:pt>
                  <c:pt idx="47">
                    <c:v>2/8/07</c:v>
                  </c:pt>
                  <c:pt idx="48">
                    <c:v>2/15/07</c:v>
                  </c:pt>
                  <c:pt idx="49">
                    <c:v>2/22/07</c:v>
                  </c:pt>
                  <c:pt idx="50">
                    <c:v>3/1/07</c:v>
                  </c:pt>
                  <c:pt idx="51">
                    <c:v>3/8/07</c:v>
                  </c:pt>
                  <c:pt idx="52">
                    <c:v>4/5/07</c:v>
                  </c:pt>
                  <c:pt idx="53">
                    <c:v>4/12/07</c:v>
                  </c:pt>
                  <c:pt idx="54">
                    <c:v>4/19/07</c:v>
                  </c:pt>
                  <c:pt idx="55">
                    <c:v>4/26/07</c:v>
                  </c:pt>
                  <c:pt idx="56">
                    <c:v>5/3/07</c:v>
                  </c:pt>
                  <c:pt idx="57">
                    <c:v>5/10/07</c:v>
                  </c:pt>
                  <c:pt idx="58">
                    <c:v>5/17/07</c:v>
                  </c:pt>
                  <c:pt idx="59">
                    <c:v>9/27/07</c:v>
                  </c:pt>
                  <c:pt idx="60">
                    <c:v>10/4/07</c:v>
                  </c:pt>
                  <c:pt idx="61">
                    <c:v>10/11/07</c:v>
                  </c:pt>
                  <c:pt idx="62">
                    <c:v>10/18/07</c:v>
                  </c:pt>
                  <c:pt idx="63">
                    <c:v>10/25/07</c:v>
                  </c:pt>
                  <c:pt idx="64">
                    <c:v>11/1/07</c:v>
                  </c:pt>
                  <c:pt idx="65">
                    <c:v>11/8/07</c:v>
                  </c:pt>
                  <c:pt idx="66">
                    <c:v>11/15/07</c:v>
                  </c:pt>
                  <c:pt idx="67">
                    <c:v>11/29/07</c:v>
                  </c:pt>
                  <c:pt idx="68">
                    <c:v>12/6/07</c:v>
                  </c:pt>
                  <c:pt idx="69">
                    <c:v>12/13/07</c:v>
                  </c:pt>
                  <c:pt idx="70">
                    <c:v>1/10/08</c:v>
                  </c:pt>
                  <c:pt idx="71">
                    <c:v>4/10/08</c:v>
                  </c:pt>
                  <c:pt idx="72">
                    <c:v>4/17/08</c:v>
                  </c:pt>
                  <c:pt idx="73">
                    <c:v>4/24/08</c:v>
                  </c:pt>
                  <c:pt idx="74">
                    <c:v>5/1/08</c:v>
                  </c:pt>
                  <c:pt idx="75">
                    <c:v>5/8/08</c:v>
                  </c:pt>
                  <c:pt idx="76">
                    <c:v>5/15/08</c:v>
                  </c:pt>
                  <c:pt idx="77">
                    <c:v>9/25/08</c:v>
                  </c:pt>
                  <c:pt idx="78">
                    <c:v>10/9/08</c:v>
                  </c:pt>
                  <c:pt idx="79">
                    <c:v>10/16/08</c:v>
                  </c:pt>
                  <c:pt idx="80">
                    <c:v>10/23/08</c:v>
                  </c:pt>
                  <c:pt idx="81">
                    <c:v>10/30/08</c:v>
                  </c:pt>
                  <c:pt idx="82">
                    <c:v>11/6/08</c:v>
                  </c:pt>
                  <c:pt idx="83">
                    <c:v>11/13/08</c:v>
                  </c:pt>
                  <c:pt idx="84">
                    <c:v>11/20/08</c:v>
                  </c:pt>
                  <c:pt idx="85">
                    <c:v>12/4/08</c:v>
                  </c:pt>
                  <c:pt idx="86">
                    <c:v>12/11/08</c:v>
                  </c:pt>
                  <c:pt idx="87">
                    <c:v>1/8/09</c:v>
                  </c:pt>
                  <c:pt idx="88">
                    <c:v>1/15/09</c:v>
                  </c:pt>
                  <c:pt idx="89">
                    <c:v>1/22/09</c:v>
                  </c:pt>
                  <c:pt idx="90">
                    <c:v>2/1/09</c:v>
                  </c:pt>
                  <c:pt idx="91">
                    <c:v>2/5/09</c:v>
                  </c:pt>
                  <c:pt idx="92">
                    <c:v>2/12/09</c:v>
                  </c:pt>
                  <c:pt idx="93">
                    <c:v>2/26/09</c:v>
                  </c:pt>
                  <c:pt idx="94">
                    <c:v>3/5/09</c:v>
                  </c:pt>
                  <c:pt idx="95">
                    <c:v>3/12/09</c:v>
                  </c:pt>
                  <c:pt idx="96">
                    <c:v>3/19/09</c:v>
                  </c:pt>
                  <c:pt idx="97">
                    <c:v>3/26/09</c:v>
                  </c:pt>
                  <c:pt idx="98">
                    <c:v>4/9/09</c:v>
                  </c:pt>
                  <c:pt idx="99">
                    <c:v>4/16/09</c:v>
                  </c:pt>
                  <c:pt idx="100">
                    <c:v>4/23/09</c:v>
                  </c:pt>
                  <c:pt idx="101">
                    <c:v>4/30/09</c:v>
                  </c:pt>
                  <c:pt idx="102">
                    <c:v>5/7/09</c:v>
                  </c:pt>
                  <c:pt idx="103">
                    <c:v>5/14/09</c:v>
                  </c:pt>
                  <c:pt idx="104">
                    <c:v>9/17/09</c:v>
                  </c:pt>
                  <c:pt idx="105">
                    <c:v>9/24/09</c:v>
                  </c:pt>
                  <c:pt idx="106">
                    <c:v>10/1/09</c:v>
                  </c:pt>
                  <c:pt idx="107">
                    <c:v>10/8/09</c:v>
                  </c:pt>
                  <c:pt idx="108">
                    <c:v>10/15/09</c:v>
                  </c:pt>
                  <c:pt idx="109">
                    <c:v>10/22/09</c:v>
                  </c:pt>
                  <c:pt idx="110">
                    <c:v>10/29/09</c:v>
                  </c:pt>
                  <c:pt idx="111">
                    <c:v>11/5/09</c:v>
                  </c:pt>
                  <c:pt idx="112">
                    <c:v>11/12/09</c:v>
                  </c:pt>
                  <c:pt idx="113">
                    <c:v>11/19/09</c:v>
                  </c:pt>
                  <c:pt idx="114">
                    <c:v>12/3/09</c:v>
                  </c:pt>
                  <c:pt idx="115">
                    <c:v>12/10/09</c:v>
                  </c:pt>
                  <c:pt idx="116">
                    <c:v>1/14/10</c:v>
                  </c:pt>
                  <c:pt idx="117">
                    <c:v>1/21/10</c:v>
                  </c:pt>
                  <c:pt idx="118">
                    <c:v>2/4/10</c:v>
                  </c:pt>
                  <c:pt idx="119">
                    <c:v>2/11/10</c:v>
                  </c:pt>
                  <c:pt idx="120">
                    <c:v>3/4/10</c:v>
                  </c:pt>
                  <c:pt idx="121">
                    <c:v>3/11/10</c:v>
                  </c:pt>
                  <c:pt idx="122">
                    <c:v>3/18/10</c:v>
                  </c:pt>
                  <c:pt idx="123">
                    <c:v>3/25/10</c:v>
                  </c:pt>
                  <c:pt idx="124">
                    <c:v>4/22/10</c:v>
                  </c:pt>
                  <c:pt idx="125">
                    <c:v>4/29/10</c:v>
                  </c:pt>
                  <c:pt idx="126">
                    <c:v>5/6/10</c:v>
                  </c:pt>
                  <c:pt idx="127">
                    <c:v>5/13/10</c:v>
                  </c:pt>
                  <c:pt idx="128">
                    <c:v>5/20/10</c:v>
                  </c:pt>
                  <c:pt idx="129">
                    <c:v>9/23/10</c:v>
                  </c:pt>
                  <c:pt idx="130">
                    <c:v>9/30/10</c:v>
                  </c:pt>
                  <c:pt idx="131">
                    <c:v>10/7/10</c:v>
                  </c:pt>
                  <c:pt idx="132">
                    <c:v>10/14/10</c:v>
                  </c:pt>
                  <c:pt idx="133">
                    <c:v>10/21/10</c:v>
                  </c:pt>
                  <c:pt idx="134">
                    <c:v>10/28/10</c:v>
                  </c:pt>
                  <c:pt idx="135">
                    <c:v>11/4/10</c:v>
                  </c:pt>
                  <c:pt idx="136">
                    <c:v>11/11/10</c:v>
                  </c:pt>
                  <c:pt idx="137">
                    <c:v>11/18/10</c:v>
                  </c:pt>
                  <c:pt idx="138">
                    <c:v>12/2/10</c:v>
                  </c:pt>
                  <c:pt idx="139">
                    <c:v>12/9/10</c:v>
                  </c:pt>
                  <c:pt idx="140">
                    <c:v>1/20/11</c:v>
                  </c:pt>
                  <c:pt idx="141">
                    <c:v>1/27/11</c:v>
                  </c:pt>
                  <c:pt idx="142">
                    <c:v>2/3/11</c:v>
                  </c:pt>
                  <c:pt idx="143">
                    <c:v>2/10/11</c:v>
                  </c:pt>
                  <c:pt idx="144">
                    <c:v>2/17/11</c:v>
                  </c:pt>
                  <c:pt idx="145">
                    <c:v>2/24/11</c:v>
                  </c:pt>
                  <c:pt idx="146">
                    <c:v>3/17/11</c:v>
                  </c:pt>
                  <c:pt idx="147">
                    <c:v>3/24/11</c:v>
                  </c:pt>
                  <c:pt idx="148">
                    <c:v>4/14/11</c:v>
                  </c:pt>
                  <c:pt idx="149">
                    <c:v>4/21/11</c:v>
                  </c:pt>
                  <c:pt idx="150">
                    <c:v>4/28/11</c:v>
                  </c:pt>
                  <c:pt idx="151">
                    <c:v>5/5/11</c:v>
                  </c:pt>
                  <c:pt idx="152">
                    <c:v>5/12/11</c:v>
                  </c:pt>
                  <c:pt idx="153">
                    <c:v>5/19/11</c:v>
                  </c:pt>
                  <c:pt idx="154">
                    <c:v>9/22/11</c:v>
                  </c:pt>
                  <c:pt idx="155">
                    <c:v>9/29/11</c:v>
                  </c:pt>
                  <c:pt idx="156">
                    <c:v>10/6/11</c:v>
                  </c:pt>
                  <c:pt idx="157">
                    <c:v>10/13/11</c:v>
                  </c:pt>
                  <c:pt idx="158">
                    <c:v>10/27/11</c:v>
                  </c:pt>
                  <c:pt idx="159">
                    <c:v>11/3/11</c:v>
                  </c:pt>
                  <c:pt idx="160">
                    <c:v>11/10/11</c:v>
                  </c:pt>
                  <c:pt idx="161">
                    <c:v>11/17/11</c:v>
                  </c:pt>
                  <c:pt idx="162">
                    <c:v>12/1/11</c:v>
                  </c:pt>
                  <c:pt idx="163">
                    <c:v>12/8/11</c:v>
                  </c:pt>
                  <c:pt idx="164">
                    <c:v>1/12/12</c:v>
                  </c:pt>
                  <c:pt idx="165">
                    <c:v>1/19/12</c:v>
                  </c:pt>
                  <c:pt idx="166">
                    <c:v>1/26/12</c:v>
                  </c:pt>
                  <c:pt idx="167">
                    <c:v>2/2/12</c:v>
                  </c:pt>
                  <c:pt idx="168">
                    <c:v>2/9/12</c:v>
                  </c:pt>
                  <c:pt idx="169">
                    <c:v>2/16/12</c:v>
                  </c:pt>
                  <c:pt idx="170">
                    <c:v>2/23/12</c:v>
                  </c:pt>
                  <c:pt idx="171">
                    <c:v>3/1/12</c:v>
                  </c:pt>
                  <c:pt idx="172">
                    <c:v>3/8/12</c:v>
                  </c:pt>
                  <c:pt idx="173">
                    <c:v>3/15/12</c:v>
                  </c:pt>
                  <c:pt idx="174">
                    <c:v>3/22/12</c:v>
                  </c:pt>
                  <c:pt idx="175">
                    <c:v>3/29/12</c:v>
                  </c:pt>
                  <c:pt idx="176">
                    <c:v>4/5/12</c:v>
                  </c:pt>
                  <c:pt idx="177">
                    <c:v>4/12/12</c:v>
                  </c:pt>
                  <c:pt idx="178">
                    <c:v>4/19/12</c:v>
                  </c:pt>
                  <c:pt idx="179">
                    <c:v>4/26/12</c:v>
                  </c:pt>
                  <c:pt idx="180">
                    <c:v>5/3/12</c:v>
                  </c:pt>
                  <c:pt idx="181">
                    <c:v>5/10/12</c:v>
                  </c:pt>
                  <c:pt idx="182">
                    <c:v>5/17/12</c:v>
                  </c:pt>
                  <c:pt idx="183">
                    <c:v>9/20/12</c:v>
                  </c:pt>
                  <c:pt idx="184">
                    <c:v>9/27/12</c:v>
                  </c:pt>
                  <c:pt idx="185">
                    <c:v>10/4/12</c:v>
                  </c:pt>
                  <c:pt idx="186">
                    <c:v>10/11/12</c:v>
                  </c:pt>
                  <c:pt idx="187">
                    <c:v>10/18/12</c:v>
                  </c:pt>
                  <c:pt idx="188">
                    <c:v>10/25/12</c:v>
                  </c:pt>
                  <c:pt idx="189">
                    <c:v>10/31/12</c:v>
                  </c:pt>
                  <c:pt idx="190">
                    <c:v>11/8/12</c:v>
                  </c:pt>
                  <c:pt idx="191">
                    <c:v>11/15/12</c:v>
                  </c:pt>
                  <c:pt idx="192">
                    <c:v>11/29/12</c:v>
                  </c:pt>
                  <c:pt idx="193">
                    <c:v>12/6/12</c:v>
                  </c:pt>
                  <c:pt idx="194">
                    <c:v>1/10/13</c:v>
                  </c:pt>
                  <c:pt idx="195">
                    <c:v>1/17/13</c:v>
                  </c:pt>
                  <c:pt idx="196">
                    <c:v>1/24/13</c:v>
                  </c:pt>
                  <c:pt idx="197">
                    <c:v>1/31/13</c:v>
                  </c:pt>
                  <c:pt idx="198">
                    <c:v>2/7/13</c:v>
                  </c:pt>
                  <c:pt idx="199">
                    <c:v>2/14/13</c:v>
                  </c:pt>
                  <c:pt idx="200">
                    <c:v>2/21/13</c:v>
                  </c:pt>
                  <c:pt idx="201">
                    <c:v>2/28/13</c:v>
                  </c:pt>
                  <c:pt idx="202">
                    <c:v>3/7/13</c:v>
                  </c:pt>
                  <c:pt idx="203">
                    <c:v>3/14/13</c:v>
                  </c:pt>
                  <c:pt idx="204">
                    <c:v>3/21/13</c:v>
                  </c:pt>
                  <c:pt idx="205">
                    <c:v>4/4/13</c:v>
                  </c:pt>
                  <c:pt idx="206">
                    <c:v>4/11/13</c:v>
                  </c:pt>
                  <c:pt idx="207">
                    <c:v>4/18/13</c:v>
                  </c:pt>
                  <c:pt idx="208">
                    <c:v>4/25/13</c:v>
                  </c:pt>
                  <c:pt idx="209">
                    <c:v>5/2/13</c:v>
                  </c:pt>
                  <c:pt idx="210">
                    <c:v>5/9/13</c:v>
                  </c:pt>
                  <c:pt idx="211">
                    <c:v>5/16/13</c:v>
                  </c:pt>
                  <c:pt idx="212">
                    <c:v>9/26/13</c:v>
                  </c:pt>
                  <c:pt idx="213">
                    <c:v>10/3/13</c:v>
                  </c:pt>
                  <c:pt idx="214">
                    <c:v>10/10/13</c:v>
                  </c:pt>
                  <c:pt idx="215">
                    <c:v>10/17/13</c:v>
                  </c:pt>
                  <c:pt idx="216">
                    <c:v>11/14/13</c:v>
                  </c:pt>
                  <c:pt idx="217">
                    <c:v>11/21/13</c:v>
                  </c:pt>
                  <c:pt idx="218">
                    <c:v>1/2/14</c:v>
                  </c:pt>
                  <c:pt idx="219">
                    <c:v>1/9/14</c:v>
                  </c:pt>
                  <c:pt idx="220">
                    <c:v>1/16/14</c:v>
                  </c:pt>
                  <c:pt idx="221">
                    <c:v>1/23/14</c:v>
                  </c:pt>
                  <c:pt idx="222">
                    <c:v>1/30/14</c:v>
                  </c:pt>
                  <c:pt idx="223">
                    <c:v>2/27/14</c:v>
                  </c:pt>
                  <c:pt idx="224">
                    <c:v>3/6/14</c:v>
                  </c:pt>
                  <c:pt idx="225">
                    <c:v>3/13/14</c:v>
                  </c:pt>
                  <c:pt idx="226">
                    <c:v>3/20/14</c:v>
                  </c:pt>
                  <c:pt idx="227">
                    <c:v>4/3/14</c:v>
                  </c:pt>
                  <c:pt idx="228">
                    <c:v>4/10/14</c:v>
                  </c:pt>
                  <c:pt idx="229">
                    <c:v>4/17/14</c:v>
                  </c:pt>
                  <c:pt idx="230">
                    <c:v>4/24/14</c:v>
                  </c:pt>
                  <c:pt idx="231">
                    <c:v>1/13/15</c:v>
                  </c:pt>
                  <c:pt idx="232">
                    <c:v>1/20/15</c:v>
                  </c:pt>
                  <c:pt idx="233">
                    <c:v>1/27/15</c:v>
                  </c:pt>
                  <c:pt idx="234">
                    <c:v>2/3/15</c:v>
                  </c:pt>
                  <c:pt idx="235">
                    <c:v>2/10/15</c:v>
                  </c:pt>
                  <c:pt idx="236">
                    <c:v>2/17/15</c:v>
                  </c:pt>
                  <c:pt idx="237">
                    <c:v>2/24/15</c:v>
                  </c:pt>
                  <c:pt idx="238">
                    <c:v>3/17/15</c:v>
                  </c:pt>
                  <c:pt idx="239">
                    <c:v>3/24/15</c:v>
                  </c:pt>
                  <c:pt idx="240">
                    <c:v>3/31/15</c:v>
                  </c:pt>
                  <c:pt idx="241">
                    <c:v>4/7/15</c:v>
                  </c:pt>
                  <c:pt idx="242">
                    <c:v>4/14/15</c:v>
                  </c:pt>
                  <c:pt idx="243">
                    <c:v>4/21/15</c:v>
                  </c:pt>
                  <c:pt idx="244">
                    <c:v>4/28/15</c:v>
                  </c:pt>
                  <c:pt idx="245">
                    <c:v>5/5/15</c:v>
                  </c:pt>
                  <c:pt idx="246">
                    <c:v>5/12/15</c:v>
                  </c:pt>
                  <c:pt idx="247">
                    <c:v>5/19/15</c:v>
                  </c:pt>
                  <c:pt idx="248">
                    <c:v>5/26/15</c:v>
                  </c:pt>
                  <c:pt idx="249">
                    <c:v>6/2/15</c:v>
                  </c:pt>
                </c:lvl>
                <c:lvl>
                  <c:pt idx="0">
                    <c:v>2005</c:v>
                  </c:pt>
                  <c:pt idx="16">
                    <c:v>2006</c:v>
                  </c:pt>
                  <c:pt idx="43">
                    <c:v>2007</c:v>
                  </c:pt>
                  <c:pt idx="70">
                    <c:v>2008</c:v>
                  </c:pt>
                  <c:pt idx="87">
                    <c:v>2009</c:v>
                  </c:pt>
                  <c:pt idx="116">
                    <c:v>2010</c:v>
                  </c:pt>
                  <c:pt idx="140">
                    <c:v>2011</c:v>
                  </c:pt>
                  <c:pt idx="164">
                    <c:v>2012</c:v>
                  </c:pt>
                  <c:pt idx="194">
                    <c:v>2013</c:v>
                  </c:pt>
                  <c:pt idx="218">
                    <c:v>2014</c:v>
                  </c:pt>
                  <c:pt idx="231">
                    <c:v>2015</c:v>
                  </c:pt>
                </c:lvl>
              </c:multiLvlStrCache>
            </c:multiLvlStrRef>
          </c:cat>
          <c:val>
            <c:numRef>
              <c:f>Graphs!$E$18:$E$279</c:f>
              <c:numCache>
                <c:formatCode>General</c:formatCode>
                <c:ptCount val="250"/>
                <c:pt idx="0">
                  <c:v>11.2</c:v>
                </c:pt>
                <c:pt idx="1">
                  <c:v>6</c:v>
                </c:pt>
                <c:pt idx="2">
                  <c:v>5.8</c:v>
                </c:pt>
                <c:pt idx="3">
                  <c:v>5.4</c:v>
                </c:pt>
                <c:pt idx="4">
                  <c:v>5</c:v>
                </c:pt>
                <c:pt idx="5">
                  <c:v>4.8</c:v>
                </c:pt>
                <c:pt idx="6">
                  <c:v>9</c:v>
                </c:pt>
                <c:pt idx="7">
                  <c:v>7.13</c:v>
                </c:pt>
                <c:pt idx="8">
                  <c:v>8.3000000000000007</c:v>
                </c:pt>
                <c:pt idx="9">
                  <c:v>7.6</c:v>
                </c:pt>
                <c:pt idx="10">
                  <c:v>8</c:v>
                </c:pt>
                <c:pt idx="11">
                  <c:v>7.9</c:v>
                </c:pt>
                <c:pt idx="12">
                  <c:v>7.5</c:v>
                </c:pt>
                <c:pt idx="13">
                  <c:v>8</c:v>
                </c:pt>
                <c:pt idx="14">
                  <c:v>8.1</c:v>
                </c:pt>
                <c:pt idx="15">
                  <c:v>9.6999999999999993</c:v>
                </c:pt>
                <c:pt idx="16">
                  <c:v>8.6999999999999993</c:v>
                </c:pt>
                <c:pt idx="17">
                  <c:v>10.3</c:v>
                </c:pt>
                <c:pt idx="18">
                  <c:v>8.6999999999999993</c:v>
                </c:pt>
                <c:pt idx="19">
                  <c:v>8.6</c:v>
                </c:pt>
                <c:pt idx="20">
                  <c:v>5.42</c:v>
                </c:pt>
                <c:pt idx="21">
                  <c:v>8.9499999999999993</c:v>
                </c:pt>
                <c:pt idx="22">
                  <c:v>8.4</c:v>
                </c:pt>
                <c:pt idx="23">
                  <c:v>8.8000000000000007</c:v>
                </c:pt>
                <c:pt idx="24">
                  <c:v>7.8</c:v>
                </c:pt>
                <c:pt idx="25">
                  <c:v>7.8</c:v>
                </c:pt>
                <c:pt idx="26">
                  <c:v>7.4</c:v>
                </c:pt>
                <c:pt idx="27">
                  <c:v>7.6</c:v>
                </c:pt>
                <c:pt idx="28">
                  <c:v>9.11</c:v>
                </c:pt>
                <c:pt idx="29">
                  <c:v>7.78</c:v>
                </c:pt>
                <c:pt idx="30">
                  <c:v>8.89</c:v>
                </c:pt>
                <c:pt idx="32">
                  <c:v>8.83</c:v>
                </c:pt>
                <c:pt idx="34">
                  <c:v>8.4600000000000009</c:v>
                </c:pt>
                <c:pt idx="37">
                  <c:v>8.81</c:v>
                </c:pt>
                <c:pt idx="38">
                  <c:v>8.0500000000000007</c:v>
                </c:pt>
                <c:pt idx="39">
                  <c:v>8.6300000000000008</c:v>
                </c:pt>
                <c:pt idx="40">
                  <c:v>9.07</c:v>
                </c:pt>
                <c:pt idx="42">
                  <c:v>16.88</c:v>
                </c:pt>
                <c:pt idx="43">
                  <c:v>8.8000000000000007</c:v>
                </c:pt>
                <c:pt idx="44">
                  <c:v>10.119999999999999</c:v>
                </c:pt>
                <c:pt idx="45">
                  <c:v>10.199999999999999</c:v>
                </c:pt>
                <c:pt idx="46">
                  <c:v>10.11</c:v>
                </c:pt>
                <c:pt idx="47">
                  <c:v>8.84</c:v>
                </c:pt>
                <c:pt idx="48">
                  <c:v>8.84</c:v>
                </c:pt>
                <c:pt idx="49">
                  <c:v>8.3000000000000007</c:v>
                </c:pt>
                <c:pt idx="52">
                  <c:v>6.74</c:v>
                </c:pt>
                <c:pt idx="53">
                  <c:v>7.71</c:v>
                </c:pt>
                <c:pt idx="55">
                  <c:v>7.56</c:v>
                </c:pt>
                <c:pt idx="56">
                  <c:v>7</c:v>
                </c:pt>
                <c:pt idx="57">
                  <c:v>7.2</c:v>
                </c:pt>
                <c:pt idx="58">
                  <c:v>15.76</c:v>
                </c:pt>
                <c:pt idx="59">
                  <c:v>19.399999999999999</c:v>
                </c:pt>
                <c:pt idx="60">
                  <c:v>16.98</c:v>
                </c:pt>
                <c:pt idx="61">
                  <c:v>17.82</c:v>
                </c:pt>
                <c:pt idx="62">
                  <c:v>17</c:v>
                </c:pt>
                <c:pt idx="63">
                  <c:v>8.98</c:v>
                </c:pt>
                <c:pt idx="64">
                  <c:v>8.39</c:v>
                </c:pt>
                <c:pt idx="65">
                  <c:v>8.2899999999999991</c:v>
                </c:pt>
                <c:pt idx="66">
                  <c:v>8.86</c:v>
                </c:pt>
                <c:pt idx="71">
                  <c:v>9.2200000000000006</c:v>
                </c:pt>
                <c:pt idx="72">
                  <c:v>9.81</c:v>
                </c:pt>
                <c:pt idx="73">
                  <c:v>7.56</c:v>
                </c:pt>
                <c:pt idx="74">
                  <c:v>7.67</c:v>
                </c:pt>
                <c:pt idx="75">
                  <c:v>7.22</c:v>
                </c:pt>
                <c:pt idx="76">
                  <c:v>16.14</c:v>
                </c:pt>
                <c:pt idx="77">
                  <c:v>18.399999999999999</c:v>
                </c:pt>
                <c:pt idx="78">
                  <c:v>8.99</c:v>
                </c:pt>
                <c:pt idx="79">
                  <c:v>8.07</c:v>
                </c:pt>
                <c:pt idx="80">
                  <c:v>7.74</c:v>
                </c:pt>
                <c:pt idx="81">
                  <c:v>9.32</c:v>
                </c:pt>
                <c:pt idx="82">
                  <c:v>8.35</c:v>
                </c:pt>
                <c:pt idx="83">
                  <c:v>8.18</c:v>
                </c:pt>
                <c:pt idx="84">
                  <c:v>8.4</c:v>
                </c:pt>
                <c:pt idx="85">
                  <c:v>8.33</c:v>
                </c:pt>
                <c:pt idx="86">
                  <c:v>8.7899999999999991</c:v>
                </c:pt>
                <c:pt idx="88">
                  <c:v>8.5</c:v>
                </c:pt>
                <c:pt idx="89">
                  <c:v>8.74</c:v>
                </c:pt>
                <c:pt idx="90">
                  <c:v>45.82</c:v>
                </c:pt>
                <c:pt idx="91">
                  <c:v>8.39</c:v>
                </c:pt>
                <c:pt idx="92">
                  <c:v>8.89</c:v>
                </c:pt>
                <c:pt idx="94">
                  <c:v>8.6300000000000008</c:v>
                </c:pt>
                <c:pt idx="95">
                  <c:v>7.51</c:v>
                </c:pt>
                <c:pt idx="96">
                  <c:v>7.95</c:v>
                </c:pt>
                <c:pt idx="97">
                  <c:v>8.4499999999999993</c:v>
                </c:pt>
                <c:pt idx="98">
                  <c:v>15.14</c:v>
                </c:pt>
                <c:pt idx="99">
                  <c:v>8.24</c:v>
                </c:pt>
                <c:pt idx="100">
                  <c:v>7.21</c:v>
                </c:pt>
                <c:pt idx="101">
                  <c:v>7.31</c:v>
                </c:pt>
                <c:pt idx="102">
                  <c:v>7.71</c:v>
                </c:pt>
                <c:pt idx="103">
                  <c:v>6.72</c:v>
                </c:pt>
                <c:pt idx="104">
                  <c:v>8.1999999999999993</c:v>
                </c:pt>
                <c:pt idx="105">
                  <c:v>7.33</c:v>
                </c:pt>
                <c:pt idx="106">
                  <c:v>7.28</c:v>
                </c:pt>
                <c:pt idx="107">
                  <c:v>18.84</c:v>
                </c:pt>
                <c:pt idx="108">
                  <c:v>8.1</c:v>
                </c:pt>
                <c:pt idx="109">
                  <c:v>8.52</c:v>
                </c:pt>
                <c:pt idx="110">
                  <c:v>8.1999999999999993</c:v>
                </c:pt>
                <c:pt idx="111">
                  <c:v>7.94</c:v>
                </c:pt>
                <c:pt idx="112">
                  <c:v>7.76</c:v>
                </c:pt>
                <c:pt idx="113">
                  <c:v>7.43</c:v>
                </c:pt>
                <c:pt idx="114">
                  <c:v>8.1</c:v>
                </c:pt>
                <c:pt idx="115">
                  <c:v>8.51</c:v>
                </c:pt>
                <c:pt idx="117">
                  <c:v>7.29</c:v>
                </c:pt>
                <c:pt idx="118">
                  <c:v>7.36</c:v>
                </c:pt>
                <c:pt idx="119">
                  <c:v>7.4</c:v>
                </c:pt>
                <c:pt idx="120">
                  <c:v>18</c:v>
                </c:pt>
                <c:pt idx="121">
                  <c:v>7.51</c:v>
                </c:pt>
                <c:pt idx="122">
                  <c:v>7.63</c:v>
                </c:pt>
                <c:pt idx="123">
                  <c:v>7.17</c:v>
                </c:pt>
                <c:pt idx="124">
                  <c:v>6.3</c:v>
                </c:pt>
                <c:pt idx="125">
                  <c:v>7.01</c:v>
                </c:pt>
                <c:pt idx="126">
                  <c:v>6.84</c:v>
                </c:pt>
                <c:pt idx="127">
                  <c:v>6.6</c:v>
                </c:pt>
                <c:pt idx="128">
                  <c:v>6.6</c:v>
                </c:pt>
                <c:pt idx="129">
                  <c:v>8.4</c:v>
                </c:pt>
                <c:pt idx="130">
                  <c:v>7.36</c:v>
                </c:pt>
                <c:pt idx="131">
                  <c:v>6.95</c:v>
                </c:pt>
                <c:pt idx="132">
                  <c:v>7.36</c:v>
                </c:pt>
                <c:pt idx="133">
                  <c:v>6.87</c:v>
                </c:pt>
                <c:pt idx="134">
                  <c:v>8.07</c:v>
                </c:pt>
                <c:pt idx="135">
                  <c:v>7.65</c:v>
                </c:pt>
                <c:pt idx="136">
                  <c:v>7.15</c:v>
                </c:pt>
                <c:pt idx="137">
                  <c:v>7.28</c:v>
                </c:pt>
                <c:pt idx="138">
                  <c:v>7.31</c:v>
                </c:pt>
                <c:pt idx="139">
                  <c:v>14.36</c:v>
                </c:pt>
                <c:pt idx="140">
                  <c:v>8.26</c:v>
                </c:pt>
                <c:pt idx="141">
                  <c:v>7.93</c:v>
                </c:pt>
                <c:pt idx="142">
                  <c:v>7.29</c:v>
                </c:pt>
                <c:pt idx="143">
                  <c:v>6.9</c:v>
                </c:pt>
                <c:pt idx="144">
                  <c:v>6.41</c:v>
                </c:pt>
                <c:pt idx="145">
                  <c:v>6.12</c:v>
                </c:pt>
                <c:pt idx="147">
                  <c:v>7.07</c:v>
                </c:pt>
                <c:pt idx="148">
                  <c:v>7.87</c:v>
                </c:pt>
                <c:pt idx="149">
                  <c:v>6.85</c:v>
                </c:pt>
                <c:pt idx="150">
                  <c:v>8.42</c:v>
                </c:pt>
                <c:pt idx="151">
                  <c:v>6.9</c:v>
                </c:pt>
                <c:pt idx="152">
                  <c:v>6.45</c:v>
                </c:pt>
                <c:pt idx="153">
                  <c:v>14.58</c:v>
                </c:pt>
                <c:pt idx="154">
                  <c:v>7.64</c:v>
                </c:pt>
                <c:pt idx="155">
                  <c:v>6.7</c:v>
                </c:pt>
                <c:pt idx="156">
                  <c:v>5.82</c:v>
                </c:pt>
                <c:pt idx="157">
                  <c:v>6.08</c:v>
                </c:pt>
                <c:pt idx="158">
                  <c:v>5.53</c:v>
                </c:pt>
                <c:pt idx="159">
                  <c:v>6.15</c:v>
                </c:pt>
                <c:pt idx="160">
                  <c:v>5.96</c:v>
                </c:pt>
                <c:pt idx="161">
                  <c:v>5.5</c:v>
                </c:pt>
                <c:pt idx="162">
                  <c:v>5.71</c:v>
                </c:pt>
                <c:pt idx="163">
                  <c:v>5.79</c:v>
                </c:pt>
                <c:pt idx="164">
                  <c:v>5.9</c:v>
                </c:pt>
                <c:pt idx="165">
                  <c:v>6.02</c:v>
                </c:pt>
                <c:pt idx="167">
                  <c:v>5.31</c:v>
                </c:pt>
                <c:pt idx="168">
                  <c:v>5.19</c:v>
                </c:pt>
                <c:pt idx="169">
                  <c:v>4.38</c:v>
                </c:pt>
                <c:pt idx="170">
                  <c:v>5.0199999999999996</c:v>
                </c:pt>
                <c:pt idx="171">
                  <c:v>4.95</c:v>
                </c:pt>
                <c:pt idx="172">
                  <c:v>4.8899999999999997</c:v>
                </c:pt>
                <c:pt idx="173">
                  <c:v>4.87</c:v>
                </c:pt>
                <c:pt idx="177">
                  <c:v>4.3899999999999997</c:v>
                </c:pt>
                <c:pt idx="178">
                  <c:v>4.3499999999999996</c:v>
                </c:pt>
                <c:pt idx="179">
                  <c:v>4.17</c:v>
                </c:pt>
                <c:pt idx="180">
                  <c:v>4.4400000000000004</c:v>
                </c:pt>
                <c:pt idx="181">
                  <c:v>4.49</c:v>
                </c:pt>
                <c:pt idx="183">
                  <c:v>4.28</c:v>
                </c:pt>
                <c:pt idx="184">
                  <c:v>4.13</c:v>
                </c:pt>
                <c:pt idx="185">
                  <c:v>4.1399999999999997</c:v>
                </c:pt>
                <c:pt idx="187">
                  <c:v>4.28</c:v>
                </c:pt>
                <c:pt idx="188">
                  <c:v>4</c:v>
                </c:pt>
                <c:pt idx="190">
                  <c:v>4.83</c:v>
                </c:pt>
                <c:pt idx="191">
                  <c:v>4.16</c:v>
                </c:pt>
                <c:pt idx="192">
                  <c:v>3.88</c:v>
                </c:pt>
                <c:pt idx="193">
                  <c:v>4.16</c:v>
                </c:pt>
                <c:pt idx="194">
                  <c:v>4.54</c:v>
                </c:pt>
                <c:pt idx="195">
                  <c:v>4.1500000000000004</c:v>
                </c:pt>
                <c:pt idx="196">
                  <c:v>4.1900000000000004</c:v>
                </c:pt>
                <c:pt idx="197">
                  <c:v>8.42</c:v>
                </c:pt>
                <c:pt idx="198">
                  <c:v>4.1500000000000004</c:v>
                </c:pt>
                <c:pt idx="199">
                  <c:v>4.0599999999999996</c:v>
                </c:pt>
                <c:pt idx="203">
                  <c:v>3.54</c:v>
                </c:pt>
                <c:pt idx="205">
                  <c:v>3.44</c:v>
                </c:pt>
                <c:pt idx="206">
                  <c:v>3.83</c:v>
                </c:pt>
                <c:pt idx="208">
                  <c:v>3.25</c:v>
                </c:pt>
                <c:pt idx="209">
                  <c:v>3.51</c:v>
                </c:pt>
                <c:pt idx="210">
                  <c:v>9.1199999999999992</c:v>
                </c:pt>
                <c:pt idx="211">
                  <c:v>11.38</c:v>
                </c:pt>
              </c:numCache>
            </c:numRef>
          </c:val>
          <c:smooth val="0"/>
          <c:extLst>
            <c:ext xmlns:c16="http://schemas.microsoft.com/office/drawing/2014/chart" uri="{C3380CC4-5D6E-409C-BE32-E72D297353CC}">
              <c16:uniqueId val="{00000003-CCD6-DF45-8168-A431D2FB4607}"/>
            </c:ext>
          </c:extLst>
        </c:ser>
        <c:dLbls>
          <c:showLegendKey val="0"/>
          <c:showVal val="0"/>
          <c:showCatName val="0"/>
          <c:showSerName val="0"/>
          <c:showPercent val="0"/>
          <c:showBubbleSize val="0"/>
        </c:dLbls>
        <c:smooth val="0"/>
        <c:axId val="277079344"/>
        <c:axId val="277081056"/>
      </c:lineChart>
      <c:catAx>
        <c:axId val="277079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7081056"/>
        <c:crosses val="autoZero"/>
        <c:auto val="1"/>
        <c:lblAlgn val="ctr"/>
        <c:lblOffset val="100"/>
        <c:noMultiLvlLbl val="0"/>
      </c:catAx>
      <c:valAx>
        <c:axId val="277081056"/>
        <c:scaling>
          <c:orientation val="minMax"/>
          <c:max val="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a:t>U.S. Viewers (Millions)</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7079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[NBC Thursday Night Line Up - Github.xlsm]Graphs!PivotTable12</c:name>
    <c:fmtId val="0"/>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U.S. Viewership per Timeslot by Date</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rgbClr val="D0BA17"/>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A1B42F"/>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rgbClr val="71AD47"/>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rgbClr val="45889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45889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rgbClr val="2E74B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rgbClr val="2E74B5"/>
            </a:solidFill>
            <a:round/>
          </a:ln>
          <a:effectLst/>
        </c:spPr>
        <c:marker>
          <c:symbol val="none"/>
        </c:marker>
      </c:pivotFmt>
    </c:pivotFmts>
    <c:plotArea>
      <c:layout/>
      <c:lineChart>
        <c:grouping val="standard"/>
        <c:varyColors val="0"/>
        <c:ser>
          <c:idx val="0"/>
          <c:order val="0"/>
          <c:tx>
            <c:strRef>
              <c:f>Graphs!$P$64:$P$65</c:f>
              <c:strCache>
                <c:ptCount val="1"/>
                <c:pt idx="0">
                  <c:v>8:00:00 PM</c:v>
                </c:pt>
              </c:strCache>
            </c:strRef>
          </c:tx>
          <c:spPr>
            <a:ln w="28575" cap="rnd">
              <a:solidFill>
                <a:srgbClr val="FFC000"/>
              </a:solidFill>
              <a:round/>
            </a:ln>
            <a:effectLst/>
          </c:spPr>
          <c:marker>
            <c:symbol val="none"/>
          </c:marker>
          <c:cat>
            <c:multiLvlStrRef>
              <c:f>Graphs!$O$66:$O$286</c:f>
              <c:multiLvlStrCache>
                <c:ptCount val="210"/>
                <c:lvl>
                  <c:pt idx="0">
                    <c:v>3/24/05</c:v>
                  </c:pt>
                  <c:pt idx="1">
                    <c:v>1/5/06</c:v>
                  </c:pt>
                  <c:pt idx="2">
                    <c:v>1/12/06</c:v>
                  </c:pt>
                  <c:pt idx="3">
                    <c:v>1/19/06</c:v>
                  </c:pt>
                  <c:pt idx="4">
                    <c:v>1/26/06</c:v>
                  </c:pt>
                  <c:pt idx="5">
                    <c:v>2/2/06</c:v>
                  </c:pt>
                  <c:pt idx="6">
                    <c:v>2/9/06</c:v>
                  </c:pt>
                  <c:pt idx="7">
                    <c:v>3/2/06</c:v>
                  </c:pt>
                  <c:pt idx="8">
                    <c:v>3/16/06</c:v>
                  </c:pt>
                  <c:pt idx="9">
                    <c:v>3/30/06</c:v>
                  </c:pt>
                  <c:pt idx="10">
                    <c:v>4/27/06</c:v>
                  </c:pt>
                  <c:pt idx="11">
                    <c:v>5/4/06</c:v>
                  </c:pt>
                  <c:pt idx="12">
                    <c:v>5/11/06</c:v>
                  </c:pt>
                  <c:pt idx="13">
                    <c:v>9/21/06</c:v>
                  </c:pt>
                  <c:pt idx="14">
                    <c:v>9/28/06</c:v>
                  </c:pt>
                  <c:pt idx="15">
                    <c:v>10/5/06</c:v>
                  </c:pt>
                  <c:pt idx="16">
                    <c:v>10/12/06</c:v>
                  </c:pt>
                  <c:pt idx="17">
                    <c:v>10/19/06</c:v>
                  </c:pt>
                  <c:pt idx="18">
                    <c:v>11/2/06</c:v>
                  </c:pt>
                  <c:pt idx="19">
                    <c:v>11/9/06</c:v>
                  </c:pt>
                  <c:pt idx="20">
                    <c:v>11/16/06</c:v>
                  </c:pt>
                  <c:pt idx="21">
                    <c:v>11/30/06</c:v>
                  </c:pt>
                  <c:pt idx="22">
                    <c:v>12/7/06</c:v>
                  </c:pt>
                  <c:pt idx="23">
                    <c:v>12/14/06</c:v>
                  </c:pt>
                  <c:pt idx="24">
                    <c:v>1/4/07</c:v>
                  </c:pt>
                  <c:pt idx="25">
                    <c:v>1/11/07</c:v>
                  </c:pt>
                  <c:pt idx="26">
                    <c:v>1/18/07</c:v>
                  </c:pt>
                  <c:pt idx="27">
                    <c:v>2/1/07</c:v>
                  </c:pt>
                  <c:pt idx="28">
                    <c:v>2/8/07</c:v>
                  </c:pt>
                  <c:pt idx="29">
                    <c:v>2/15/07</c:v>
                  </c:pt>
                  <c:pt idx="30">
                    <c:v>2/22/07</c:v>
                  </c:pt>
                  <c:pt idx="31">
                    <c:v>3/1/07</c:v>
                  </c:pt>
                  <c:pt idx="32">
                    <c:v>3/8/07</c:v>
                  </c:pt>
                  <c:pt idx="33">
                    <c:v>4/5/07</c:v>
                  </c:pt>
                  <c:pt idx="34">
                    <c:v>4/12/07</c:v>
                  </c:pt>
                  <c:pt idx="35">
                    <c:v>4/19/07</c:v>
                  </c:pt>
                  <c:pt idx="36">
                    <c:v>4/26/07</c:v>
                  </c:pt>
                  <c:pt idx="37">
                    <c:v>5/3/07</c:v>
                  </c:pt>
                  <c:pt idx="38">
                    <c:v>5/10/07</c:v>
                  </c:pt>
                  <c:pt idx="39">
                    <c:v>5/17/07</c:v>
                  </c:pt>
                  <c:pt idx="40">
                    <c:v>9/27/07</c:v>
                  </c:pt>
                  <c:pt idx="41">
                    <c:v>10/4/07</c:v>
                  </c:pt>
                  <c:pt idx="42">
                    <c:v>10/11/07</c:v>
                  </c:pt>
                  <c:pt idx="43">
                    <c:v>10/18/07</c:v>
                  </c:pt>
                  <c:pt idx="44">
                    <c:v>10/25/07</c:v>
                  </c:pt>
                  <c:pt idx="45">
                    <c:v>11/1/07</c:v>
                  </c:pt>
                  <c:pt idx="46">
                    <c:v>11/8/07</c:v>
                  </c:pt>
                  <c:pt idx="47">
                    <c:v>11/15/07</c:v>
                  </c:pt>
                  <c:pt idx="48">
                    <c:v>11/29/07</c:v>
                  </c:pt>
                  <c:pt idx="49">
                    <c:v>12/6/07</c:v>
                  </c:pt>
                  <c:pt idx="50">
                    <c:v>12/13/07</c:v>
                  </c:pt>
                  <c:pt idx="51">
                    <c:v>1/10/08</c:v>
                  </c:pt>
                  <c:pt idx="52">
                    <c:v>4/10/08</c:v>
                  </c:pt>
                  <c:pt idx="53">
                    <c:v>4/17/08</c:v>
                  </c:pt>
                  <c:pt idx="54">
                    <c:v>4/24/08</c:v>
                  </c:pt>
                  <c:pt idx="55">
                    <c:v>5/1/08</c:v>
                  </c:pt>
                  <c:pt idx="56">
                    <c:v>5/8/08</c:v>
                  </c:pt>
                  <c:pt idx="57">
                    <c:v>5/15/08</c:v>
                  </c:pt>
                  <c:pt idx="58">
                    <c:v>9/25/08</c:v>
                  </c:pt>
                  <c:pt idx="59">
                    <c:v>10/9/08</c:v>
                  </c:pt>
                  <c:pt idx="60">
                    <c:v>10/16/08</c:v>
                  </c:pt>
                  <c:pt idx="61">
                    <c:v>10/23/08</c:v>
                  </c:pt>
                  <c:pt idx="62">
                    <c:v>10/30/08</c:v>
                  </c:pt>
                  <c:pt idx="63">
                    <c:v>11/6/08</c:v>
                  </c:pt>
                  <c:pt idx="64">
                    <c:v>11/13/08</c:v>
                  </c:pt>
                  <c:pt idx="65">
                    <c:v>11/20/08</c:v>
                  </c:pt>
                  <c:pt idx="66">
                    <c:v>12/4/08</c:v>
                  </c:pt>
                  <c:pt idx="67">
                    <c:v>12/11/08</c:v>
                  </c:pt>
                  <c:pt idx="68">
                    <c:v>1/8/09</c:v>
                  </c:pt>
                  <c:pt idx="69">
                    <c:v>1/15/09</c:v>
                  </c:pt>
                  <c:pt idx="70">
                    <c:v>1/22/09</c:v>
                  </c:pt>
                  <c:pt idx="71">
                    <c:v>2/5/09</c:v>
                  </c:pt>
                  <c:pt idx="72">
                    <c:v>2/12/09</c:v>
                  </c:pt>
                  <c:pt idx="73">
                    <c:v>2/26/09</c:v>
                  </c:pt>
                  <c:pt idx="74">
                    <c:v>3/5/09</c:v>
                  </c:pt>
                  <c:pt idx="75">
                    <c:v>3/12/09</c:v>
                  </c:pt>
                  <c:pt idx="76">
                    <c:v>3/19/09</c:v>
                  </c:pt>
                  <c:pt idx="77">
                    <c:v>3/26/09</c:v>
                  </c:pt>
                  <c:pt idx="78">
                    <c:v>4/9/09</c:v>
                  </c:pt>
                  <c:pt idx="79">
                    <c:v>4/16/09</c:v>
                  </c:pt>
                  <c:pt idx="80">
                    <c:v>4/23/09</c:v>
                  </c:pt>
                  <c:pt idx="81">
                    <c:v>4/30/09</c:v>
                  </c:pt>
                  <c:pt idx="82">
                    <c:v>5/7/09</c:v>
                  </c:pt>
                  <c:pt idx="83">
                    <c:v>5/14/09</c:v>
                  </c:pt>
                  <c:pt idx="84">
                    <c:v>9/17/09</c:v>
                  </c:pt>
                  <c:pt idx="85">
                    <c:v>9/24/09</c:v>
                  </c:pt>
                  <c:pt idx="86">
                    <c:v>10/1/09</c:v>
                  </c:pt>
                  <c:pt idx="87">
                    <c:v>10/8/09</c:v>
                  </c:pt>
                  <c:pt idx="88">
                    <c:v>10/15/09</c:v>
                  </c:pt>
                  <c:pt idx="89">
                    <c:v>10/22/09</c:v>
                  </c:pt>
                  <c:pt idx="90">
                    <c:v>10/29/09</c:v>
                  </c:pt>
                  <c:pt idx="91">
                    <c:v>11/5/09</c:v>
                  </c:pt>
                  <c:pt idx="92">
                    <c:v>11/12/09</c:v>
                  </c:pt>
                  <c:pt idx="93">
                    <c:v>11/19/09</c:v>
                  </c:pt>
                  <c:pt idx="94">
                    <c:v>12/3/09</c:v>
                  </c:pt>
                  <c:pt idx="95">
                    <c:v>12/10/09</c:v>
                  </c:pt>
                  <c:pt idx="96">
                    <c:v>1/14/10</c:v>
                  </c:pt>
                  <c:pt idx="97">
                    <c:v>1/21/10</c:v>
                  </c:pt>
                  <c:pt idx="98">
                    <c:v>2/4/10</c:v>
                  </c:pt>
                  <c:pt idx="99">
                    <c:v>2/11/10</c:v>
                  </c:pt>
                  <c:pt idx="100">
                    <c:v>3/4/10</c:v>
                  </c:pt>
                  <c:pt idx="101">
                    <c:v>3/11/10</c:v>
                  </c:pt>
                  <c:pt idx="102">
                    <c:v>3/18/10</c:v>
                  </c:pt>
                  <c:pt idx="103">
                    <c:v>3/25/10</c:v>
                  </c:pt>
                  <c:pt idx="104">
                    <c:v>4/22/10</c:v>
                  </c:pt>
                  <c:pt idx="105">
                    <c:v>4/29/10</c:v>
                  </c:pt>
                  <c:pt idx="106">
                    <c:v>5/6/10</c:v>
                  </c:pt>
                  <c:pt idx="107">
                    <c:v>5/13/10</c:v>
                  </c:pt>
                  <c:pt idx="108">
                    <c:v>5/20/10</c:v>
                  </c:pt>
                  <c:pt idx="109">
                    <c:v>9/23/10</c:v>
                  </c:pt>
                  <c:pt idx="110">
                    <c:v>9/30/10</c:v>
                  </c:pt>
                  <c:pt idx="111">
                    <c:v>10/7/10</c:v>
                  </c:pt>
                  <c:pt idx="112">
                    <c:v>10/14/10</c:v>
                  </c:pt>
                  <c:pt idx="113">
                    <c:v>10/21/10</c:v>
                  </c:pt>
                  <c:pt idx="114">
                    <c:v>10/28/10</c:v>
                  </c:pt>
                  <c:pt idx="115">
                    <c:v>11/4/10</c:v>
                  </c:pt>
                  <c:pt idx="116">
                    <c:v>11/11/10</c:v>
                  </c:pt>
                  <c:pt idx="117">
                    <c:v>11/18/10</c:v>
                  </c:pt>
                  <c:pt idx="118">
                    <c:v>12/2/10</c:v>
                  </c:pt>
                  <c:pt idx="119">
                    <c:v>12/9/10</c:v>
                  </c:pt>
                  <c:pt idx="120">
                    <c:v>1/20/11</c:v>
                  </c:pt>
                  <c:pt idx="121">
                    <c:v>1/27/11</c:v>
                  </c:pt>
                  <c:pt idx="122">
                    <c:v>2/3/11</c:v>
                  </c:pt>
                  <c:pt idx="123">
                    <c:v>2/10/11</c:v>
                  </c:pt>
                  <c:pt idx="124">
                    <c:v>2/17/11</c:v>
                  </c:pt>
                  <c:pt idx="125">
                    <c:v>2/24/11</c:v>
                  </c:pt>
                  <c:pt idx="126">
                    <c:v>3/17/11</c:v>
                  </c:pt>
                  <c:pt idx="127">
                    <c:v>3/24/11</c:v>
                  </c:pt>
                  <c:pt idx="128">
                    <c:v>4/14/11</c:v>
                  </c:pt>
                  <c:pt idx="129">
                    <c:v>4/21/11</c:v>
                  </c:pt>
                  <c:pt idx="130">
                    <c:v>4/28/11</c:v>
                  </c:pt>
                  <c:pt idx="131">
                    <c:v>5/5/11</c:v>
                  </c:pt>
                  <c:pt idx="132">
                    <c:v>5/12/11</c:v>
                  </c:pt>
                  <c:pt idx="133">
                    <c:v>5/19/11</c:v>
                  </c:pt>
                  <c:pt idx="134">
                    <c:v>9/22/11</c:v>
                  </c:pt>
                  <c:pt idx="135">
                    <c:v>9/29/11</c:v>
                  </c:pt>
                  <c:pt idx="136">
                    <c:v>10/6/11</c:v>
                  </c:pt>
                  <c:pt idx="137">
                    <c:v>10/13/11</c:v>
                  </c:pt>
                  <c:pt idx="138">
                    <c:v>10/27/11</c:v>
                  </c:pt>
                  <c:pt idx="139">
                    <c:v>11/3/11</c:v>
                  </c:pt>
                  <c:pt idx="140">
                    <c:v>11/10/11</c:v>
                  </c:pt>
                  <c:pt idx="141">
                    <c:v>11/17/11</c:v>
                  </c:pt>
                  <c:pt idx="142">
                    <c:v>12/1/11</c:v>
                  </c:pt>
                  <c:pt idx="143">
                    <c:v>12/8/11</c:v>
                  </c:pt>
                  <c:pt idx="144">
                    <c:v>1/12/12</c:v>
                  </c:pt>
                  <c:pt idx="145">
                    <c:v>1/19/12</c:v>
                  </c:pt>
                  <c:pt idx="146">
                    <c:v>1/26/12</c:v>
                  </c:pt>
                  <c:pt idx="147">
                    <c:v>2/2/12</c:v>
                  </c:pt>
                  <c:pt idx="148">
                    <c:v>2/9/12</c:v>
                  </c:pt>
                  <c:pt idx="149">
                    <c:v>2/16/12</c:v>
                  </c:pt>
                  <c:pt idx="150">
                    <c:v>2/23/12</c:v>
                  </c:pt>
                  <c:pt idx="151">
                    <c:v>3/1/12</c:v>
                  </c:pt>
                  <c:pt idx="152">
                    <c:v>3/8/12</c:v>
                  </c:pt>
                  <c:pt idx="153">
                    <c:v>3/15/12</c:v>
                  </c:pt>
                  <c:pt idx="154">
                    <c:v>3/22/12</c:v>
                  </c:pt>
                  <c:pt idx="155">
                    <c:v>3/29/12</c:v>
                  </c:pt>
                  <c:pt idx="156">
                    <c:v>4/5/12</c:v>
                  </c:pt>
                  <c:pt idx="157">
                    <c:v>4/12/12</c:v>
                  </c:pt>
                  <c:pt idx="158">
                    <c:v>4/19/12</c:v>
                  </c:pt>
                  <c:pt idx="159">
                    <c:v>4/26/12</c:v>
                  </c:pt>
                  <c:pt idx="160">
                    <c:v>5/3/12</c:v>
                  </c:pt>
                  <c:pt idx="161">
                    <c:v>5/10/12</c:v>
                  </c:pt>
                  <c:pt idx="162">
                    <c:v>5/17/12</c:v>
                  </c:pt>
                  <c:pt idx="163">
                    <c:v>9/20/12</c:v>
                  </c:pt>
                  <c:pt idx="164">
                    <c:v>9/27/12</c:v>
                  </c:pt>
                  <c:pt idx="165">
                    <c:v>10/4/12</c:v>
                  </c:pt>
                  <c:pt idx="166">
                    <c:v>10/11/12</c:v>
                  </c:pt>
                  <c:pt idx="167">
                    <c:v>10/18/12</c:v>
                  </c:pt>
                  <c:pt idx="168">
                    <c:v>10/25/12</c:v>
                  </c:pt>
                  <c:pt idx="169">
                    <c:v>11/8/12</c:v>
                  </c:pt>
                  <c:pt idx="170">
                    <c:v>11/15/12</c:v>
                  </c:pt>
                  <c:pt idx="171">
                    <c:v>11/29/12</c:v>
                  </c:pt>
                  <c:pt idx="172">
                    <c:v>12/6/12</c:v>
                  </c:pt>
                  <c:pt idx="173">
                    <c:v>1/10/13</c:v>
                  </c:pt>
                  <c:pt idx="174">
                    <c:v>1/17/13</c:v>
                  </c:pt>
                  <c:pt idx="175">
                    <c:v>1/24/13</c:v>
                  </c:pt>
                  <c:pt idx="176">
                    <c:v>1/31/13</c:v>
                  </c:pt>
                  <c:pt idx="177">
                    <c:v>2/7/13</c:v>
                  </c:pt>
                  <c:pt idx="178">
                    <c:v>2/14/13</c:v>
                  </c:pt>
                  <c:pt idx="179">
                    <c:v>2/21/13</c:v>
                  </c:pt>
                  <c:pt idx="180">
                    <c:v>2/28/13</c:v>
                  </c:pt>
                  <c:pt idx="181">
                    <c:v>3/7/13</c:v>
                  </c:pt>
                  <c:pt idx="182">
                    <c:v>3/14/13</c:v>
                  </c:pt>
                  <c:pt idx="183">
                    <c:v>3/21/13</c:v>
                  </c:pt>
                  <c:pt idx="184">
                    <c:v>4/4/13</c:v>
                  </c:pt>
                  <c:pt idx="185">
                    <c:v>4/11/13</c:v>
                  </c:pt>
                  <c:pt idx="186">
                    <c:v>4/18/13</c:v>
                  </c:pt>
                  <c:pt idx="187">
                    <c:v>4/25/13</c:v>
                  </c:pt>
                  <c:pt idx="188">
                    <c:v>5/2/13</c:v>
                  </c:pt>
                  <c:pt idx="189">
                    <c:v>5/9/13</c:v>
                  </c:pt>
                  <c:pt idx="190">
                    <c:v>5/16/13</c:v>
                  </c:pt>
                  <c:pt idx="191">
                    <c:v>9/26/13</c:v>
                  </c:pt>
                  <c:pt idx="192">
                    <c:v>10/3/13</c:v>
                  </c:pt>
                  <c:pt idx="193">
                    <c:v>10/10/13</c:v>
                  </c:pt>
                  <c:pt idx="194">
                    <c:v>10/17/13</c:v>
                  </c:pt>
                  <c:pt idx="195">
                    <c:v>11/14/13</c:v>
                  </c:pt>
                  <c:pt idx="196">
                    <c:v>11/21/13</c:v>
                  </c:pt>
                  <c:pt idx="197">
                    <c:v>1/2/14</c:v>
                  </c:pt>
                  <c:pt idx="198">
                    <c:v>1/9/14</c:v>
                  </c:pt>
                  <c:pt idx="199">
                    <c:v>1/16/14</c:v>
                  </c:pt>
                  <c:pt idx="200">
                    <c:v>1/23/14</c:v>
                  </c:pt>
                  <c:pt idx="201">
                    <c:v>1/30/14</c:v>
                  </c:pt>
                  <c:pt idx="202">
                    <c:v>2/27/14</c:v>
                  </c:pt>
                  <c:pt idx="203">
                    <c:v>3/6/14</c:v>
                  </c:pt>
                  <c:pt idx="204">
                    <c:v>3/13/14</c:v>
                  </c:pt>
                  <c:pt idx="205">
                    <c:v>3/20/14</c:v>
                  </c:pt>
                  <c:pt idx="206">
                    <c:v>4/3/14</c:v>
                  </c:pt>
                  <c:pt idx="207">
                    <c:v>4/10/14</c:v>
                  </c:pt>
                  <c:pt idx="208">
                    <c:v>4/17/14</c:v>
                  </c:pt>
                  <c:pt idx="209">
                    <c:v>4/24/14</c:v>
                  </c:pt>
                </c:lvl>
                <c:lvl>
                  <c:pt idx="0">
                    <c:v>2005</c:v>
                  </c:pt>
                  <c:pt idx="1">
                    <c:v>2006</c:v>
                  </c:pt>
                  <c:pt idx="24">
                    <c:v>2007</c:v>
                  </c:pt>
                  <c:pt idx="51">
                    <c:v>2008</c:v>
                  </c:pt>
                  <c:pt idx="68">
                    <c:v>2009</c:v>
                  </c:pt>
                  <c:pt idx="96">
                    <c:v>2010</c:v>
                  </c:pt>
                  <c:pt idx="120">
                    <c:v>2011</c:v>
                  </c:pt>
                  <c:pt idx="144">
                    <c:v>2012</c:v>
                  </c:pt>
                  <c:pt idx="173">
                    <c:v>2013</c:v>
                  </c:pt>
                  <c:pt idx="197">
                    <c:v>2014</c:v>
                  </c:pt>
                </c:lvl>
              </c:multiLvlStrCache>
            </c:multiLvlStrRef>
          </c:cat>
          <c:val>
            <c:numRef>
              <c:f>Graphs!$P$66:$P$286</c:f>
              <c:numCache>
                <c:formatCode>General</c:formatCode>
                <c:ptCount val="210"/>
                <c:pt idx="87">
                  <c:v>4.87</c:v>
                </c:pt>
                <c:pt idx="88">
                  <c:v>5.01</c:v>
                </c:pt>
                <c:pt idx="89">
                  <c:v>5.18</c:v>
                </c:pt>
                <c:pt idx="90">
                  <c:v>5.32</c:v>
                </c:pt>
                <c:pt idx="91">
                  <c:v>5.45</c:v>
                </c:pt>
                <c:pt idx="92">
                  <c:v>5.09</c:v>
                </c:pt>
                <c:pt idx="93">
                  <c:v>4.8600000000000003</c:v>
                </c:pt>
                <c:pt idx="94">
                  <c:v>5.42</c:v>
                </c:pt>
                <c:pt idx="95">
                  <c:v>5.51</c:v>
                </c:pt>
                <c:pt idx="96">
                  <c:v>5.42</c:v>
                </c:pt>
                <c:pt idx="97">
                  <c:v>4.7300000000000004</c:v>
                </c:pt>
                <c:pt idx="98">
                  <c:v>5.23</c:v>
                </c:pt>
                <c:pt idx="99">
                  <c:v>5.15</c:v>
                </c:pt>
                <c:pt idx="100">
                  <c:v>5.0599999999999996</c:v>
                </c:pt>
                <c:pt idx="101">
                  <c:v>4.7</c:v>
                </c:pt>
                <c:pt idx="102">
                  <c:v>5.21</c:v>
                </c:pt>
                <c:pt idx="103">
                  <c:v>5.07</c:v>
                </c:pt>
                <c:pt idx="104">
                  <c:v>3.67</c:v>
                </c:pt>
                <c:pt idx="105">
                  <c:v>4.3600000000000003</c:v>
                </c:pt>
                <c:pt idx="106">
                  <c:v>4.3499999999999996</c:v>
                </c:pt>
                <c:pt idx="107">
                  <c:v>4.49</c:v>
                </c:pt>
                <c:pt idx="108">
                  <c:v>4.41</c:v>
                </c:pt>
                <c:pt idx="109">
                  <c:v>5.01</c:v>
                </c:pt>
                <c:pt idx="110">
                  <c:v>4.53</c:v>
                </c:pt>
                <c:pt idx="111">
                  <c:v>4.2</c:v>
                </c:pt>
                <c:pt idx="112">
                  <c:v>4.8099999999999996</c:v>
                </c:pt>
                <c:pt idx="113">
                  <c:v>4.46</c:v>
                </c:pt>
                <c:pt idx="114">
                  <c:v>5.64</c:v>
                </c:pt>
                <c:pt idx="115">
                  <c:v>4.6100000000000003</c:v>
                </c:pt>
                <c:pt idx="116">
                  <c:v>4.53</c:v>
                </c:pt>
                <c:pt idx="117">
                  <c:v>4.41</c:v>
                </c:pt>
                <c:pt idx="118">
                  <c:v>4.55</c:v>
                </c:pt>
                <c:pt idx="119">
                  <c:v>4.29</c:v>
                </c:pt>
                <c:pt idx="120">
                  <c:v>4.7300000000000004</c:v>
                </c:pt>
                <c:pt idx="121">
                  <c:v>4.59</c:v>
                </c:pt>
                <c:pt idx="122">
                  <c:v>4.37</c:v>
                </c:pt>
                <c:pt idx="123">
                  <c:v>3.81</c:v>
                </c:pt>
                <c:pt idx="124">
                  <c:v>4.1100000000000003</c:v>
                </c:pt>
                <c:pt idx="125">
                  <c:v>3.79</c:v>
                </c:pt>
                <c:pt idx="126">
                  <c:v>4.1500000000000004</c:v>
                </c:pt>
                <c:pt idx="127">
                  <c:v>4.46</c:v>
                </c:pt>
                <c:pt idx="128">
                  <c:v>3.49</c:v>
                </c:pt>
                <c:pt idx="129">
                  <c:v>3.17</c:v>
                </c:pt>
                <c:pt idx="130">
                  <c:v>3.35</c:v>
                </c:pt>
                <c:pt idx="131">
                  <c:v>3.49</c:v>
                </c:pt>
                <c:pt idx="132">
                  <c:v>3.32</c:v>
                </c:pt>
                <c:pt idx="134">
                  <c:v>3.93</c:v>
                </c:pt>
                <c:pt idx="135">
                  <c:v>3.98</c:v>
                </c:pt>
                <c:pt idx="136">
                  <c:v>3.35</c:v>
                </c:pt>
                <c:pt idx="137">
                  <c:v>3.78</c:v>
                </c:pt>
                <c:pt idx="138">
                  <c:v>3.42</c:v>
                </c:pt>
                <c:pt idx="139">
                  <c:v>3.84</c:v>
                </c:pt>
                <c:pt idx="140">
                  <c:v>3.49</c:v>
                </c:pt>
                <c:pt idx="141">
                  <c:v>3.62</c:v>
                </c:pt>
                <c:pt idx="142">
                  <c:v>3.74</c:v>
                </c:pt>
                <c:pt idx="143">
                  <c:v>3.6</c:v>
                </c:pt>
                <c:pt idx="144">
                  <c:v>4.47</c:v>
                </c:pt>
                <c:pt idx="145">
                  <c:v>4.05</c:v>
                </c:pt>
                <c:pt idx="147">
                  <c:v>3.23</c:v>
                </c:pt>
                <c:pt idx="148">
                  <c:v>3.88</c:v>
                </c:pt>
                <c:pt idx="149">
                  <c:v>7.18</c:v>
                </c:pt>
                <c:pt idx="150">
                  <c:v>3.7</c:v>
                </c:pt>
                <c:pt idx="151">
                  <c:v>3.77</c:v>
                </c:pt>
                <c:pt idx="152">
                  <c:v>3.42</c:v>
                </c:pt>
                <c:pt idx="153">
                  <c:v>4.75</c:v>
                </c:pt>
                <c:pt idx="154">
                  <c:v>3.87</c:v>
                </c:pt>
                <c:pt idx="155">
                  <c:v>3.48</c:v>
                </c:pt>
                <c:pt idx="156">
                  <c:v>3</c:v>
                </c:pt>
                <c:pt idx="157">
                  <c:v>3.09</c:v>
                </c:pt>
                <c:pt idx="158">
                  <c:v>2.77</c:v>
                </c:pt>
                <c:pt idx="159">
                  <c:v>3.21</c:v>
                </c:pt>
                <c:pt idx="160">
                  <c:v>3.2</c:v>
                </c:pt>
                <c:pt idx="161">
                  <c:v>2.99</c:v>
                </c:pt>
                <c:pt idx="162">
                  <c:v>2.97</c:v>
                </c:pt>
                <c:pt idx="165">
                  <c:v>3.46</c:v>
                </c:pt>
                <c:pt idx="166">
                  <c:v>3.4</c:v>
                </c:pt>
                <c:pt idx="167">
                  <c:v>3.04</c:v>
                </c:pt>
                <c:pt idx="168">
                  <c:v>3.13</c:v>
                </c:pt>
                <c:pt idx="170">
                  <c:v>3.34</c:v>
                </c:pt>
                <c:pt idx="171">
                  <c:v>3.61</c:v>
                </c:pt>
                <c:pt idx="172">
                  <c:v>3.22</c:v>
                </c:pt>
                <c:pt idx="173">
                  <c:v>3.79</c:v>
                </c:pt>
                <c:pt idx="174">
                  <c:v>3.44</c:v>
                </c:pt>
                <c:pt idx="175">
                  <c:v>3.81</c:v>
                </c:pt>
                <c:pt idx="176">
                  <c:v>9.76</c:v>
                </c:pt>
                <c:pt idx="177">
                  <c:v>3.88</c:v>
                </c:pt>
                <c:pt idx="178">
                  <c:v>2.76</c:v>
                </c:pt>
                <c:pt idx="179">
                  <c:v>3.08</c:v>
                </c:pt>
                <c:pt idx="180">
                  <c:v>2.83</c:v>
                </c:pt>
                <c:pt idx="181">
                  <c:v>3.29</c:v>
                </c:pt>
                <c:pt idx="182">
                  <c:v>2.58</c:v>
                </c:pt>
                <c:pt idx="183">
                  <c:v>2.95</c:v>
                </c:pt>
                <c:pt idx="184">
                  <c:v>2.3199999999999998</c:v>
                </c:pt>
                <c:pt idx="185">
                  <c:v>2.84</c:v>
                </c:pt>
                <c:pt idx="186">
                  <c:v>3.13</c:v>
                </c:pt>
                <c:pt idx="187">
                  <c:v>2.33</c:v>
                </c:pt>
                <c:pt idx="188">
                  <c:v>2.67</c:v>
                </c:pt>
                <c:pt idx="189">
                  <c:v>3.08</c:v>
                </c:pt>
                <c:pt idx="191">
                  <c:v>6.54</c:v>
                </c:pt>
                <c:pt idx="192">
                  <c:v>3.14</c:v>
                </c:pt>
                <c:pt idx="193">
                  <c:v>3.23</c:v>
                </c:pt>
                <c:pt idx="194">
                  <c:v>3.27</c:v>
                </c:pt>
                <c:pt idx="195">
                  <c:v>6.06</c:v>
                </c:pt>
                <c:pt idx="196">
                  <c:v>5.62</c:v>
                </c:pt>
                <c:pt idx="197">
                  <c:v>6.98</c:v>
                </c:pt>
                <c:pt idx="198">
                  <c:v>3.58</c:v>
                </c:pt>
                <c:pt idx="199">
                  <c:v>3.07</c:v>
                </c:pt>
                <c:pt idx="200">
                  <c:v>3.02</c:v>
                </c:pt>
                <c:pt idx="201">
                  <c:v>3.01</c:v>
                </c:pt>
                <c:pt idx="202">
                  <c:v>2.56</c:v>
                </c:pt>
                <c:pt idx="203">
                  <c:v>2.79</c:v>
                </c:pt>
                <c:pt idx="204">
                  <c:v>2.77</c:v>
                </c:pt>
                <c:pt idx="205">
                  <c:v>3.32</c:v>
                </c:pt>
                <c:pt idx="206">
                  <c:v>2.5</c:v>
                </c:pt>
                <c:pt idx="207">
                  <c:v>2.56</c:v>
                </c:pt>
                <c:pt idx="208">
                  <c:v>2.87</c:v>
                </c:pt>
              </c:numCache>
            </c:numRef>
          </c:val>
          <c:smooth val="0"/>
          <c:extLst>
            <c:ext xmlns:c16="http://schemas.microsoft.com/office/drawing/2014/chart" uri="{C3380CC4-5D6E-409C-BE32-E72D297353CC}">
              <c16:uniqueId val="{00000000-5890-C743-B858-AE4C4CF83D49}"/>
            </c:ext>
          </c:extLst>
        </c:ser>
        <c:ser>
          <c:idx val="1"/>
          <c:order val="1"/>
          <c:tx>
            <c:strRef>
              <c:f>Graphs!$Q$64:$Q$65</c:f>
              <c:strCache>
                <c:ptCount val="1"/>
                <c:pt idx="0">
                  <c:v>8:30:00 PM</c:v>
                </c:pt>
              </c:strCache>
            </c:strRef>
          </c:tx>
          <c:spPr>
            <a:ln w="28575" cap="rnd">
              <a:solidFill>
                <a:srgbClr val="D0BA17"/>
              </a:solidFill>
              <a:round/>
            </a:ln>
            <a:effectLst/>
          </c:spPr>
          <c:marker>
            <c:symbol val="none"/>
          </c:marker>
          <c:cat>
            <c:multiLvlStrRef>
              <c:f>Graphs!$O$66:$O$286</c:f>
              <c:multiLvlStrCache>
                <c:ptCount val="210"/>
                <c:lvl>
                  <c:pt idx="0">
                    <c:v>3/24/05</c:v>
                  </c:pt>
                  <c:pt idx="1">
                    <c:v>1/5/06</c:v>
                  </c:pt>
                  <c:pt idx="2">
                    <c:v>1/12/06</c:v>
                  </c:pt>
                  <c:pt idx="3">
                    <c:v>1/19/06</c:v>
                  </c:pt>
                  <c:pt idx="4">
                    <c:v>1/26/06</c:v>
                  </c:pt>
                  <c:pt idx="5">
                    <c:v>2/2/06</c:v>
                  </c:pt>
                  <c:pt idx="6">
                    <c:v>2/9/06</c:v>
                  </c:pt>
                  <c:pt idx="7">
                    <c:v>3/2/06</c:v>
                  </c:pt>
                  <c:pt idx="8">
                    <c:v>3/16/06</c:v>
                  </c:pt>
                  <c:pt idx="9">
                    <c:v>3/30/06</c:v>
                  </c:pt>
                  <c:pt idx="10">
                    <c:v>4/27/06</c:v>
                  </c:pt>
                  <c:pt idx="11">
                    <c:v>5/4/06</c:v>
                  </c:pt>
                  <c:pt idx="12">
                    <c:v>5/11/06</c:v>
                  </c:pt>
                  <c:pt idx="13">
                    <c:v>9/21/06</c:v>
                  </c:pt>
                  <c:pt idx="14">
                    <c:v>9/28/06</c:v>
                  </c:pt>
                  <c:pt idx="15">
                    <c:v>10/5/06</c:v>
                  </c:pt>
                  <c:pt idx="16">
                    <c:v>10/12/06</c:v>
                  </c:pt>
                  <c:pt idx="17">
                    <c:v>10/19/06</c:v>
                  </c:pt>
                  <c:pt idx="18">
                    <c:v>11/2/06</c:v>
                  </c:pt>
                  <c:pt idx="19">
                    <c:v>11/9/06</c:v>
                  </c:pt>
                  <c:pt idx="20">
                    <c:v>11/16/06</c:v>
                  </c:pt>
                  <c:pt idx="21">
                    <c:v>11/30/06</c:v>
                  </c:pt>
                  <c:pt idx="22">
                    <c:v>12/7/06</c:v>
                  </c:pt>
                  <c:pt idx="23">
                    <c:v>12/14/06</c:v>
                  </c:pt>
                  <c:pt idx="24">
                    <c:v>1/4/07</c:v>
                  </c:pt>
                  <c:pt idx="25">
                    <c:v>1/11/07</c:v>
                  </c:pt>
                  <c:pt idx="26">
                    <c:v>1/18/07</c:v>
                  </c:pt>
                  <c:pt idx="27">
                    <c:v>2/1/07</c:v>
                  </c:pt>
                  <c:pt idx="28">
                    <c:v>2/8/07</c:v>
                  </c:pt>
                  <c:pt idx="29">
                    <c:v>2/15/07</c:v>
                  </c:pt>
                  <c:pt idx="30">
                    <c:v>2/22/07</c:v>
                  </c:pt>
                  <c:pt idx="31">
                    <c:v>3/1/07</c:v>
                  </c:pt>
                  <c:pt idx="32">
                    <c:v>3/8/07</c:v>
                  </c:pt>
                  <c:pt idx="33">
                    <c:v>4/5/07</c:v>
                  </c:pt>
                  <c:pt idx="34">
                    <c:v>4/12/07</c:v>
                  </c:pt>
                  <c:pt idx="35">
                    <c:v>4/19/07</c:v>
                  </c:pt>
                  <c:pt idx="36">
                    <c:v>4/26/07</c:v>
                  </c:pt>
                  <c:pt idx="37">
                    <c:v>5/3/07</c:v>
                  </c:pt>
                  <c:pt idx="38">
                    <c:v>5/10/07</c:v>
                  </c:pt>
                  <c:pt idx="39">
                    <c:v>5/17/07</c:v>
                  </c:pt>
                  <c:pt idx="40">
                    <c:v>9/27/07</c:v>
                  </c:pt>
                  <c:pt idx="41">
                    <c:v>10/4/07</c:v>
                  </c:pt>
                  <c:pt idx="42">
                    <c:v>10/11/07</c:v>
                  </c:pt>
                  <c:pt idx="43">
                    <c:v>10/18/07</c:v>
                  </c:pt>
                  <c:pt idx="44">
                    <c:v>10/25/07</c:v>
                  </c:pt>
                  <c:pt idx="45">
                    <c:v>11/1/07</c:v>
                  </c:pt>
                  <c:pt idx="46">
                    <c:v>11/8/07</c:v>
                  </c:pt>
                  <c:pt idx="47">
                    <c:v>11/15/07</c:v>
                  </c:pt>
                  <c:pt idx="48">
                    <c:v>11/29/07</c:v>
                  </c:pt>
                  <c:pt idx="49">
                    <c:v>12/6/07</c:v>
                  </c:pt>
                  <c:pt idx="50">
                    <c:v>12/13/07</c:v>
                  </c:pt>
                  <c:pt idx="51">
                    <c:v>1/10/08</c:v>
                  </c:pt>
                  <c:pt idx="52">
                    <c:v>4/10/08</c:v>
                  </c:pt>
                  <c:pt idx="53">
                    <c:v>4/17/08</c:v>
                  </c:pt>
                  <c:pt idx="54">
                    <c:v>4/24/08</c:v>
                  </c:pt>
                  <c:pt idx="55">
                    <c:v>5/1/08</c:v>
                  </c:pt>
                  <c:pt idx="56">
                    <c:v>5/8/08</c:v>
                  </c:pt>
                  <c:pt idx="57">
                    <c:v>5/15/08</c:v>
                  </c:pt>
                  <c:pt idx="58">
                    <c:v>9/25/08</c:v>
                  </c:pt>
                  <c:pt idx="59">
                    <c:v>10/9/08</c:v>
                  </c:pt>
                  <c:pt idx="60">
                    <c:v>10/16/08</c:v>
                  </c:pt>
                  <c:pt idx="61">
                    <c:v>10/23/08</c:v>
                  </c:pt>
                  <c:pt idx="62">
                    <c:v>10/30/08</c:v>
                  </c:pt>
                  <c:pt idx="63">
                    <c:v>11/6/08</c:v>
                  </c:pt>
                  <c:pt idx="64">
                    <c:v>11/13/08</c:v>
                  </c:pt>
                  <c:pt idx="65">
                    <c:v>11/20/08</c:v>
                  </c:pt>
                  <c:pt idx="66">
                    <c:v>12/4/08</c:v>
                  </c:pt>
                  <c:pt idx="67">
                    <c:v>12/11/08</c:v>
                  </c:pt>
                  <c:pt idx="68">
                    <c:v>1/8/09</c:v>
                  </c:pt>
                  <c:pt idx="69">
                    <c:v>1/15/09</c:v>
                  </c:pt>
                  <c:pt idx="70">
                    <c:v>1/22/09</c:v>
                  </c:pt>
                  <c:pt idx="71">
                    <c:v>2/5/09</c:v>
                  </c:pt>
                  <c:pt idx="72">
                    <c:v>2/12/09</c:v>
                  </c:pt>
                  <c:pt idx="73">
                    <c:v>2/26/09</c:v>
                  </c:pt>
                  <c:pt idx="74">
                    <c:v>3/5/09</c:v>
                  </c:pt>
                  <c:pt idx="75">
                    <c:v>3/12/09</c:v>
                  </c:pt>
                  <c:pt idx="76">
                    <c:v>3/19/09</c:v>
                  </c:pt>
                  <c:pt idx="77">
                    <c:v>3/26/09</c:v>
                  </c:pt>
                  <c:pt idx="78">
                    <c:v>4/9/09</c:v>
                  </c:pt>
                  <c:pt idx="79">
                    <c:v>4/16/09</c:v>
                  </c:pt>
                  <c:pt idx="80">
                    <c:v>4/23/09</c:v>
                  </c:pt>
                  <c:pt idx="81">
                    <c:v>4/30/09</c:v>
                  </c:pt>
                  <c:pt idx="82">
                    <c:v>5/7/09</c:v>
                  </c:pt>
                  <c:pt idx="83">
                    <c:v>5/14/09</c:v>
                  </c:pt>
                  <c:pt idx="84">
                    <c:v>9/17/09</c:v>
                  </c:pt>
                  <c:pt idx="85">
                    <c:v>9/24/09</c:v>
                  </c:pt>
                  <c:pt idx="86">
                    <c:v>10/1/09</c:v>
                  </c:pt>
                  <c:pt idx="87">
                    <c:v>10/8/09</c:v>
                  </c:pt>
                  <c:pt idx="88">
                    <c:v>10/15/09</c:v>
                  </c:pt>
                  <c:pt idx="89">
                    <c:v>10/22/09</c:v>
                  </c:pt>
                  <c:pt idx="90">
                    <c:v>10/29/09</c:v>
                  </c:pt>
                  <c:pt idx="91">
                    <c:v>11/5/09</c:v>
                  </c:pt>
                  <c:pt idx="92">
                    <c:v>11/12/09</c:v>
                  </c:pt>
                  <c:pt idx="93">
                    <c:v>11/19/09</c:v>
                  </c:pt>
                  <c:pt idx="94">
                    <c:v>12/3/09</c:v>
                  </c:pt>
                  <c:pt idx="95">
                    <c:v>12/10/09</c:v>
                  </c:pt>
                  <c:pt idx="96">
                    <c:v>1/14/10</c:v>
                  </c:pt>
                  <c:pt idx="97">
                    <c:v>1/21/10</c:v>
                  </c:pt>
                  <c:pt idx="98">
                    <c:v>2/4/10</c:v>
                  </c:pt>
                  <c:pt idx="99">
                    <c:v>2/11/10</c:v>
                  </c:pt>
                  <c:pt idx="100">
                    <c:v>3/4/10</c:v>
                  </c:pt>
                  <c:pt idx="101">
                    <c:v>3/11/10</c:v>
                  </c:pt>
                  <c:pt idx="102">
                    <c:v>3/18/10</c:v>
                  </c:pt>
                  <c:pt idx="103">
                    <c:v>3/25/10</c:v>
                  </c:pt>
                  <c:pt idx="104">
                    <c:v>4/22/10</c:v>
                  </c:pt>
                  <c:pt idx="105">
                    <c:v>4/29/10</c:v>
                  </c:pt>
                  <c:pt idx="106">
                    <c:v>5/6/10</c:v>
                  </c:pt>
                  <c:pt idx="107">
                    <c:v>5/13/10</c:v>
                  </c:pt>
                  <c:pt idx="108">
                    <c:v>5/20/10</c:v>
                  </c:pt>
                  <c:pt idx="109">
                    <c:v>9/23/10</c:v>
                  </c:pt>
                  <c:pt idx="110">
                    <c:v>9/30/10</c:v>
                  </c:pt>
                  <c:pt idx="111">
                    <c:v>10/7/10</c:v>
                  </c:pt>
                  <c:pt idx="112">
                    <c:v>10/14/10</c:v>
                  </c:pt>
                  <c:pt idx="113">
                    <c:v>10/21/10</c:v>
                  </c:pt>
                  <c:pt idx="114">
                    <c:v>10/28/10</c:v>
                  </c:pt>
                  <c:pt idx="115">
                    <c:v>11/4/10</c:v>
                  </c:pt>
                  <c:pt idx="116">
                    <c:v>11/11/10</c:v>
                  </c:pt>
                  <c:pt idx="117">
                    <c:v>11/18/10</c:v>
                  </c:pt>
                  <c:pt idx="118">
                    <c:v>12/2/10</c:v>
                  </c:pt>
                  <c:pt idx="119">
                    <c:v>12/9/10</c:v>
                  </c:pt>
                  <c:pt idx="120">
                    <c:v>1/20/11</c:v>
                  </c:pt>
                  <c:pt idx="121">
                    <c:v>1/27/11</c:v>
                  </c:pt>
                  <c:pt idx="122">
                    <c:v>2/3/11</c:v>
                  </c:pt>
                  <c:pt idx="123">
                    <c:v>2/10/11</c:v>
                  </c:pt>
                  <c:pt idx="124">
                    <c:v>2/17/11</c:v>
                  </c:pt>
                  <c:pt idx="125">
                    <c:v>2/24/11</c:v>
                  </c:pt>
                  <c:pt idx="126">
                    <c:v>3/17/11</c:v>
                  </c:pt>
                  <c:pt idx="127">
                    <c:v>3/24/11</c:v>
                  </c:pt>
                  <c:pt idx="128">
                    <c:v>4/14/11</c:v>
                  </c:pt>
                  <c:pt idx="129">
                    <c:v>4/21/11</c:v>
                  </c:pt>
                  <c:pt idx="130">
                    <c:v>4/28/11</c:v>
                  </c:pt>
                  <c:pt idx="131">
                    <c:v>5/5/11</c:v>
                  </c:pt>
                  <c:pt idx="132">
                    <c:v>5/12/11</c:v>
                  </c:pt>
                  <c:pt idx="133">
                    <c:v>5/19/11</c:v>
                  </c:pt>
                  <c:pt idx="134">
                    <c:v>9/22/11</c:v>
                  </c:pt>
                  <c:pt idx="135">
                    <c:v>9/29/11</c:v>
                  </c:pt>
                  <c:pt idx="136">
                    <c:v>10/6/11</c:v>
                  </c:pt>
                  <c:pt idx="137">
                    <c:v>10/13/11</c:v>
                  </c:pt>
                  <c:pt idx="138">
                    <c:v>10/27/11</c:v>
                  </c:pt>
                  <c:pt idx="139">
                    <c:v>11/3/11</c:v>
                  </c:pt>
                  <c:pt idx="140">
                    <c:v>11/10/11</c:v>
                  </c:pt>
                  <c:pt idx="141">
                    <c:v>11/17/11</c:v>
                  </c:pt>
                  <c:pt idx="142">
                    <c:v>12/1/11</c:v>
                  </c:pt>
                  <c:pt idx="143">
                    <c:v>12/8/11</c:v>
                  </c:pt>
                  <c:pt idx="144">
                    <c:v>1/12/12</c:v>
                  </c:pt>
                  <c:pt idx="145">
                    <c:v>1/19/12</c:v>
                  </c:pt>
                  <c:pt idx="146">
                    <c:v>1/26/12</c:v>
                  </c:pt>
                  <c:pt idx="147">
                    <c:v>2/2/12</c:v>
                  </c:pt>
                  <c:pt idx="148">
                    <c:v>2/9/12</c:v>
                  </c:pt>
                  <c:pt idx="149">
                    <c:v>2/16/12</c:v>
                  </c:pt>
                  <c:pt idx="150">
                    <c:v>2/23/12</c:v>
                  </c:pt>
                  <c:pt idx="151">
                    <c:v>3/1/12</c:v>
                  </c:pt>
                  <c:pt idx="152">
                    <c:v>3/8/12</c:v>
                  </c:pt>
                  <c:pt idx="153">
                    <c:v>3/15/12</c:v>
                  </c:pt>
                  <c:pt idx="154">
                    <c:v>3/22/12</c:v>
                  </c:pt>
                  <c:pt idx="155">
                    <c:v>3/29/12</c:v>
                  </c:pt>
                  <c:pt idx="156">
                    <c:v>4/5/12</c:v>
                  </c:pt>
                  <c:pt idx="157">
                    <c:v>4/12/12</c:v>
                  </c:pt>
                  <c:pt idx="158">
                    <c:v>4/19/12</c:v>
                  </c:pt>
                  <c:pt idx="159">
                    <c:v>4/26/12</c:v>
                  </c:pt>
                  <c:pt idx="160">
                    <c:v>5/3/12</c:v>
                  </c:pt>
                  <c:pt idx="161">
                    <c:v>5/10/12</c:v>
                  </c:pt>
                  <c:pt idx="162">
                    <c:v>5/17/12</c:v>
                  </c:pt>
                  <c:pt idx="163">
                    <c:v>9/20/12</c:v>
                  </c:pt>
                  <c:pt idx="164">
                    <c:v>9/27/12</c:v>
                  </c:pt>
                  <c:pt idx="165">
                    <c:v>10/4/12</c:v>
                  </c:pt>
                  <c:pt idx="166">
                    <c:v>10/11/12</c:v>
                  </c:pt>
                  <c:pt idx="167">
                    <c:v>10/18/12</c:v>
                  </c:pt>
                  <c:pt idx="168">
                    <c:v>10/25/12</c:v>
                  </c:pt>
                  <c:pt idx="169">
                    <c:v>11/8/12</c:v>
                  </c:pt>
                  <c:pt idx="170">
                    <c:v>11/15/12</c:v>
                  </c:pt>
                  <c:pt idx="171">
                    <c:v>11/29/12</c:v>
                  </c:pt>
                  <c:pt idx="172">
                    <c:v>12/6/12</c:v>
                  </c:pt>
                  <c:pt idx="173">
                    <c:v>1/10/13</c:v>
                  </c:pt>
                  <c:pt idx="174">
                    <c:v>1/17/13</c:v>
                  </c:pt>
                  <c:pt idx="175">
                    <c:v>1/24/13</c:v>
                  </c:pt>
                  <c:pt idx="176">
                    <c:v>1/31/13</c:v>
                  </c:pt>
                  <c:pt idx="177">
                    <c:v>2/7/13</c:v>
                  </c:pt>
                  <c:pt idx="178">
                    <c:v>2/14/13</c:v>
                  </c:pt>
                  <c:pt idx="179">
                    <c:v>2/21/13</c:v>
                  </c:pt>
                  <c:pt idx="180">
                    <c:v>2/28/13</c:v>
                  </c:pt>
                  <c:pt idx="181">
                    <c:v>3/7/13</c:v>
                  </c:pt>
                  <c:pt idx="182">
                    <c:v>3/14/13</c:v>
                  </c:pt>
                  <c:pt idx="183">
                    <c:v>3/21/13</c:v>
                  </c:pt>
                  <c:pt idx="184">
                    <c:v>4/4/13</c:v>
                  </c:pt>
                  <c:pt idx="185">
                    <c:v>4/11/13</c:v>
                  </c:pt>
                  <c:pt idx="186">
                    <c:v>4/18/13</c:v>
                  </c:pt>
                  <c:pt idx="187">
                    <c:v>4/25/13</c:v>
                  </c:pt>
                  <c:pt idx="188">
                    <c:v>5/2/13</c:v>
                  </c:pt>
                  <c:pt idx="189">
                    <c:v>5/9/13</c:v>
                  </c:pt>
                  <c:pt idx="190">
                    <c:v>5/16/13</c:v>
                  </c:pt>
                  <c:pt idx="191">
                    <c:v>9/26/13</c:v>
                  </c:pt>
                  <c:pt idx="192">
                    <c:v>10/3/13</c:v>
                  </c:pt>
                  <c:pt idx="193">
                    <c:v>10/10/13</c:v>
                  </c:pt>
                  <c:pt idx="194">
                    <c:v>10/17/13</c:v>
                  </c:pt>
                  <c:pt idx="195">
                    <c:v>11/14/13</c:v>
                  </c:pt>
                  <c:pt idx="196">
                    <c:v>11/21/13</c:v>
                  </c:pt>
                  <c:pt idx="197">
                    <c:v>1/2/14</c:v>
                  </c:pt>
                  <c:pt idx="198">
                    <c:v>1/9/14</c:v>
                  </c:pt>
                  <c:pt idx="199">
                    <c:v>1/16/14</c:v>
                  </c:pt>
                  <c:pt idx="200">
                    <c:v>1/23/14</c:v>
                  </c:pt>
                  <c:pt idx="201">
                    <c:v>1/30/14</c:v>
                  </c:pt>
                  <c:pt idx="202">
                    <c:v>2/27/14</c:v>
                  </c:pt>
                  <c:pt idx="203">
                    <c:v>3/6/14</c:v>
                  </c:pt>
                  <c:pt idx="204">
                    <c:v>3/13/14</c:v>
                  </c:pt>
                  <c:pt idx="205">
                    <c:v>3/20/14</c:v>
                  </c:pt>
                  <c:pt idx="206">
                    <c:v>4/3/14</c:v>
                  </c:pt>
                  <c:pt idx="207">
                    <c:v>4/10/14</c:v>
                  </c:pt>
                  <c:pt idx="208">
                    <c:v>4/17/14</c:v>
                  </c:pt>
                  <c:pt idx="209">
                    <c:v>4/24/14</c:v>
                  </c:pt>
                </c:lvl>
                <c:lvl>
                  <c:pt idx="0">
                    <c:v>2005</c:v>
                  </c:pt>
                  <c:pt idx="1">
                    <c:v>2006</c:v>
                  </c:pt>
                  <c:pt idx="24">
                    <c:v>2007</c:v>
                  </c:pt>
                  <c:pt idx="51">
                    <c:v>2008</c:v>
                  </c:pt>
                  <c:pt idx="68">
                    <c:v>2009</c:v>
                  </c:pt>
                  <c:pt idx="96">
                    <c:v>2010</c:v>
                  </c:pt>
                  <c:pt idx="120">
                    <c:v>2011</c:v>
                  </c:pt>
                  <c:pt idx="144">
                    <c:v>2012</c:v>
                  </c:pt>
                  <c:pt idx="173">
                    <c:v>2013</c:v>
                  </c:pt>
                  <c:pt idx="197">
                    <c:v>2014</c:v>
                  </c:pt>
                </c:lvl>
              </c:multiLvlStrCache>
            </c:multiLvlStrRef>
          </c:cat>
          <c:val>
            <c:numRef>
              <c:f>Graphs!$Q$66:$Q$286</c:f>
              <c:numCache>
                <c:formatCode>General</c:formatCode>
                <c:ptCount val="210"/>
                <c:pt idx="13">
                  <c:v>9.11</c:v>
                </c:pt>
                <c:pt idx="14">
                  <c:v>7.78</c:v>
                </c:pt>
                <c:pt idx="15">
                  <c:v>8.89</c:v>
                </c:pt>
                <c:pt idx="16">
                  <c:v>8.83</c:v>
                </c:pt>
                <c:pt idx="17">
                  <c:v>8.4600000000000009</c:v>
                </c:pt>
                <c:pt idx="18">
                  <c:v>8.81</c:v>
                </c:pt>
                <c:pt idx="19">
                  <c:v>8.0500000000000007</c:v>
                </c:pt>
                <c:pt idx="20">
                  <c:v>8.6300000000000008</c:v>
                </c:pt>
                <c:pt idx="21">
                  <c:v>9.07</c:v>
                </c:pt>
                <c:pt idx="23">
                  <c:v>8.44</c:v>
                </c:pt>
                <c:pt idx="24">
                  <c:v>8.8000000000000007</c:v>
                </c:pt>
                <c:pt idx="25">
                  <c:v>10.119999999999999</c:v>
                </c:pt>
                <c:pt idx="26">
                  <c:v>10.199999999999999</c:v>
                </c:pt>
                <c:pt idx="27">
                  <c:v>10.11</c:v>
                </c:pt>
                <c:pt idx="28">
                  <c:v>8.84</c:v>
                </c:pt>
                <c:pt idx="29">
                  <c:v>8.84</c:v>
                </c:pt>
                <c:pt idx="30">
                  <c:v>8.3000000000000007</c:v>
                </c:pt>
                <c:pt idx="33">
                  <c:v>6.74</c:v>
                </c:pt>
                <c:pt idx="34">
                  <c:v>7.71</c:v>
                </c:pt>
                <c:pt idx="36">
                  <c:v>7.56</c:v>
                </c:pt>
                <c:pt idx="37">
                  <c:v>7</c:v>
                </c:pt>
                <c:pt idx="38">
                  <c:v>7.2</c:v>
                </c:pt>
                <c:pt idx="39">
                  <c:v>7.88</c:v>
                </c:pt>
                <c:pt idx="41">
                  <c:v>7.3</c:v>
                </c:pt>
                <c:pt idx="42">
                  <c:v>6.6</c:v>
                </c:pt>
                <c:pt idx="43">
                  <c:v>6.2</c:v>
                </c:pt>
                <c:pt idx="44">
                  <c:v>6.5</c:v>
                </c:pt>
                <c:pt idx="46">
                  <c:v>6.6</c:v>
                </c:pt>
                <c:pt idx="47">
                  <c:v>5.8</c:v>
                </c:pt>
                <c:pt idx="48">
                  <c:v>6.4</c:v>
                </c:pt>
                <c:pt idx="49">
                  <c:v>5.8</c:v>
                </c:pt>
                <c:pt idx="51">
                  <c:v>6</c:v>
                </c:pt>
                <c:pt idx="52">
                  <c:v>5.7</c:v>
                </c:pt>
                <c:pt idx="53">
                  <c:v>6.4</c:v>
                </c:pt>
                <c:pt idx="78">
                  <c:v>6.77</c:v>
                </c:pt>
                <c:pt idx="79">
                  <c:v>5.92</c:v>
                </c:pt>
                <c:pt idx="80">
                  <c:v>5.24</c:v>
                </c:pt>
                <c:pt idx="81">
                  <c:v>5.29</c:v>
                </c:pt>
                <c:pt idx="82">
                  <c:v>4.6399999999999997</c:v>
                </c:pt>
                <c:pt idx="83">
                  <c:v>4.25</c:v>
                </c:pt>
                <c:pt idx="84">
                  <c:v>5</c:v>
                </c:pt>
                <c:pt idx="85">
                  <c:v>4.22</c:v>
                </c:pt>
                <c:pt idx="86">
                  <c:v>4.63</c:v>
                </c:pt>
                <c:pt idx="87">
                  <c:v>4.97</c:v>
                </c:pt>
                <c:pt idx="88">
                  <c:v>4.6900000000000004</c:v>
                </c:pt>
                <c:pt idx="89">
                  <c:v>4.9800000000000004</c:v>
                </c:pt>
                <c:pt idx="90">
                  <c:v>4.96</c:v>
                </c:pt>
                <c:pt idx="91">
                  <c:v>4.9400000000000004</c:v>
                </c:pt>
                <c:pt idx="92">
                  <c:v>4.67</c:v>
                </c:pt>
                <c:pt idx="93">
                  <c:v>4.6100000000000003</c:v>
                </c:pt>
                <c:pt idx="94">
                  <c:v>4.83</c:v>
                </c:pt>
                <c:pt idx="95">
                  <c:v>4.9000000000000004</c:v>
                </c:pt>
                <c:pt idx="96">
                  <c:v>4.59</c:v>
                </c:pt>
                <c:pt idx="97">
                  <c:v>4.3499999999999996</c:v>
                </c:pt>
                <c:pt idx="98">
                  <c:v>4.87</c:v>
                </c:pt>
                <c:pt idx="99">
                  <c:v>4.9800000000000004</c:v>
                </c:pt>
                <c:pt idx="100">
                  <c:v>4.6399999999999997</c:v>
                </c:pt>
                <c:pt idx="101">
                  <c:v>4.6100000000000003</c:v>
                </c:pt>
                <c:pt idx="102">
                  <c:v>4.7</c:v>
                </c:pt>
                <c:pt idx="103">
                  <c:v>4.49</c:v>
                </c:pt>
                <c:pt idx="104">
                  <c:v>4</c:v>
                </c:pt>
                <c:pt idx="105">
                  <c:v>4.03</c:v>
                </c:pt>
                <c:pt idx="106">
                  <c:v>4.03</c:v>
                </c:pt>
                <c:pt idx="107">
                  <c:v>4.28</c:v>
                </c:pt>
                <c:pt idx="108">
                  <c:v>4.55</c:v>
                </c:pt>
                <c:pt idx="109">
                  <c:v>5.85</c:v>
                </c:pt>
                <c:pt idx="110">
                  <c:v>5.68</c:v>
                </c:pt>
                <c:pt idx="111">
                  <c:v>4.9000000000000004</c:v>
                </c:pt>
                <c:pt idx="112">
                  <c:v>6.7</c:v>
                </c:pt>
                <c:pt idx="113">
                  <c:v>5.18</c:v>
                </c:pt>
                <c:pt idx="115">
                  <c:v>5.31</c:v>
                </c:pt>
                <c:pt idx="116">
                  <c:v>5.09</c:v>
                </c:pt>
                <c:pt idx="117">
                  <c:v>5.1100000000000003</c:v>
                </c:pt>
                <c:pt idx="118">
                  <c:v>5.03</c:v>
                </c:pt>
                <c:pt idx="119">
                  <c:v>4.76</c:v>
                </c:pt>
                <c:pt idx="134">
                  <c:v>4.1100000000000003</c:v>
                </c:pt>
                <c:pt idx="135">
                  <c:v>4.33</c:v>
                </c:pt>
                <c:pt idx="136">
                  <c:v>4.1500000000000004</c:v>
                </c:pt>
                <c:pt idx="137">
                  <c:v>3.99</c:v>
                </c:pt>
                <c:pt idx="138">
                  <c:v>3.9</c:v>
                </c:pt>
                <c:pt idx="139">
                  <c:v>4</c:v>
                </c:pt>
                <c:pt idx="140">
                  <c:v>3.66</c:v>
                </c:pt>
                <c:pt idx="141">
                  <c:v>3.68</c:v>
                </c:pt>
                <c:pt idx="142">
                  <c:v>3.69</c:v>
                </c:pt>
                <c:pt idx="143">
                  <c:v>3.64</c:v>
                </c:pt>
                <c:pt idx="153">
                  <c:v>4</c:v>
                </c:pt>
                <c:pt idx="154">
                  <c:v>6.73</c:v>
                </c:pt>
                <c:pt idx="155">
                  <c:v>3.14</c:v>
                </c:pt>
                <c:pt idx="156">
                  <c:v>2.79</c:v>
                </c:pt>
                <c:pt idx="157">
                  <c:v>2.98</c:v>
                </c:pt>
                <c:pt idx="158">
                  <c:v>3.06</c:v>
                </c:pt>
                <c:pt idx="159">
                  <c:v>3.47</c:v>
                </c:pt>
                <c:pt idx="160">
                  <c:v>3.04</c:v>
                </c:pt>
                <c:pt idx="161">
                  <c:v>2.92</c:v>
                </c:pt>
                <c:pt idx="162">
                  <c:v>2.84</c:v>
                </c:pt>
                <c:pt idx="174">
                  <c:v>3.92</c:v>
                </c:pt>
                <c:pt idx="175">
                  <c:v>3.94</c:v>
                </c:pt>
                <c:pt idx="177">
                  <c:v>3.76</c:v>
                </c:pt>
                <c:pt idx="178">
                  <c:v>3.18</c:v>
                </c:pt>
                <c:pt idx="179">
                  <c:v>6.02</c:v>
                </c:pt>
                <c:pt idx="182">
                  <c:v>3</c:v>
                </c:pt>
                <c:pt idx="184">
                  <c:v>2.93</c:v>
                </c:pt>
                <c:pt idx="185">
                  <c:v>3.15</c:v>
                </c:pt>
                <c:pt idx="186">
                  <c:v>6.6899999999999995</c:v>
                </c:pt>
                <c:pt idx="187">
                  <c:v>2.59</c:v>
                </c:pt>
                <c:pt idx="188">
                  <c:v>2.99</c:v>
                </c:pt>
                <c:pt idx="198">
                  <c:v>3.43</c:v>
                </c:pt>
                <c:pt idx="199">
                  <c:v>3.05</c:v>
                </c:pt>
                <c:pt idx="200">
                  <c:v>2.98</c:v>
                </c:pt>
                <c:pt idx="201">
                  <c:v>3.03</c:v>
                </c:pt>
                <c:pt idx="202">
                  <c:v>2.52</c:v>
                </c:pt>
                <c:pt idx="203">
                  <c:v>2.95</c:v>
                </c:pt>
                <c:pt idx="204">
                  <c:v>2.72</c:v>
                </c:pt>
                <c:pt idx="205">
                  <c:v>3.05</c:v>
                </c:pt>
                <c:pt idx="206">
                  <c:v>2.67</c:v>
                </c:pt>
                <c:pt idx="207">
                  <c:v>2.56</c:v>
                </c:pt>
                <c:pt idx="208">
                  <c:v>2.39</c:v>
                </c:pt>
                <c:pt idx="209">
                  <c:v>2.71</c:v>
                </c:pt>
              </c:numCache>
            </c:numRef>
          </c:val>
          <c:smooth val="0"/>
          <c:extLst>
            <c:ext xmlns:c16="http://schemas.microsoft.com/office/drawing/2014/chart" uri="{C3380CC4-5D6E-409C-BE32-E72D297353CC}">
              <c16:uniqueId val="{00000002-5890-C743-B858-AE4C4CF83D49}"/>
            </c:ext>
          </c:extLst>
        </c:ser>
        <c:ser>
          <c:idx val="2"/>
          <c:order val="2"/>
          <c:tx>
            <c:strRef>
              <c:f>Graphs!$R$64:$R$65</c:f>
              <c:strCache>
                <c:ptCount val="1"/>
                <c:pt idx="0">
                  <c:v>9:00:00 PM</c:v>
                </c:pt>
              </c:strCache>
            </c:strRef>
          </c:tx>
          <c:spPr>
            <a:ln w="28575" cap="rnd">
              <a:solidFill>
                <a:srgbClr val="A1B42F"/>
              </a:solidFill>
              <a:round/>
            </a:ln>
            <a:effectLst/>
          </c:spPr>
          <c:marker>
            <c:symbol val="none"/>
          </c:marker>
          <c:cat>
            <c:multiLvlStrRef>
              <c:f>Graphs!$O$66:$O$286</c:f>
              <c:multiLvlStrCache>
                <c:ptCount val="210"/>
                <c:lvl>
                  <c:pt idx="0">
                    <c:v>3/24/05</c:v>
                  </c:pt>
                  <c:pt idx="1">
                    <c:v>1/5/06</c:v>
                  </c:pt>
                  <c:pt idx="2">
                    <c:v>1/12/06</c:v>
                  </c:pt>
                  <c:pt idx="3">
                    <c:v>1/19/06</c:v>
                  </c:pt>
                  <c:pt idx="4">
                    <c:v>1/26/06</c:v>
                  </c:pt>
                  <c:pt idx="5">
                    <c:v>2/2/06</c:v>
                  </c:pt>
                  <c:pt idx="6">
                    <c:v>2/9/06</c:v>
                  </c:pt>
                  <c:pt idx="7">
                    <c:v>3/2/06</c:v>
                  </c:pt>
                  <c:pt idx="8">
                    <c:v>3/16/06</c:v>
                  </c:pt>
                  <c:pt idx="9">
                    <c:v>3/30/06</c:v>
                  </c:pt>
                  <c:pt idx="10">
                    <c:v>4/27/06</c:v>
                  </c:pt>
                  <c:pt idx="11">
                    <c:v>5/4/06</c:v>
                  </c:pt>
                  <c:pt idx="12">
                    <c:v>5/11/06</c:v>
                  </c:pt>
                  <c:pt idx="13">
                    <c:v>9/21/06</c:v>
                  </c:pt>
                  <c:pt idx="14">
                    <c:v>9/28/06</c:v>
                  </c:pt>
                  <c:pt idx="15">
                    <c:v>10/5/06</c:v>
                  </c:pt>
                  <c:pt idx="16">
                    <c:v>10/12/06</c:v>
                  </c:pt>
                  <c:pt idx="17">
                    <c:v>10/19/06</c:v>
                  </c:pt>
                  <c:pt idx="18">
                    <c:v>11/2/06</c:v>
                  </c:pt>
                  <c:pt idx="19">
                    <c:v>11/9/06</c:v>
                  </c:pt>
                  <c:pt idx="20">
                    <c:v>11/16/06</c:v>
                  </c:pt>
                  <c:pt idx="21">
                    <c:v>11/30/06</c:v>
                  </c:pt>
                  <c:pt idx="22">
                    <c:v>12/7/06</c:v>
                  </c:pt>
                  <c:pt idx="23">
                    <c:v>12/14/06</c:v>
                  </c:pt>
                  <c:pt idx="24">
                    <c:v>1/4/07</c:v>
                  </c:pt>
                  <c:pt idx="25">
                    <c:v>1/11/07</c:v>
                  </c:pt>
                  <c:pt idx="26">
                    <c:v>1/18/07</c:v>
                  </c:pt>
                  <c:pt idx="27">
                    <c:v>2/1/07</c:v>
                  </c:pt>
                  <c:pt idx="28">
                    <c:v>2/8/07</c:v>
                  </c:pt>
                  <c:pt idx="29">
                    <c:v>2/15/07</c:v>
                  </c:pt>
                  <c:pt idx="30">
                    <c:v>2/22/07</c:v>
                  </c:pt>
                  <c:pt idx="31">
                    <c:v>3/1/07</c:v>
                  </c:pt>
                  <c:pt idx="32">
                    <c:v>3/8/07</c:v>
                  </c:pt>
                  <c:pt idx="33">
                    <c:v>4/5/07</c:v>
                  </c:pt>
                  <c:pt idx="34">
                    <c:v>4/12/07</c:v>
                  </c:pt>
                  <c:pt idx="35">
                    <c:v>4/19/07</c:v>
                  </c:pt>
                  <c:pt idx="36">
                    <c:v>4/26/07</c:v>
                  </c:pt>
                  <c:pt idx="37">
                    <c:v>5/3/07</c:v>
                  </c:pt>
                  <c:pt idx="38">
                    <c:v>5/10/07</c:v>
                  </c:pt>
                  <c:pt idx="39">
                    <c:v>5/17/07</c:v>
                  </c:pt>
                  <c:pt idx="40">
                    <c:v>9/27/07</c:v>
                  </c:pt>
                  <c:pt idx="41">
                    <c:v>10/4/07</c:v>
                  </c:pt>
                  <c:pt idx="42">
                    <c:v>10/11/07</c:v>
                  </c:pt>
                  <c:pt idx="43">
                    <c:v>10/18/07</c:v>
                  </c:pt>
                  <c:pt idx="44">
                    <c:v>10/25/07</c:v>
                  </c:pt>
                  <c:pt idx="45">
                    <c:v>11/1/07</c:v>
                  </c:pt>
                  <c:pt idx="46">
                    <c:v>11/8/07</c:v>
                  </c:pt>
                  <c:pt idx="47">
                    <c:v>11/15/07</c:v>
                  </c:pt>
                  <c:pt idx="48">
                    <c:v>11/29/07</c:v>
                  </c:pt>
                  <c:pt idx="49">
                    <c:v>12/6/07</c:v>
                  </c:pt>
                  <c:pt idx="50">
                    <c:v>12/13/07</c:v>
                  </c:pt>
                  <c:pt idx="51">
                    <c:v>1/10/08</c:v>
                  </c:pt>
                  <c:pt idx="52">
                    <c:v>4/10/08</c:v>
                  </c:pt>
                  <c:pt idx="53">
                    <c:v>4/17/08</c:v>
                  </c:pt>
                  <c:pt idx="54">
                    <c:v>4/24/08</c:v>
                  </c:pt>
                  <c:pt idx="55">
                    <c:v>5/1/08</c:v>
                  </c:pt>
                  <c:pt idx="56">
                    <c:v>5/8/08</c:v>
                  </c:pt>
                  <c:pt idx="57">
                    <c:v>5/15/08</c:v>
                  </c:pt>
                  <c:pt idx="58">
                    <c:v>9/25/08</c:v>
                  </c:pt>
                  <c:pt idx="59">
                    <c:v>10/9/08</c:v>
                  </c:pt>
                  <c:pt idx="60">
                    <c:v>10/16/08</c:v>
                  </c:pt>
                  <c:pt idx="61">
                    <c:v>10/23/08</c:v>
                  </c:pt>
                  <c:pt idx="62">
                    <c:v>10/30/08</c:v>
                  </c:pt>
                  <c:pt idx="63">
                    <c:v>11/6/08</c:v>
                  </c:pt>
                  <c:pt idx="64">
                    <c:v>11/13/08</c:v>
                  </c:pt>
                  <c:pt idx="65">
                    <c:v>11/20/08</c:v>
                  </c:pt>
                  <c:pt idx="66">
                    <c:v>12/4/08</c:v>
                  </c:pt>
                  <c:pt idx="67">
                    <c:v>12/11/08</c:v>
                  </c:pt>
                  <c:pt idx="68">
                    <c:v>1/8/09</c:v>
                  </c:pt>
                  <c:pt idx="69">
                    <c:v>1/15/09</c:v>
                  </c:pt>
                  <c:pt idx="70">
                    <c:v>1/22/09</c:v>
                  </c:pt>
                  <c:pt idx="71">
                    <c:v>2/5/09</c:v>
                  </c:pt>
                  <c:pt idx="72">
                    <c:v>2/12/09</c:v>
                  </c:pt>
                  <c:pt idx="73">
                    <c:v>2/26/09</c:v>
                  </c:pt>
                  <c:pt idx="74">
                    <c:v>3/5/09</c:v>
                  </c:pt>
                  <c:pt idx="75">
                    <c:v>3/12/09</c:v>
                  </c:pt>
                  <c:pt idx="76">
                    <c:v>3/19/09</c:v>
                  </c:pt>
                  <c:pt idx="77">
                    <c:v>3/26/09</c:v>
                  </c:pt>
                  <c:pt idx="78">
                    <c:v>4/9/09</c:v>
                  </c:pt>
                  <c:pt idx="79">
                    <c:v>4/16/09</c:v>
                  </c:pt>
                  <c:pt idx="80">
                    <c:v>4/23/09</c:v>
                  </c:pt>
                  <c:pt idx="81">
                    <c:v>4/30/09</c:v>
                  </c:pt>
                  <c:pt idx="82">
                    <c:v>5/7/09</c:v>
                  </c:pt>
                  <c:pt idx="83">
                    <c:v>5/14/09</c:v>
                  </c:pt>
                  <c:pt idx="84">
                    <c:v>9/17/09</c:v>
                  </c:pt>
                  <c:pt idx="85">
                    <c:v>9/24/09</c:v>
                  </c:pt>
                  <c:pt idx="86">
                    <c:v>10/1/09</c:v>
                  </c:pt>
                  <c:pt idx="87">
                    <c:v>10/8/09</c:v>
                  </c:pt>
                  <c:pt idx="88">
                    <c:v>10/15/09</c:v>
                  </c:pt>
                  <c:pt idx="89">
                    <c:v>10/22/09</c:v>
                  </c:pt>
                  <c:pt idx="90">
                    <c:v>10/29/09</c:v>
                  </c:pt>
                  <c:pt idx="91">
                    <c:v>11/5/09</c:v>
                  </c:pt>
                  <c:pt idx="92">
                    <c:v>11/12/09</c:v>
                  </c:pt>
                  <c:pt idx="93">
                    <c:v>11/19/09</c:v>
                  </c:pt>
                  <c:pt idx="94">
                    <c:v>12/3/09</c:v>
                  </c:pt>
                  <c:pt idx="95">
                    <c:v>12/10/09</c:v>
                  </c:pt>
                  <c:pt idx="96">
                    <c:v>1/14/10</c:v>
                  </c:pt>
                  <c:pt idx="97">
                    <c:v>1/21/10</c:v>
                  </c:pt>
                  <c:pt idx="98">
                    <c:v>2/4/10</c:v>
                  </c:pt>
                  <c:pt idx="99">
                    <c:v>2/11/10</c:v>
                  </c:pt>
                  <c:pt idx="100">
                    <c:v>3/4/10</c:v>
                  </c:pt>
                  <c:pt idx="101">
                    <c:v>3/11/10</c:v>
                  </c:pt>
                  <c:pt idx="102">
                    <c:v>3/18/10</c:v>
                  </c:pt>
                  <c:pt idx="103">
                    <c:v>3/25/10</c:v>
                  </c:pt>
                  <c:pt idx="104">
                    <c:v>4/22/10</c:v>
                  </c:pt>
                  <c:pt idx="105">
                    <c:v>4/29/10</c:v>
                  </c:pt>
                  <c:pt idx="106">
                    <c:v>5/6/10</c:v>
                  </c:pt>
                  <c:pt idx="107">
                    <c:v>5/13/10</c:v>
                  </c:pt>
                  <c:pt idx="108">
                    <c:v>5/20/10</c:v>
                  </c:pt>
                  <c:pt idx="109">
                    <c:v>9/23/10</c:v>
                  </c:pt>
                  <c:pt idx="110">
                    <c:v>9/30/10</c:v>
                  </c:pt>
                  <c:pt idx="111">
                    <c:v>10/7/10</c:v>
                  </c:pt>
                  <c:pt idx="112">
                    <c:v>10/14/10</c:v>
                  </c:pt>
                  <c:pt idx="113">
                    <c:v>10/21/10</c:v>
                  </c:pt>
                  <c:pt idx="114">
                    <c:v>10/28/10</c:v>
                  </c:pt>
                  <c:pt idx="115">
                    <c:v>11/4/10</c:v>
                  </c:pt>
                  <c:pt idx="116">
                    <c:v>11/11/10</c:v>
                  </c:pt>
                  <c:pt idx="117">
                    <c:v>11/18/10</c:v>
                  </c:pt>
                  <c:pt idx="118">
                    <c:v>12/2/10</c:v>
                  </c:pt>
                  <c:pt idx="119">
                    <c:v>12/9/10</c:v>
                  </c:pt>
                  <c:pt idx="120">
                    <c:v>1/20/11</c:v>
                  </c:pt>
                  <c:pt idx="121">
                    <c:v>1/27/11</c:v>
                  </c:pt>
                  <c:pt idx="122">
                    <c:v>2/3/11</c:v>
                  </c:pt>
                  <c:pt idx="123">
                    <c:v>2/10/11</c:v>
                  </c:pt>
                  <c:pt idx="124">
                    <c:v>2/17/11</c:v>
                  </c:pt>
                  <c:pt idx="125">
                    <c:v>2/24/11</c:v>
                  </c:pt>
                  <c:pt idx="126">
                    <c:v>3/17/11</c:v>
                  </c:pt>
                  <c:pt idx="127">
                    <c:v>3/24/11</c:v>
                  </c:pt>
                  <c:pt idx="128">
                    <c:v>4/14/11</c:v>
                  </c:pt>
                  <c:pt idx="129">
                    <c:v>4/21/11</c:v>
                  </c:pt>
                  <c:pt idx="130">
                    <c:v>4/28/11</c:v>
                  </c:pt>
                  <c:pt idx="131">
                    <c:v>5/5/11</c:v>
                  </c:pt>
                  <c:pt idx="132">
                    <c:v>5/12/11</c:v>
                  </c:pt>
                  <c:pt idx="133">
                    <c:v>5/19/11</c:v>
                  </c:pt>
                  <c:pt idx="134">
                    <c:v>9/22/11</c:v>
                  </c:pt>
                  <c:pt idx="135">
                    <c:v>9/29/11</c:v>
                  </c:pt>
                  <c:pt idx="136">
                    <c:v>10/6/11</c:v>
                  </c:pt>
                  <c:pt idx="137">
                    <c:v>10/13/11</c:v>
                  </c:pt>
                  <c:pt idx="138">
                    <c:v>10/27/11</c:v>
                  </c:pt>
                  <c:pt idx="139">
                    <c:v>11/3/11</c:v>
                  </c:pt>
                  <c:pt idx="140">
                    <c:v>11/10/11</c:v>
                  </c:pt>
                  <c:pt idx="141">
                    <c:v>11/17/11</c:v>
                  </c:pt>
                  <c:pt idx="142">
                    <c:v>12/1/11</c:v>
                  </c:pt>
                  <c:pt idx="143">
                    <c:v>12/8/11</c:v>
                  </c:pt>
                  <c:pt idx="144">
                    <c:v>1/12/12</c:v>
                  </c:pt>
                  <c:pt idx="145">
                    <c:v>1/19/12</c:v>
                  </c:pt>
                  <c:pt idx="146">
                    <c:v>1/26/12</c:v>
                  </c:pt>
                  <c:pt idx="147">
                    <c:v>2/2/12</c:v>
                  </c:pt>
                  <c:pt idx="148">
                    <c:v>2/9/12</c:v>
                  </c:pt>
                  <c:pt idx="149">
                    <c:v>2/16/12</c:v>
                  </c:pt>
                  <c:pt idx="150">
                    <c:v>2/23/12</c:v>
                  </c:pt>
                  <c:pt idx="151">
                    <c:v>3/1/12</c:v>
                  </c:pt>
                  <c:pt idx="152">
                    <c:v>3/8/12</c:v>
                  </c:pt>
                  <c:pt idx="153">
                    <c:v>3/15/12</c:v>
                  </c:pt>
                  <c:pt idx="154">
                    <c:v>3/22/12</c:v>
                  </c:pt>
                  <c:pt idx="155">
                    <c:v>3/29/12</c:v>
                  </c:pt>
                  <c:pt idx="156">
                    <c:v>4/5/12</c:v>
                  </c:pt>
                  <c:pt idx="157">
                    <c:v>4/12/12</c:v>
                  </c:pt>
                  <c:pt idx="158">
                    <c:v>4/19/12</c:v>
                  </c:pt>
                  <c:pt idx="159">
                    <c:v>4/26/12</c:v>
                  </c:pt>
                  <c:pt idx="160">
                    <c:v>5/3/12</c:v>
                  </c:pt>
                  <c:pt idx="161">
                    <c:v>5/10/12</c:v>
                  </c:pt>
                  <c:pt idx="162">
                    <c:v>5/17/12</c:v>
                  </c:pt>
                  <c:pt idx="163">
                    <c:v>9/20/12</c:v>
                  </c:pt>
                  <c:pt idx="164">
                    <c:v>9/27/12</c:v>
                  </c:pt>
                  <c:pt idx="165">
                    <c:v>10/4/12</c:v>
                  </c:pt>
                  <c:pt idx="166">
                    <c:v>10/11/12</c:v>
                  </c:pt>
                  <c:pt idx="167">
                    <c:v>10/18/12</c:v>
                  </c:pt>
                  <c:pt idx="168">
                    <c:v>10/25/12</c:v>
                  </c:pt>
                  <c:pt idx="169">
                    <c:v>11/8/12</c:v>
                  </c:pt>
                  <c:pt idx="170">
                    <c:v>11/15/12</c:v>
                  </c:pt>
                  <c:pt idx="171">
                    <c:v>11/29/12</c:v>
                  </c:pt>
                  <c:pt idx="172">
                    <c:v>12/6/12</c:v>
                  </c:pt>
                  <c:pt idx="173">
                    <c:v>1/10/13</c:v>
                  </c:pt>
                  <c:pt idx="174">
                    <c:v>1/17/13</c:v>
                  </c:pt>
                  <c:pt idx="175">
                    <c:v>1/24/13</c:v>
                  </c:pt>
                  <c:pt idx="176">
                    <c:v>1/31/13</c:v>
                  </c:pt>
                  <c:pt idx="177">
                    <c:v>2/7/13</c:v>
                  </c:pt>
                  <c:pt idx="178">
                    <c:v>2/14/13</c:v>
                  </c:pt>
                  <c:pt idx="179">
                    <c:v>2/21/13</c:v>
                  </c:pt>
                  <c:pt idx="180">
                    <c:v>2/28/13</c:v>
                  </c:pt>
                  <c:pt idx="181">
                    <c:v>3/7/13</c:v>
                  </c:pt>
                  <c:pt idx="182">
                    <c:v>3/14/13</c:v>
                  </c:pt>
                  <c:pt idx="183">
                    <c:v>3/21/13</c:v>
                  </c:pt>
                  <c:pt idx="184">
                    <c:v>4/4/13</c:v>
                  </c:pt>
                  <c:pt idx="185">
                    <c:v>4/11/13</c:v>
                  </c:pt>
                  <c:pt idx="186">
                    <c:v>4/18/13</c:v>
                  </c:pt>
                  <c:pt idx="187">
                    <c:v>4/25/13</c:v>
                  </c:pt>
                  <c:pt idx="188">
                    <c:v>5/2/13</c:v>
                  </c:pt>
                  <c:pt idx="189">
                    <c:v>5/9/13</c:v>
                  </c:pt>
                  <c:pt idx="190">
                    <c:v>5/16/13</c:v>
                  </c:pt>
                  <c:pt idx="191">
                    <c:v>9/26/13</c:v>
                  </c:pt>
                  <c:pt idx="192">
                    <c:v>10/3/13</c:v>
                  </c:pt>
                  <c:pt idx="193">
                    <c:v>10/10/13</c:v>
                  </c:pt>
                  <c:pt idx="194">
                    <c:v>10/17/13</c:v>
                  </c:pt>
                  <c:pt idx="195">
                    <c:v>11/14/13</c:v>
                  </c:pt>
                  <c:pt idx="196">
                    <c:v>11/21/13</c:v>
                  </c:pt>
                  <c:pt idx="197">
                    <c:v>1/2/14</c:v>
                  </c:pt>
                  <c:pt idx="198">
                    <c:v>1/9/14</c:v>
                  </c:pt>
                  <c:pt idx="199">
                    <c:v>1/16/14</c:v>
                  </c:pt>
                  <c:pt idx="200">
                    <c:v>1/23/14</c:v>
                  </c:pt>
                  <c:pt idx="201">
                    <c:v>1/30/14</c:v>
                  </c:pt>
                  <c:pt idx="202">
                    <c:v>2/27/14</c:v>
                  </c:pt>
                  <c:pt idx="203">
                    <c:v>3/6/14</c:v>
                  </c:pt>
                  <c:pt idx="204">
                    <c:v>3/13/14</c:v>
                  </c:pt>
                  <c:pt idx="205">
                    <c:v>3/20/14</c:v>
                  </c:pt>
                  <c:pt idx="206">
                    <c:v>4/3/14</c:v>
                  </c:pt>
                  <c:pt idx="207">
                    <c:v>4/10/14</c:v>
                  </c:pt>
                  <c:pt idx="208">
                    <c:v>4/17/14</c:v>
                  </c:pt>
                  <c:pt idx="209">
                    <c:v>4/24/14</c:v>
                  </c:pt>
                </c:lvl>
                <c:lvl>
                  <c:pt idx="0">
                    <c:v>2005</c:v>
                  </c:pt>
                  <c:pt idx="1">
                    <c:v>2006</c:v>
                  </c:pt>
                  <c:pt idx="24">
                    <c:v>2007</c:v>
                  </c:pt>
                  <c:pt idx="51">
                    <c:v>2008</c:v>
                  </c:pt>
                  <c:pt idx="68">
                    <c:v>2009</c:v>
                  </c:pt>
                  <c:pt idx="96">
                    <c:v>2010</c:v>
                  </c:pt>
                  <c:pt idx="120">
                    <c:v>2011</c:v>
                  </c:pt>
                  <c:pt idx="144">
                    <c:v>2012</c:v>
                  </c:pt>
                  <c:pt idx="173">
                    <c:v>2013</c:v>
                  </c:pt>
                  <c:pt idx="197">
                    <c:v>2014</c:v>
                  </c:pt>
                </c:lvl>
              </c:multiLvlStrCache>
            </c:multiLvlStrRef>
          </c:cat>
          <c:val>
            <c:numRef>
              <c:f>Graphs!$R$66:$R$286</c:f>
              <c:numCache>
                <c:formatCode>General</c:formatCode>
                <c:ptCount val="210"/>
                <c:pt idx="23">
                  <c:v>8.44</c:v>
                </c:pt>
                <c:pt idx="33">
                  <c:v>5.4</c:v>
                </c:pt>
                <c:pt idx="34">
                  <c:v>5.0999999999999996</c:v>
                </c:pt>
                <c:pt idx="35">
                  <c:v>5.2</c:v>
                </c:pt>
                <c:pt idx="36">
                  <c:v>4.7</c:v>
                </c:pt>
                <c:pt idx="39">
                  <c:v>7.88</c:v>
                </c:pt>
                <c:pt idx="40">
                  <c:v>9.6999999999999993</c:v>
                </c:pt>
                <c:pt idx="41">
                  <c:v>8.49</c:v>
                </c:pt>
                <c:pt idx="42">
                  <c:v>8.91</c:v>
                </c:pt>
                <c:pt idx="43">
                  <c:v>8.5</c:v>
                </c:pt>
                <c:pt idx="44">
                  <c:v>8.98</c:v>
                </c:pt>
                <c:pt idx="45">
                  <c:v>8.39</c:v>
                </c:pt>
                <c:pt idx="46">
                  <c:v>8.2899999999999991</c:v>
                </c:pt>
                <c:pt idx="47">
                  <c:v>8.86</c:v>
                </c:pt>
                <c:pt idx="50">
                  <c:v>5.6</c:v>
                </c:pt>
                <c:pt idx="52">
                  <c:v>9.2200000000000006</c:v>
                </c:pt>
                <c:pt idx="53">
                  <c:v>9.81</c:v>
                </c:pt>
                <c:pt idx="54">
                  <c:v>7.56</c:v>
                </c:pt>
                <c:pt idx="55">
                  <c:v>7.67</c:v>
                </c:pt>
                <c:pt idx="56">
                  <c:v>7.22</c:v>
                </c:pt>
                <c:pt idx="57">
                  <c:v>8.07</c:v>
                </c:pt>
                <c:pt idx="58">
                  <c:v>9.1999999999999993</c:v>
                </c:pt>
                <c:pt idx="59">
                  <c:v>8.99</c:v>
                </c:pt>
                <c:pt idx="60">
                  <c:v>8.07</c:v>
                </c:pt>
                <c:pt idx="61">
                  <c:v>7.74</c:v>
                </c:pt>
                <c:pt idx="62">
                  <c:v>9.32</c:v>
                </c:pt>
                <c:pt idx="63">
                  <c:v>8.35</c:v>
                </c:pt>
                <c:pt idx="64">
                  <c:v>8.18</c:v>
                </c:pt>
                <c:pt idx="65">
                  <c:v>8.4</c:v>
                </c:pt>
                <c:pt idx="66">
                  <c:v>8.33</c:v>
                </c:pt>
                <c:pt idx="67">
                  <c:v>8.7899999999999991</c:v>
                </c:pt>
                <c:pt idx="69">
                  <c:v>8.5</c:v>
                </c:pt>
                <c:pt idx="70">
                  <c:v>8.74</c:v>
                </c:pt>
                <c:pt idx="71">
                  <c:v>8.39</c:v>
                </c:pt>
                <c:pt idx="72">
                  <c:v>8.89</c:v>
                </c:pt>
                <c:pt idx="74">
                  <c:v>8.6300000000000008</c:v>
                </c:pt>
                <c:pt idx="75">
                  <c:v>7.51</c:v>
                </c:pt>
                <c:pt idx="76">
                  <c:v>7.95</c:v>
                </c:pt>
                <c:pt idx="77">
                  <c:v>8.4499999999999993</c:v>
                </c:pt>
                <c:pt idx="78">
                  <c:v>15.14</c:v>
                </c:pt>
                <c:pt idx="79">
                  <c:v>8.24</c:v>
                </c:pt>
                <c:pt idx="80">
                  <c:v>7.21</c:v>
                </c:pt>
                <c:pt idx="81">
                  <c:v>7.31</c:v>
                </c:pt>
                <c:pt idx="82">
                  <c:v>7.71</c:v>
                </c:pt>
                <c:pt idx="83">
                  <c:v>6.72</c:v>
                </c:pt>
                <c:pt idx="84">
                  <c:v>8.1999999999999993</c:v>
                </c:pt>
                <c:pt idx="85">
                  <c:v>7.33</c:v>
                </c:pt>
                <c:pt idx="86">
                  <c:v>7.28</c:v>
                </c:pt>
                <c:pt idx="87">
                  <c:v>9.42</c:v>
                </c:pt>
                <c:pt idx="88">
                  <c:v>8.1</c:v>
                </c:pt>
                <c:pt idx="89">
                  <c:v>8.52</c:v>
                </c:pt>
                <c:pt idx="90">
                  <c:v>8.1999999999999993</c:v>
                </c:pt>
                <c:pt idx="91">
                  <c:v>7.94</c:v>
                </c:pt>
                <c:pt idx="92">
                  <c:v>7.76</c:v>
                </c:pt>
                <c:pt idx="93">
                  <c:v>7.43</c:v>
                </c:pt>
                <c:pt idx="94">
                  <c:v>8.1</c:v>
                </c:pt>
                <c:pt idx="95">
                  <c:v>8.51</c:v>
                </c:pt>
                <c:pt idx="96">
                  <c:v>5.12</c:v>
                </c:pt>
                <c:pt idx="97">
                  <c:v>7.29</c:v>
                </c:pt>
                <c:pt idx="98">
                  <c:v>7.36</c:v>
                </c:pt>
                <c:pt idx="99">
                  <c:v>7.4</c:v>
                </c:pt>
                <c:pt idx="100">
                  <c:v>9</c:v>
                </c:pt>
                <c:pt idx="101">
                  <c:v>7.51</c:v>
                </c:pt>
                <c:pt idx="102">
                  <c:v>7.63</c:v>
                </c:pt>
                <c:pt idx="103">
                  <c:v>7.17</c:v>
                </c:pt>
                <c:pt idx="104">
                  <c:v>11.46</c:v>
                </c:pt>
                <c:pt idx="105">
                  <c:v>7.01</c:v>
                </c:pt>
                <c:pt idx="106">
                  <c:v>6.84</c:v>
                </c:pt>
                <c:pt idx="107">
                  <c:v>6.6</c:v>
                </c:pt>
                <c:pt idx="108">
                  <c:v>6.6</c:v>
                </c:pt>
                <c:pt idx="109">
                  <c:v>8.4</c:v>
                </c:pt>
                <c:pt idx="110">
                  <c:v>7.36</c:v>
                </c:pt>
                <c:pt idx="111">
                  <c:v>6.95</c:v>
                </c:pt>
                <c:pt idx="112">
                  <c:v>7.36</c:v>
                </c:pt>
                <c:pt idx="113">
                  <c:v>6.87</c:v>
                </c:pt>
                <c:pt idx="114">
                  <c:v>8.07</c:v>
                </c:pt>
                <c:pt idx="115">
                  <c:v>7.65</c:v>
                </c:pt>
                <c:pt idx="116">
                  <c:v>7.15</c:v>
                </c:pt>
                <c:pt idx="117">
                  <c:v>7.28</c:v>
                </c:pt>
                <c:pt idx="118">
                  <c:v>7.31</c:v>
                </c:pt>
                <c:pt idx="119">
                  <c:v>7.18</c:v>
                </c:pt>
                <c:pt idx="120">
                  <c:v>8.26</c:v>
                </c:pt>
                <c:pt idx="121">
                  <c:v>7.93</c:v>
                </c:pt>
                <c:pt idx="122">
                  <c:v>7.29</c:v>
                </c:pt>
                <c:pt idx="123">
                  <c:v>6.9</c:v>
                </c:pt>
                <c:pt idx="124">
                  <c:v>6.41</c:v>
                </c:pt>
                <c:pt idx="125">
                  <c:v>6.12</c:v>
                </c:pt>
                <c:pt idx="127">
                  <c:v>7.07</c:v>
                </c:pt>
                <c:pt idx="128">
                  <c:v>7.87</c:v>
                </c:pt>
                <c:pt idx="129">
                  <c:v>6.85</c:v>
                </c:pt>
                <c:pt idx="130">
                  <c:v>8.42</c:v>
                </c:pt>
                <c:pt idx="131">
                  <c:v>6.9</c:v>
                </c:pt>
                <c:pt idx="132">
                  <c:v>6.45</c:v>
                </c:pt>
                <c:pt idx="133">
                  <c:v>7.29</c:v>
                </c:pt>
                <c:pt idx="134">
                  <c:v>7.64</c:v>
                </c:pt>
                <c:pt idx="135">
                  <c:v>6.7</c:v>
                </c:pt>
                <c:pt idx="136">
                  <c:v>5.82</c:v>
                </c:pt>
                <c:pt idx="137">
                  <c:v>6.08</c:v>
                </c:pt>
                <c:pt idx="138">
                  <c:v>5.53</c:v>
                </c:pt>
                <c:pt idx="139">
                  <c:v>6.15</c:v>
                </c:pt>
                <c:pt idx="140">
                  <c:v>5.96</c:v>
                </c:pt>
                <c:pt idx="141">
                  <c:v>5.5</c:v>
                </c:pt>
                <c:pt idx="142">
                  <c:v>5.71</c:v>
                </c:pt>
                <c:pt idx="143">
                  <c:v>5.79</c:v>
                </c:pt>
                <c:pt idx="144">
                  <c:v>5.9</c:v>
                </c:pt>
                <c:pt idx="145">
                  <c:v>6.02</c:v>
                </c:pt>
                <c:pt idx="146">
                  <c:v>3.82</c:v>
                </c:pt>
                <c:pt idx="147">
                  <c:v>5.31</c:v>
                </c:pt>
                <c:pt idx="148">
                  <c:v>5.19</c:v>
                </c:pt>
                <c:pt idx="149">
                  <c:v>4.38</c:v>
                </c:pt>
                <c:pt idx="150">
                  <c:v>5.0199999999999996</c:v>
                </c:pt>
                <c:pt idx="151">
                  <c:v>4.95</c:v>
                </c:pt>
                <c:pt idx="152">
                  <c:v>4.8899999999999997</c:v>
                </c:pt>
                <c:pt idx="153">
                  <c:v>4.87</c:v>
                </c:pt>
                <c:pt idx="157">
                  <c:v>4.3899999999999997</c:v>
                </c:pt>
                <c:pt idx="158">
                  <c:v>4.3499999999999996</c:v>
                </c:pt>
                <c:pt idx="159">
                  <c:v>4.17</c:v>
                </c:pt>
                <c:pt idx="160">
                  <c:v>4.4400000000000004</c:v>
                </c:pt>
                <c:pt idx="161">
                  <c:v>4.49</c:v>
                </c:pt>
                <c:pt idx="162">
                  <c:v>2.61</c:v>
                </c:pt>
                <c:pt idx="163">
                  <c:v>4.28</c:v>
                </c:pt>
                <c:pt idx="164">
                  <c:v>4.13</c:v>
                </c:pt>
                <c:pt idx="165">
                  <c:v>4.1399999999999997</c:v>
                </c:pt>
                <c:pt idx="167">
                  <c:v>4.28</c:v>
                </c:pt>
                <c:pt idx="168">
                  <c:v>4</c:v>
                </c:pt>
                <c:pt idx="169">
                  <c:v>4.83</c:v>
                </c:pt>
                <c:pt idx="170">
                  <c:v>4.16</c:v>
                </c:pt>
                <c:pt idx="171">
                  <c:v>3.88</c:v>
                </c:pt>
                <c:pt idx="172">
                  <c:v>4.16</c:v>
                </c:pt>
                <c:pt idx="173">
                  <c:v>4.54</c:v>
                </c:pt>
                <c:pt idx="174">
                  <c:v>4.1500000000000004</c:v>
                </c:pt>
                <c:pt idx="175">
                  <c:v>4.1900000000000004</c:v>
                </c:pt>
                <c:pt idx="176">
                  <c:v>8.42</c:v>
                </c:pt>
                <c:pt idx="177">
                  <c:v>4.1500000000000004</c:v>
                </c:pt>
                <c:pt idx="178">
                  <c:v>4.0599999999999996</c:v>
                </c:pt>
                <c:pt idx="182">
                  <c:v>3.54</c:v>
                </c:pt>
                <c:pt idx="184">
                  <c:v>3.44</c:v>
                </c:pt>
                <c:pt idx="185">
                  <c:v>3.83</c:v>
                </c:pt>
                <c:pt idx="187">
                  <c:v>3.25</c:v>
                </c:pt>
                <c:pt idx="188">
                  <c:v>3.51</c:v>
                </c:pt>
                <c:pt idx="189">
                  <c:v>4.5599999999999996</c:v>
                </c:pt>
                <c:pt idx="190">
                  <c:v>5.69</c:v>
                </c:pt>
                <c:pt idx="209">
                  <c:v>2.71</c:v>
                </c:pt>
              </c:numCache>
            </c:numRef>
          </c:val>
          <c:smooth val="0"/>
          <c:extLst>
            <c:ext xmlns:c16="http://schemas.microsoft.com/office/drawing/2014/chart" uri="{C3380CC4-5D6E-409C-BE32-E72D297353CC}">
              <c16:uniqueId val="{00000003-5890-C743-B858-AE4C4CF83D49}"/>
            </c:ext>
          </c:extLst>
        </c:ser>
        <c:ser>
          <c:idx val="3"/>
          <c:order val="3"/>
          <c:tx>
            <c:strRef>
              <c:f>Graphs!$S$64:$S$65</c:f>
              <c:strCache>
                <c:ptCount val="1"/>
                <c:pt idx="0">
                  <c:v>9:30:00 PM</c:v>
                </c:pt>
              </c:strCache>
            </c:strRef>
          </c:tx>
          <c:spPr>
            <a:ln w="28575" cap="rnd">
              <a:solidFill>
                <a:srgbClr val="71AD47"/>
              </a:solidFill>
              <a:round/>
            </a:ln>
            <a:effectLst/>
          </c:spPr>
          <c:marker>
            <c:symbol val="none"/>
          </c:marker>
          <c:cat>
            <c:multiLvlStrRef>
              <c:f>Graphs!$O$66:$O$286</c:f>
              <c:multiLvlStrCache>
                <c:ptCount val="210"/>
                <c:lvl>
                  <c:pt idx="0">
                    <c:v>3/24/05</c:v>
                  </c:pt>
                  <c:pt idx="1">
                    <c:v>1/5/06</c:v>
                  </c:pt>
                  <c:pt idx="2">
                    <c:v>1/12/06</c:v>
                  </c:pt>
                  <c:pt idx="3">
                    <c:v>1/19/06</c:v>
                  </c:pt>
                  <c:pt idx="4">
                    <c:v>1/26/06</c:v>
                  </c:pt>
                  <c:pt idx="5">
                    <c:v>2/2/06</c:v>
                  </c:pt>
                  <c:pt idx="6">
                    <c:v>2/9/06</c:v>
                  </c:pt>
                  <c:pt idx="7">
                    <c:v>3/2/06</c:v>
                  </c:pt>
                  <c:pt idx="8">
                    <c:v>3/16/06</c:v>
                  </c:pt>
                  <c:pt idx="9">
                    <c:v>3/30/06</c:v>
                  </c:pt>
                  <c:pt idx="10">
                    <c:v>4/27/06</c:v>
                  </c:pt>
                  <c:pt idx="11">
                    <c:v>5/4/06</c:v>
                  </c:pt>
                  <c:pt idx="12">
                    <c:v>5/11/06</c:v>
                  </c:pt>
                  <c:pt idx="13">
                    <c:v>9/21/06</c:v>
                  </c:pt>
                  <c:pt idx="14">
                    <c:v>9/28/06</c:v>
                  </c:pt>
                  <c:pt idx="15">
                    <c:v>10/5/06</c:v>
                  </c:pt>
                  <c:pt idx="16">
                    <c:v>10/12/06</c:v>
                  </c:pt>
                  <c:pt idx="17">
                    <c:v>10/19/06</c:v>
                  </c:pt>
                  <c:pt idx="18">
                    <c:v>11/2/06</c:v>
                  </c:pt>
                  <c:pt idx="19">
                    <c:v>11/9/06</c:v>
                  </c:pt>
                  <c:pt idx="20">
                    <c:v>11/16/06</c:v>
                  </c:pt>
                  <c:pt idx="21">
                    <c:v>11/30/06</c:v>
                  </c:pt>
                  <c:pt idx="22">
                    <c:v>12/7/06</c:v>
                  </c:pt>
                  <c:pt idx="23">
                    <c:v>12/14/06</c:v>
                  </c:pt>
                  <c:pt idx="24">
                    <c:v>1/4/07</c:v>
                  </c:pt>
                  <c:pt idx="25">
                    <c:v>1/11/07</c:v>
                  </c:pt>
                  <c:pt idx="26">
                    <c:v>1/18/07</c:v>
                  </c:pt>
                  <c:pt idx="27">
                    <c:v>2/1/07</c:v>
                  </c:pt>
                  <c:pt idx="28">
                    <c:v>2/8/07</c:v>
                  </c:pt>
                  <c:pt idx="29">
                    <c:v>2/15/07</c:v>
                  </c:pt>
                  <c:pt idx="30">
                    <c:v>2/22/07</c:v>
                  </c:pt>
                  <c:pt idx="31">
                    <c:v>3/1/07</c:v>
                  </c:pt>
                  <c:pt idx="32">
                    <c:v>3/8/07</c:v>
                  </c:pt>
                  <c:pt idx="33">
                    <c:v>4/5/07</c:v>
                  </c:pt>
                  <c:pt idx="34">
                    <c:v>4/12/07</c:v>
                  </c:pt>
                  <c:pt idx="35">
                    <c:v>4/19/07</c:v>
                  </c:pt>
                  <c:pt idx="36">
                    <c:v>4/26/07</c:v>
                  </c:pt>
                  <c:pt idx="37">
                    <c:v>5/3/07</c:v>
                  </c:pt>
                  <c:pt idx="38">
                    <c:v>5/10/07</c:v>
                  </c:pt>
                  <c:pt idx="39">
                    <c:v>5/17/07</c:v>
                  </c:pt>
                  <c:pt idx="40">
                    <c:v>9/27/07</c:v>
                  </c:pt>
                  <c:pt idx="41">
                    <c:v>10/4/07</c:v>
                  </c:pt>
                  <c:pt idx="42">
                    <c:v>10/11/07</c:v>
                  </c:pt>
                  <c:pt idx="43">
                    <c:v>10/18/07</c:v>
                  </c:pt>
                  <c:pt idx="44">
                    <c:v>10/25/07</c:v>
                  </c:pt>
                  <c:pt idx="45">
                    <c:v>11/1/07</c:v>
                  </c:pt>
                  <c:pt idx="46">
                    <c:v>11/8/07</c:v>
                  </c:pt>
                  <c:pt idx="47">
                    <c:v>11/15/07</c:v>
                  </c:pt>
                  <c:pt idx="48">
                    <c:v>11/29/07</c:v>
                  </c:pt>
                  <c:pt idx="49">
                    <c:v>12/6/07</c:v>
                  </c:pt>
                  <c:pt idx="50">
                    <c:v>12/13/07</c:v>
                  </c:pt>
                  <c:pt idx="51">
                    <c:v>1/10/08</c:v>
                  </c:pt>
                  <c:pt idx="52">
                    <c:v>4/10/08</c:v>
                  </c:pt>
                  <c:pt idx="53">
                    <c:v>4/17/08</c:v>
                  </c:pt>
                  <c:pt idx="54">
                    <c:v>4/24/08</c:v>
                  </c:pt>
                  <c:pt idx="55">
                    <c:v>5/1/08</c:v>
                  </c:pt>
                  <c:pt idx="56">
                    <c:v>5/8/08</c:v>
                  </c:pt>
                  <c:pt idx="57">
                    <c:v>5/15/08</c:v>
                  </c:pt>
                  <c:pt idx="58">
                    <c:v>9/25/08</c:v>
                  </c:pt>
                  <c:pt idx="59">
                    <c:v>10/9/08</c:v>
                  </c:pt>
                  <c:pt idx="60">
                    <c:v>10/16/08</c:v>
                  </c:pt>
                  <c:pt idx="61">
                    <c:v>10/23/08</c:v>
                  </c:pt>
                  <c:pt idx="62">
                    <c:v>10/30/08</c:v>
                  </c:pt>
                  <c:pt idx="63">
                    <c:v>11/6/08</c:v>
                  </c:pt>
                  <c:pt idx="64">
                    <c:v>11/13/08</c:v>
                  </c:pt>
                  <c:pt idx="65">
                    <c:v>11/20/08</c:v>
                  </c:pt>
                  <c:pt idx="66">
                    <c:v>12/4/08</c:v>
                  </c:pt>
                  <c:pt idx="67">
                    <c:v>12/11/08</c:v>
                  </c:pt>
                  <c:pt idx="68">
                    <c:v>1/8/09</c:v>
                  </c:pt>
                  <c:pt idx="69">
                    <c:v>1/15/09</c:v>
                  </c:pt>
                  <c:pt idx="70">
                    <c:v>1/22/09</c:v>
                  </c:pt>
                  <c:pt idx="71">
                    <c:v>2/5/09</c:v>
                  </c:pt>
                  <c:pt idx="72">
                    <c:v>2/12/09</c:v>
                  </c:pt>
                  <c:pt idx="73">
                    <c:v>2/26/09</c:v>
                  </c:pt>
                  <c:pt idx="74">
                    <c:v>3/5/09</c:v>
                  </c:pt>
                  <c:pt idx="75">
                    <c:v>3/12/09</c:v>
                  </c:pt>
                  <c:pt idx="76">
                    <c:v>3/19/09</c:v>
                  </c:pt>
                  <c:pt idx="77">
                    <c:v>3/26/09</c:v>
                  </c:pt>
                  <c:pt idx="78">
                    <c:v>4/9/09</c:v>
                  </c:pt>
                  <c:pt idx="79">
                    <c:v>4/16/09</c:v>
                  </c:pt>
                  <c:pt idx="80">
                    <c:v>4/23/09</c:v>
                  </c:pt>
                  <c:pt idx="81">
                    <c:v>4/30/09</c:v>
                  </c:pt>
                  <c:pt idx="82">
                    <c:v>5/7/09</c:v>
                  </c:pt>
                  <c:pt idx="83">
                    <c:v>5/14/09</c:v>
                  </c:pt>
                  <c:pt idx="84">
                    <c:v>9/17/09</c:v>
                  </c:pt>
                  <c:pt idx="85">
                    <c:v>9/24/09</c:v>
                  </c:pt>
                  <c:pt idx="86">
                    <c:v>10/1/09</c:v>
                  </c:pt>
                  <c:pt idx="87">
                    <c:v>10/8/09</c:v>
                  </c:pt>
                  <c:pt idx="88">
                    <c:v>10/15/09</c:v>
                  </c:pt>
                  <c:pt idx="89">
                    <c:v>10/22/09</c:v>
                  </c:pt>
                  <c:pt idx="90">
                    <c:v>10/29/09</c:v>
                  </c:pt>
                  <c:pt idx="91">
                    <c:v>11/5/09</c:v>
                  </c:pt>
                  <c:pt idx="92">
                    <c:v>11/12/09</c:v>
                  </c:pt>
                  <c:pt idx="93">
                    <c:v>11/19/09</c:v>
                  </c:pt>
                  <c:pt idx="94">
                    <c:v>12/3/09</c:v>
                  </c:pt>
                  <c:pt idx="95">
                    <c:v>12/10/09</c:v>
                  </c:pt>
                  <c:pt idx="96">
                    <c:v>1/14/10</c:v>
                  </c:pt>
                  <c:pt idx="97">
                    <c:v>1/21/10</c:v>
                  </c:pt>
                  <c:pt idx="98">
                    <c:v>2/4/10</c:v>
                  </c:pt>
                  <c:pt idx="99">
                    <c:v>2/11/10</c:v>
                  </c:pt>
                  <c:pt idx="100">
                    <c:v>3/4/10</c:v>
                  </c:pt>
                  <c:pt idx="101">
                    <c:v>3/11/10</c:v>
                  </c:pt>
                  <c:pt idx="102">
                    <c:v>3/18/10</c:v>
                  </c:pt>
                  <c:pt idx="103">
                    <c:v>3/25/10</c:v>
                  </c:pt>
                  <c:pt idx="104">
                    <c:v>4/22/10</c:v>
                  </c:pt>
                  <c:pt idx="105">
                    <c:v>4/29/10</c:v>
                  </c:pt>
                  <c:pt idx="106">
                    <c:v>5/6/10</c:v>
                  </c:pt>
                  <c:pt idx="107">
                    <c:v>5/13/10</c:v>
                  </c:pt>
                  <c:pt idx="108">
                    <c:v>5/20/10</c:v>
                  </c:pt>
                  <c:pt idx="109">
                    <c:v>9/23/10</c:v>
                  </c:pt>
                  <c:pt idx="110">
                    <c:v>9/30/10</c:v>
                  </c:pt>
                  <c:pt idx="111">
                    <c:v>10/7/10</c:v>
                  </c:pt>
                  <c:pt idx="112">
                    <c:v>10/14/10</c:v>
                  </c:pt>
                  <c:pt idx="113">
                    <c:v>10/21/10</c:v>
                  </c:pt>
                  <c:pt idx="114">
                    <c:v>10/28/10</c:v>
                  </c:pt>
                  <c:pt idx="115">
                    <c:v>11/4/10</c:v>
                  </c:pt>
                  <c:pt idx="116">
                    <c:v>11/11/10</c:v>
                  </c:pt>
                  <c:pt idx="117">
                    <c:v>11/18/10</c:v>
                  </c:pt>
                  <c:pt idx="118">
                    <c:v>12/2/10</c:v>
                  </c:pt>
                  <c:pt idx="119">
                    <c:v>12/9/10</c:v>
                  </c:pt>
                  <c:pt idx="120">
                    <c:v>1/20/11</c:v>
                  </c:pt>
                  <c:pt idx="121">
                    <c:v>1/27/11</c:v>
                  </c:pt>
                  <c:pt idx="122">
                    <c:v>2/3/11</c:v>
                  </c:pt>
                  <c:pt idx="123">
                    <c:v>2/10/11</c:v>
                  </c:pt>
                  <c:pt idx="124">
                    <c:v>2/17/11</c:v>
                  </c:pt>
                  <c:pt idx="125">
                    <c:v>2/24/11</c:v>
                  </c:pt>
                  <c:pt idx="126">
                    <c:v>3/17/11</c:v>
                  </c:pt>
                  <c:pt idx="127">
                    <c:v>3/24/11</c:v>
                  </c:pt>
                  <c:pt idx="128">
                    <c:v>4/14/11</c:v>
                  </c:pt>
                  <c:pt idx="129">
                    <c:v>4/21/11</c:v>
                  </c:pt>
                  <c:pt idx="130">
                    <c:v>4/28/11</c:v>
                  </c:pt>
                  <c:pt idx="131">
                    <c:v>5/5/11</c:v>
                  </c:pt>
                  <c:pt idx="132">
                    <c:v>5/12/11</c:v>
                  </c:pt>
                  <c:pt idx="133">
                    <c:v>5/19/11</c:v>
                  </c:pt>
                  <c:pt idx="134">
                    <c:v>9/22/11</c:v>
                  </c:pt>
                  <c:pt idx="135">
                    <c:v>9/29/11</c:v>
                  </c:pt>
                  <c:pt idx="136">
                    <c:v>10/6/11</c:v>
                  </c:pt>
                  <c:pt idx="137">
                    <c:v>10/13/11</c:v>
                  </c:pt>
                  <c:pt idx="138">
                    <c:v>10/27/11</c:v>
                  </c:pt>
                  <c:pt idx="139">
                    <c:v>11/3/11</c:v>
                  </c:pt>
                  <c:pt idx="140">
                    <c:v>11/10/11</c:v>
                  </c:pt>
                  <c:pt idx="141">
                    <c:v>11/17/11</c:v>
                  </c:pt>
                  <c:pt idx="142">
                    <c:v>12/1/11</c:v>
                  </c:pt>
                  <c:pt idx="143">
                    <c:v>12/8/11</c:v>
                  </c:pt>
                  <c:pt idx="144">
                    <c:v>1/12/12</c:v>
                  </c:pt>
                  <c:pt idx="145">
                    <c:v>1/19/12</c:v>
                  </c:pt>
                  <c:pt idx="146">
                    <c:v>1/26/12</c:v>
                  </c:pt>
                  <c:pt idx="147">
                    <c:v>2/2/12</c:v>
                  </c:pt>
                  <c:pt idx="148">
                    <c:v>2/9/12</c:v>
                  </c:pt>
                  <c:pt idx="149">
                    <c:v>2/16/12</c:v>
                  </c:pt>
                  <c:pt idx="150">
                    <c:v>2/23/12</c:v>
                  </c:pt>
                  <c:pt idx="151">
                    <c:v>3/1/12</c:v>
                  </c:pt>
                  <c:pt idx="152">
                    <c:v>3/8/12</c:v>
                  </c:pt>
                  <c:pt idx="153">
                    <c:v>3/15/12</c:v>
                  </c:pt>
                  <c:pt idx="154">
                    <c:v>3/22/12</c:v>
                  </c:pt>
                  <c:pt idx="155">
                    <c:v>3/29/12</c:v>
                  </c:pt>
                  <c:pt idx="156">
                    <c:v>4/5/12</c:v>
                  </c:pt>
                  <c:pt idx="157">
                    <c:v>4/12/12</c:v>
                  </c:pt>
                  <c:pt idx="158">
                    <c:v>4/19/12</c:v>
                  </c:pt>
                  <c:pt idx="159">
                    <c:v>4/26/12</c:v>
                  </c:pt>
                  <c:pt idx="160">
                    <c:v>5/3/12</c:v>
                  </c:pt>
                  <c:pt idx="161">
                    <c:v>5/10/12</c:v>
                  </c:pt>
                  <c:pt idx="162">
                    <c:v>5/17/12</c:v>
                  </c:pt>
                  <c:pt idx="163">
                    <c:v>9/20/12</c:v>
                  </c:pt>
                  <c:pt idx="164">
                    <c:v>9/27/12</c:v>
                  </c:pt>
                  <c:pt idx="165">
                    <c:v>10/4/12</c:v>
                  </c:pt>
                  <c:pt idx="166">
                    <c:v>10/11/12</c:v>
                  </c:pt>
                  <c:pt idx="167">
                    <c:v>10/18/12</c:v>
                  </c:pt>
                  <c:pt idx="168">
                    <c:v>10/25/12</c:v>
                  </c:pt>
                  <c:pt idx="169">
                    <c:v>11/8/12</c:v>
                  </c:pt>
                  <c:pt idx="170">
                    <c:v>11/15/12</c:v>
                  </c:pt>
                  <c:pt idx="171">
                    <c:v>11/29/12</c:v>
                  </c:pt>
                  <c:pt idx="172">
                    <c:v>12/6/12</c:v>
                  </c:pt>
                  <c:pt idx="173">
                    <c:v>1/10/13</c:v>
                  </c:pt>
                  <c:pt idx="174">
                    <c:v>1/17/13</c:v>
                  </c:pt>
                  <c:pt idx="175">
                    <c:v>1/24/13</c:v>
                  </c:pt>
                  <c:pt idx="176">
                    <c:v>1/31/13</c:v>
                  </c:pt>
                  <c:pt idx="177">
                    <c:v>2/7/13</c:v>
                  </c:pt>
                  <c:pt idx="178">
                    <c:v>2/14/13</c:v>
                  </c:pt>
                  <c:pt idx="179">
                    <c:v>2/21/13</c:v>
                  </c:pt>
                  <c:pt idx="180">
                    <c:v>2/28/13</c:v>
                  </c:pt>
                  <c:pt idx="181">
                    <c:v>3/7/13</c:v>
                  </c:pt>
                  <c:pt idx="182">
                    <c:v>3/14/13</c:v>
                  </c:pt>
                  <c:pt idx="183">
                    <c:v>3/21/13</c:v>
                  </c:pt>
                  <c:pt idx="184">
                    <c:v>4/4/13</c:v>
                  </c:pt>
                  <c:pt idx="185">
                    <c:v>4/11/13</c:v>
                  </c:pt>
                  <c:pt idx="186">
                    <c:v>4/18/13</c:v>
                  </c:pt>
                  <c:pt idx="187">
                    <c:v>4/25/13</c:v>
                  </c:pt>
                  <c:pt idx="188">
                    <c:v>5/2/13</c:v>
                  </c:pt>
                  <c:pt idx="189">
                    <c:v>5/9/13</c:v>
                  </c:pt>
                  <c:pt idx="190">
                    <c:v>5/16/13</c:v>
                  </c:pt>
                  <c:pt idx="191">
                    <c:v>9/26/13</c:v>
                  </c:pt>
                  <c:pt idx="192">
                    <c:v>10/3/13</c:v>
                  </c:pt>
                  <c:pt idx="193">
                    <c:v>10/10/13</c:v>
                  </c:pt>
                  <c:pt idx="194">
                    <c:v>10/17/13</c:v>
                  </c:pt>
                  <c:pt idx="195">
                    <c:v>11/14/13</c:v>
                  </c:pt>
                  <c:pt idx="196">
                    <c:v>11/21/13</c:v>
                  </c:pt>
                  <c:pt idx="197">
                    <c:v>1/2/14</c:v>
                  </c:pt>
                  <c:pt idx="198">
                    <c:v>1/9/14</c:v>
                  </c:pt>
                  <c:pt idx="199">
                    <c:v>1/16/14</c:v>
                  </c:pt>
                  <c:pt idx="200">
                    <c:v>1/23/14</c:v>
                  </c:pt>
                  <c:pt idx="201">
                    <c:v>1/30/14</c:v>
                  </c:pt>
                  <c:pt idx="202">
                    <c:v>2/27/14</c:v>
                  </c:pt>
                  <c:pt idx="203">
                    <c:v>3/6/14</c:v>
                  </c:pt>
                  <c:pt idx="204">
                    <c:v>3/13/14</c:v>
                  </c:pt>
                  <c:pt idx="205">
                    <c:v>3/20/14</c:v>
                  </c:pt>
                  <c:pt idx="206">
                    <c:v>4/3/14</c:v>
                  </c:pt>
                  <c:pt idx="207">
                    <c:v>4/10/14</c:v>
                  </c:pt>
                  <c:pt idx="208">
                    <c:v>4/17/14</c:v>
                  </c:pt>
                  <c:pt idx="209">
                    <c:v>4/24/14</c:v>
                  </c:pt>
                </c:lvl>
                <c:lvl>
                  <c:pt idx="0">
                    <c:v>2005</c:v>
                  </c:pt>
                  <c:pt idx="1">
                    <c:v>2006</c:v>
                  </c:pt>
                  <c:pt idx="24">
                    <c:v>2007</c:v>
                  </c:pt>
                  <c:pt idx="51">
                    <c:v>2008</c:v>
                  </c:pt>
                  <c:pt idx="68">
                    <c:v>2009</c:v>
                  </c:pt>
                  <c:pt idx="96">
                    <c:v>2010</c:v>
                  </c:pt>
                  <c:pt idx="120">
                    <c:v>2011</c:v>
                  </c:pt>
                  <c:pt idx="144">
                    <c:v>2012</c:v>
                  </c:pt>
                  <c:pt idx="173">
                    <c:v>2013</c:v>
                  </c:pt>
                  <c:pt idx="197">
                    <c:v>2014</c:v>
                  </c:pt>
                </c:lvl>
              </c:multiLvlStrCache>
            </c:multiLvlStrRef>
          </c:cat>
          <c:val>
            <c:numRef>
              <c:f>Graphs!$S$66:$S$286</c:f>
              <c:numCache>
                <c:formatCode>General</c:formatCode>
                <c:ptCount val="210"/>
                <c:pt idx="0">
                  <c:v>11.2</c:v>
                </c:pt>
                <c:pt idx="1">
                  <c:v>8.6999999999999993</c:v>
                </c:pt>
                <c:pt idx="2">
                  <c:v>10.3</c:v>
                </c:pt>
                <c:pt idx="3">
                  <c:v>8.6999999999999993</c:v>
                </c:pt>
                <c:pt idx="4">
                  <c:v>8.6</c:v>
                </c:pt>
                <c:pt idx="5">
                  <c:v>5.42</c:v>
                </c:pt>
                <c:pt idx="6">
                  <c:v>8.9499999999999993</c:v>
                </c:pt>
                <c:pt idx="7">
                  <c:v>8.4</c:v>
                </c:pt>
                <c:pt idx="8">
                  <c:v>8.8000000000000007</c:v>
                </c:pt>
                <c:pt idx="9">
                  <c:v>7.8</c:v>
                </c:pt>
                <c:pt idx="10">
                  <c:v>7.8</c:v>
                </c:pt>
                <c:pt idx="11">
                  <c:v>7.4</c:v>
                </c:pt>
                <c:pt idx="12">
                  <c:v>7.6</c:v>
                </c:pt>
                <c:pt idx="20">
                  <c:v>5.2</c:v>
                </c:pt>
                <c:pt idx="21">
                  <c:v>6</c:v>
                </c:pt>
                <c:pt idx="22">
                  <c:v>6.8</c:v>
                </c:pt>
                <c:pt idx="23">
                  <c:v>5.9</c:v>
                </c:pt>
                <c:pt idx="24">
                  <c:v>5.9</c:v>
                </c:pt>
                <c:pt idx="25">
                  <c:v>6.1</c:v>
                </c:pt>
                <c:pt idx="26">
                  <c:v>5</c:v>
                </c:pt>
                <c:pt idx="27">
                  <c:v>5.7</c:v>
                </c:pt>
                <c:pt idx="28">
                  <c:v>5.2</c:v>
                </c:pt>
                <c:pt idx="29">
                  <c:v>5</c:v>
                </c:pt>
                <c:pt idx="30">
                  <c:v>4.5999999999999996</c:v>
                </c:pt>
                <c:pt idx="31">
                  <c:v>5.7</c:v>
                </c:pt>
                <c:pt idx="32">
                  <c:v>5.2</c:v>
                </c:pt>
                <c:pt idx="40">
                  <c:v>9.6999999999999993</c:v>
                </c:pt>
                <c:pt idx="41">
                  <c:v>8.49</c:v>
                </c:pt>
                <c:pt idx="42">
                  <c:v>8.91</c:v>
                </c:pt>
                <c:pt idx="43">
                  <c:v>8.5</c:v>
                </c:pt>
                <c:pt idx="54">
                  <c:v>5.5</c:v>
                </c:pt>
                <c:pt idx="55">
                  <c:v>5.4</c:v>
                </c:pt>
                <c:pt idx="56">
                  <c:v>5.6</c:v>
                </c:pt>
                <c:pt idx="57">
                  <c:v>8.07</c:v>
                </c:pt>
                <c:pt idx="58">
                  <c:v>9.1999999999999993</c:v>
                </c:pt>
                <c:pt idx="62">
                  <c:v>8.6999999999999993</c:v>
                </c:pt>
                <c:pt idx="63">
                  <c:v>8</c:v>
                </c:pt>
                <c:pt idx="64">
                  <c:v>7.5</c:v>
                </c:pt>
                <c:pt idx="65">
                  <c:v>7.3</c:v>
                </c:pt>
                <c:pt idx="66">
                  <c:v>7.1</c:v>
                </c:pt>
                <c:pt idx="67">
                  <c:v>8.9</c:v>
                </c:pt>
                <c:pt idx="68">
                  <c:v>5.4</c:v>
                </c:pt>
                <c:pt idx="69">
                  <c:v>6.6</c:v>
                </c:pt>
                <c:pt idx="70">
                  <c:v>6.4</c:v>
                </c:pt>
                <c:pt idx="71">
                  <c:v>6.4</c:v>
                </c:pt>
                <c:pt idx="72">
                  <c:v>7.6</c:v>
                </c:pt>
                <c:pt idx="73">
                  <c:v>6.4</c:v>
                </c:pt>
                <c:pt idx="74">
                  <c:v>7.3</c:v>
                </c:pt>
                <c:pt idx="75">
                  <c:v>6.4</c:v>
                </c:pt>
                <c:pt idx="76">
                  <c:v>7.1</c:v>
                </c:pt>
                <c:pt idx="77">
                  <c:v>7.2</c:v>
                </c:pt>
                <c:pt idx="78">
                  <c:v>6.8</c:v>
                </c:pt>
                <c:pt idx="79">
                  <c:v>7.3</c:v>
                </c:pt>
                <c:pt idx="80">
                  <c:v>6.3</c:v>
                </c:pt>
                <c:pt idx="81">
                  <c:v>6</c:v>
                </c:pt>
                <c:pt idx="82">
                  <c:v>6.2</c:v>
                </c:pt>
                <c:pt idx="83">
                  <c:v>5.7</c:v>
                </c:pt>
                <c:pt idx="84">
                  <c:v>7.89</c:v>
                </c:pt>
                <c:pt idx="85">
                  <c:v>5.39</c:v>
                </c:pt>
                <c:pt idx="86">
                  <c:v>5.86</c:v>
                </c:pt>
                <c:pt idx="87">
                  <c:v>9.42</c:v>
                </c:pt>
                <c:pt idx="88">
                  <c:v>6.39</c:v>
                </c:pt>
                <c:pt idx="89">
                  <c:v>6.68</c:v>
                </c:pt>
                <c:pt idx="90">
                  <c:v>6.01</c:v>
                </c:pt>
                <c:pt idx="91">
                  <c:v>6.15</c:v>
                </c:pt>
                <c:pt idx="92">
                  <c:v>6</c:v>
                </c:pt>
                <c:pt idx="93">
                  <c:v>5.72</c:v>
                </c:pt>
                <c:pt idx="94">
                  <c:v>6.08</c:v>
                </c:pt>
                <c:pt idx="95">
                  <c:v>6.7</c:v>
                </c:pt>
                <c:pt idx="96">
                  <c:v>5.01</c:v>
                </c:pt>
                <c:pt idx="97">
                  <c:v>5.58</c:v>
                </c:pt>
                <c:pt idx="98">
                  <c:v>5.79</c:v>
                </c:pt>
                <c:pt idx="99">
                  <c:v>6</c:v>
                </c:pt>
                <c:pt idx="100">
                  <c:v>9</c:v>
                </c:pt>
                <c:pt idx="101">
                  <c:v>5.89</c:v>
                </c:pt>
                <c:pt idx="102">
                  <c:v>6.79</c:v>
                </c:pt>
                <c:pt idx="103">
                  <c:v>6.25</c:v>
                </c:pt>
                <c:pt idx="105">
                  <c:v>5.44</c:v>
                </c:pt>
                <c:pt idx="106">
                  <c:v>5.42</c:v>
                </c:pt>
                <c:pt idx="107">
                  <c:v>4.96</c:v>
                </c:pt>
                <c:pt idx="108">
                  <c:v>5.45</c:v>
                </c:pt>
                <c:pt idx="119">
                  <c:v>7.18</c:v>
                </c:pt>
                <c:pt idx="120">
                  <c:v>6.14</c:v>
                </c:pt>
                <c:pt idx="121">
                  <c:v>5.83</c:v>
                </c:pt>
                <c:pt idx="122">
                  <c:v>4.95</c:v>
                </c:pt>
                <c:pt idx="123">
                  <c:v>5.03</c:v>
                </c:pt>
                <c:pt idx="124">
                  <c:v>4.33</c:v>
                </c:pt>
                <c:pt idx="125">
                  <c:v>4.59</c:v>
                </c:pt>
                <c:pt idx="126">
                  <c:v>4.08</c:v>
                </c:pt>
                <c:pt idx="127">
                  <c:v>5.15</c:v>
                </c:pt>
                <c:pt idx="128">
                  <c:v>5.16</c:v>
                </c:pt>
                <c:pt idx="129">
                  <c:v>4.88</c:v>
                </c:pt>
                <c:pt idx="130">
                  <c:v>4.71</c:v>
                </c:pt>
                <c:pt idx="131">
                  <c:v>5.0599999999999996</c:v>
                </c:pt>
                <c:pt idx="132">
                  <c:v>4.55</c:v>
                </c:pt>
                <c:pt idx="133">
                  <c:v>7.29</c:v>
                </c:pt>
                <c:pt idx="144">
                  <c:v>4.09</c:v>
                </c:pt>
                <c:pt idx="145">
                  <c:v>4.25</c:v>
                </c:pt>
                <c:pt idx="146">
                  <c:v>7.4700000000000006</c:v>
                </c:pt>
                <c:pt idx="147">
                  <c:v>3.6</c:v>
                </c:pt>
                <c:pt idx="149">
                  <c:v>3.45</c:v>
                </c:pt>
                <c:pt idx="150">
                  <c:v>3.43</c:v>
                </c:pt>
                <c:pt idx="151">
                  <c:v>3.77</c:v>
                </c:pt>
                <c:pt idx="152">
                  <c:v>3.66</c:v>
                </c:pt>
                <c:pt idx="158">
                  <c:v>3.46</c:v>
                </c:pt>
                <c:pt idx="159">
                  <c:v>3.17</c:v>
                </c:pt>
                <c:pt idx="160">
                  <c:v>3.26</c:v>
                </c:pt>
                <c:pt idx="161">
                  <c:v>3.42</c:v>
                </c:pt>
                <c:pt idx="162">
                  <c:v>2.48</c:v>
                </c:pt>
                <c:pt idx="163">
                  <c:v>3.5</c:v>
                </c:pt>
                <c:pt idx="164">
                  <c:v>3.27</c:v>
                </c:pt>
                <c:pt idx="165">
                  <c:v>3.53</c:v>
                </c:pt>
                <c:pt idx="167">
                  <c:v>3.46</c:v>
                </c:pt>
                <c:pt idx="168">
                  <c:v>3.34</c:v>
                </c:pt>
                <c:pt idx="169">
                  <c:v>3.46</c:v>
                </c:pt>
                <c:pt idx="170">
                  <c:v>3.52</c:v>
                </c:pt>
                <c:pt idx="171">
                  <c:v>2.99</c:v>
                </c:pt>
                <c:pt idx="172">
                  <c:v>3.27</c:v>
                </c:pt>
                <c:pt idx="189">
                  <c:v>4.5599999999999996</c:v>
                </c:pt>
                <c:pt idx="190">
                  <c:v>5.69</c:v>
                </c:pt>
              </c:numCache>
            </c:numRef>
          </c:val>
          <c:smooth val="0"/>
          <c:extLst>
            <c:ext xmlns:c16="http://schemas.microsoft.com/office/drawing/2014/chart" uri="{C3380CC4-5D6E-409C-BE32-E72D297353CC}">
              <c16:uniqueId val="{00000004-5890-C743-B858-AE4C4CF83D49}"/>
            </c:ext>
          </c:extLst>
        </c:ser>
        <c:ser>
          <c:idx val="4"/>
          <c:order val="4"/>
          <c:tx>
            <c:strRef>
              <c:f>Graphs!$T$64:$T$65</c:f>
              <c:strCache>
                <c:ptCount val="1"/>
                <c:pt idx="0">
                  <c:v>10:00:00 PM</c:v>
                </c:pt>
              </c:strCache>
            </c:strRef>
          </c:tx>
          <c:spPr>
            <a:ln w="28575" cap="rnd">
              <a:solidFill>
                <a:srgbClr val="458891"/>
              </a:solidFill>
              <a:round/>
            </a:ln>
            <a:effectLst/>
          </c:spPr>
          <c:marker>
            <c:symbol val="none"/>
          </c:marker>
          <c:cat>
            <c:multiLvlStrRef>
              <c:f>Graphs!$O$66:$O$286</c:f>
              <c:multiLvlStrCache>
                <c:ptCount val="210"/>
                <c:lvl>
                  <c:pt idx="0">
                    <c:v>3/24/05</c:v>
                  </c:pt>
                  <c:pt idx="1">
                    <c:v>1/5/06</c:v>
                  </c:pt>
                  <c:pt idx="2">
                    <c:v>1/12/06</c:v>
                  </c:pt>
                  <c:pt idx="3">
                    <c:v>1/19/06</c:v>
                  </c:pt>
                  <c:pt idx="4">
                    <c:v>1/26/06</c:v>
                  </c:pt>
                  <c:pt idx="5">
                    <c:v>2/2/06</c:v>
                  </c:pt>
                  <c:pt idx="6">
                    <c:v>2/9/06</c:v>
                  </c:pt>
                  <c:pt idx="7">
                    <c:v>3/2/06</c:v>
                  </c:pt>
                  <c:pt idx="8">
                    <c:v>3/16/06</c:v>
                  </c:pt>
                  <c:pt idx="9">
                    <c:v>3/30/06</c:v>
                  </c:pt>
                  <c:pt idx="10">
                    <c:v>4/27/06</c:v>
                  </c:pt>
                  <c:pt idx="11">
                    <c:v>5/4/06</c:v>
                  </c:pt>
                  <c:pt idx="12">
                    <c:v>5/11/06</c:v>
                  </c:pt>
                  <c:pt idx="13">
                    <c:v>9/21/06</c:v>
                  </c:pt>
                  <c:pt idx="14">
                    <c:v>9/28/06</c:v>
                  </c:pt>
                  <c:pt idx="15">
                    <c:v>10/5/06</c:v>
                  </c:pt>
                  <c:pt idx="16">
                    <c:v>10/12/06</c:v>
                  </c:pt>
                  <c:pt idx="17">
                    <c:v>10/19/06</c:v>
                  </c:pt>
                  <c:pt idx="18">
                    <c:v>11/2/06</c:v>
                  </c:pt>
                  <c:pt idx="19">
                    <c:v>11/9/06</c:v>
                  </c:pt>
                  <c:pt idx="20">
                    <c:v>11/16/06</c:v>
                  </c:pt>
                  <c:pt idx="21">
                    <c:v>11/30/06</c:v>
                  </c:pt>
                  <c:pt idx="22">
                    <c:v>12/7/06</c:v>
                  </c:pt>
                  <c:pt idx="23">
                    <c:v>12/14/06</c:v>
                  </c:pt>
                  <c:pt idx="24">
                    <c:v>1/4/07</c:v>
                  </c:pt>
                  <c:pt idx="25">
                    <c:v>1/11/07</c:v>
                  </c:pt>
                  <c:pt idx="26">
                    <c:v>1/18/07</c:v>
                  </c:pt>
                  <c:pt idx="27">
                    <c:v>2/1/07</c:v>
                  </c:pt>
                  <c:pt idx="28">
                    <c:v>2/8/07</c:v>
                  </c:pt>
                  <c:pt idx="29">
                    <c:v>2/15/07</c:v>
                  </c:pt>
                  <c:pt idx="30">
                    <c:v>2/22/07</c:v>
                  </c:pt>
                  <c:pt idx="31">
                    <c:v>3/1/07</c:v>
                  </c:pt>
                  <c:pt idx="32">
                    <c:v>3/8/07</c:v>
                  </c:pt>
                  <c:pt idx="33">
                    <c:v>4/5/07</c:v>
                  </c:pt>
                  <c:pt idx="34">
                    <c:v>4/12/07</c:v>
                  </c:pt>
                  <c:pt idx="35">
                    <c:v>4/19/07</c:v>
                  </c:pt>
                  <c:pt idx="36">
                    <c:v>4/26/07</c:v>
                  </c:pt>
                  <c:pt idx="37">
                    <c:v>5/3/07</c:v>
                  </c:pt>
                  <c:pt idx="38">
                    <c:v>5/10/07</c:v>
                  </c:pt>
                  <c:pt idx="39">
                    <c:v>5/17/07</c:v>
                  </c:pt>
                  <c:pt idx="40">
                    <c:v>9/27/07</c:v>
                  </c:pt>
                  <c:pt idx="41">
                    <c:v>10/4/07</c:v>
                  </c:pt>
                  <c:pt idx="42">
                    <c:v>10/11/07</c:v>
                  </c:pt>
                  <c:pt idx="43">
                    <c:v>10/18/07</c:v>
                  </c:pt>
                  <c:pt idx="44">
                    <c:v>10/25/07</c:v>
                  </c:pt>
                  <c:pt idx="45">
                    <c:v>11/1/07</c:v>
                  </c:pt>
                  <c:pt idx="46">
                    <c:v>11/8/07</c:v>
                  </c:pt>
                  <c:pt idx="47">
                    <c:v>11/15/07</c:v>
                  </c:pt>
                  <c:pt idx="48">
                    <c:v>11/29/07</c:v>
                  </c:pt>
                  <c:pt idx="49">
                    <c:v>12/6/07</c:v>
                  </c:pt>
                  <c:pt idx="50">
                    <c:v>12/13/07</c:v>
                  </c:pt>
                  <c:pt idx="51">
                    <c:v>1/10/08</c:v>
                  </c:pt>
                  <c:pt idx="52">
                    <c:v>4/10/08</c:v>
                  </c:pt>
                  <c:pt idx="53">
                    <c:v>4/17/08</c:v>
                  </c:pt>
                  <c:pt idx="54">
                    <c:v>4/24/08</c:v>
                  </c:pt>
                  <c:pt idx="55">
                    <c:v>5/1/08</c:v>
                  </c:pt>
                  <c:pt idx="56">
                    <c:v>5/8/08</c:v>
                  </c:pt>
                  <c:pt idx="57">
                    <c:v>5/15/08</c:v>
                  </c:pt>
                  <c:pt idx="58">
                    <c:v>9/25/08</c:v>
                  </c:pt>
                  <c:pt idx="59">
                    <c:v>10/9/08</c:v>
                  </c:pt>
                  <c:pt idx="60">
                    <c:v>10/16/08</c:v>
                  </c:pt>
                  <c:pt idx="61">
                    <c:v>10/23/08</c:v>
                  </c:pt>
                  <c:pt idx="62">
                    <c:v>10/30/08</c:v>
                  </c:pt>
                  <c:pt idx="63">
                    <c:v>11/6/08</c:v>
                  </c:pt>
                  <c:pt idx="64">
                    <c:v>11/13/08</c:v>
                  </c:pt>
                  <c:pt idx="65">
                    <c:v>11/20/08</c:v>
                  </c:pt>
                  <c:pt idx="66">
                    <c:v>12/4/08</c:v>
                  </c:pt>
                  <c:pt idx="67">
                    <c:v>12/11/08</c:v>
                  </c:pt>
                  <c:pt idx="68">
                    <c:v>1/8/09</c:v>
                  </c:pt>
                  <c:pt idx="69">
                    <c:v>1/15/09</c:v>
                  </c:pt>
                  <c:pt idx="70">
                    <c:v>1/22/09</c:v>
                  </c:pt>
                  <c:pt idx="71">
                    <c:v>2/5/09</c:v>
                  </c:pt>
                  <c:pt idx="72">
                    <c:v>2/12/09</c:v>
                  </c:pt>
                  <c:pt idx="73">
                    <c:v>2/26/09</c:v>
                  </c:pt>
                  <c:pt idx="74">
                    <c:v>3/5/09</c:v>
                  </c:pt>
                  <c:pt idx="75">
                    <c:v>3/12/09</c:v>
                  </c:pt>
                  <c:pt idx="76">
                    <c:v>3/19/09</c:v>
                  </c:pt>
                  <c:pt idx="77">
                    <c:v>3/26/09</c:v>
                  </c:pt>
                  <c:pt idx="78">
                    <c:v>4/9/09</c:v>
                  </c:pt>
                  <c:pt idx="79">
                    <c:v>4/16/09</c:v>
                  </c:pt>
                  <c:pt idx="80">
                    <c:v>4/23/09</c:v>
                  </c:pt>
                  <c:pt idx="81">
                    <c:v>4/30/09</c:v>
                  </c:pt>
                  <c:pt idx="82">
                    <c:v>5/7/09</c:v>
                  </c:pt>
                  <c:pt idx="83">
                    <c:v>5/14/09</c:v>
                  </c:pt>
                  <c:pt idx="84">
                    <c:v>9/17/09</c:v>
                  </c:pt>
                  <c:pt idx="85">
                    <c:v>9/24/09</c:v>
                  </c:pt>
                  <c:pt idx="86">
                    <c:v>10/1/09</c:v>
                  </c:pt>
                  <c:pt idx="87">
                    <c:v>10/8/09</c:v>
                  </c:pt>
                  <c:pt idx="88">
                    <c:v>10/15/09</c:v>
                  </c:pt>
                  <c:pt idx="89">
                    <c:v>10/22/09</c:v>
                  </c:pt>
                  <c:pt idx="90">
                    <c:v>10/29/09</c:v>
                  </c:pt>
                  <c:pt idx="91">
                    <c:v>11/5/09</c:v>
                  </c:pt>
                  <c:pt idx="92">
                    <c:v>11/12/09</c:v>
                  </c:pt>
                  <c:pt idx="93">
                    <c:v>11/19/09</c:v>
                  </c:pt>
                  <c:pt idx="94">
                    <c:v>12/3/09</c:v>
                  </c:pt>
                  <c:pt idx="95">
                    <c:v>12/10/09</c:v>
                  </c:pt>
                  <c:pt idx="96">
                    <c:v>1/14/10</c:v>
                  </c:pt>
                  <c:pt idx="97">
                    <c:v>1/21/10</c:v>
                  </c:pt>
                  <c:pt idx="98">
                    <c:v>2/4/10</c:v>
                  </c:pt>
                  <c:pt idx="99">
                    <c:v>2/11/10</c:v>
                  </c:pt>
                  <c:pt idx="100">
                    <c:v>3/4/10</c:v>
                  </c:pt>
                  <c:pt idx="101">
                    <c:v>3/11/10</c:v>
                  </c:pt>
                  <c:pt idx="102">
                    <c:v>3/18/10</c:v>
                  </c:pt>
                  <c:pt idx="103">
                    <c:v>3/25/10</c:v>
                  </c:pt>
                  <c:pt idx="104">
                    <c:v>4/22/10</c:v>
                  </c:pt>
                  <c:pt idx="105">
                    <c:v>4/29/10</c:v>
                  </c:pt>
                  <c:pt idx="106">
                    <c:v>5/6/10</c:v>
                  </c:pt>
                  <c:pt idx="107">
                    <c:v>5/13/10</c:v>
                  </c:pt>
                  <c:pt idx="108">
                    <c:v>5/20/10</c:v>
                  </c:pt>
                  <c:pt idx="109">
                    <c:v>9/23/10</c:v>
                  </c:pt>
                  <c:pt idx="110">
                    <c:v>9/30/10</c:v>
                  </c:pt>
                  <c:pt idx="111">
                    <c:v>10/7/10</c:v>
                  </c:pt>
                  <c:pt idx="112">
                    <c:v>10/14/10</c:v>
                  </c:pt>
                  <c:pt idx="113">
                    <c:v>10/21/10</c:v>
                  </c:pt>
                  <c:pt idx="114">
                    <c:v>10/28/10</c:v>
                  </c:pt>
                  <c:pt idx="115">
                    <c:v>11/4/10</c:v>
                  </c:pt>
                  <c:pt idx="116">
                    <c:v>11/11/10</c:v>
                  </c:pt>
                  <c:pt idx="117">
                    <c:v>11/18/10</c:v>
                  </c:pt>
                  <c:pt idx="118">
                    <c:v>12/2/10</c:v>
                  </c:pt>
                  <c:pt idx="119">
                    <c:v>12/9/10</c:v>
                  </c:pt>
                  <c:pt idx="120">
                    <c:v>1/20/11</c:v>
                  </c:pt>
                  <c:pt idx="121">
                    <c:v>1/27/11</c:v>
                  </c:pt>
                  <c:pt idx="122">
                    <c:v>2/3/11</c:v>
                  </c:pt>
                  <c:pt idx="123">
                    <c:v>2/10/11</c:v>
                  </c:pt>
                  <c:pt idx="124">
                    <c:v>2/17/11</c:v>
                  </c:pt>
                  <c:pt idx="125">
                    <c:v>2/24/11</c:v>
                  </c:pt>
                  <c:pt idx="126">
                    <c:v>3/17/11</c:v>
                  </c:pt>
                  <c:pt idx="127">
                    <c:v>3/24/11</c:v>
                  </c:pt>
                  <c:pt idx="128">
                    <c:v>4/14/11</c:v>
                  </c:pt>
                  <c:pt idx="129">
                    <c:v>4/21/11</c:v>
                  </c:pt>
                  <c:pt idx="130">
                    <c:v>4/28/11</c:v>
                  </c:pt>
                  <c:pt idx="131">
                    <c:v>5/5/11</c:v>
                  </c:pt>
                  <c:pt idx="132">
                    <c:v>5/12/11</c:v>
                  </c:pt>
                  <c:pt idx="133">
                    <c:v>5/19/11</c:v>
                  </c:pt>
                  <c:pt idx="134">
                    <c:v>9/22/11</c:v>
                  </c:pt>
                  <c:pt idx="135">
                    <c:v>9/29/11</c:v>
                  </c:pt>
                  <c:pt idx="136">
                    <c:v>10/6/11</c:v>
                  </c:pt>
                  <c:pt idx="137">
                    <c:v>10/13/11</c:v>
                  </c:pt>
                  <c:pt idx="138">
                    <c:v>10/27/11</c:v>
                  </c:pt>
                  <c:pt idx="139">
                    <c:v>11/3/11</c:v>
                  </c:pt>
                  <c:pt idx="140">
                    <c:v>11/10/11</c:v>
                  </c:pt>
                  <c:pt idx="141">
                    <c:v>11/17/11</c:v>
                  </c:pt>
                  <c:pt idx="142">
                    <c:v>12/1/11</c:v>
                  </c:pt>
                  <c:pt idx="143">
                    <c:v>12/8/11</c:v>
                  </c:pt>
                  <c:pt idx="144">
                    <c:v>1/12/12</c:v>
                  </c:pt>
                  <c:pt idx="145">
                    <c:v>1/19/12</c:v>
                  </c:pt>
                  <c:pt idx="146">
                    <c:v>1/26/12</c:v>
                  </c:pt>
                  <c:pt idx="147">
                    <c:v>2/2/12</c:v>
                  </c:pt>
                  <c:pt idx="148">
                    <c:v>2/9/12</c:v>
                  </c:pt>
                  <c:pt idx="149">
                    <c:v>2/16/12</c:v>
                  </c:pt>
                  <c:pt idx="150">
                    <c:v>2/23/12</c:v>
                  </c:pt>
                  <c:pt idx="151">
                    <c:v>3/1/12</c:v>
                  </c:pt>
                  <c:pt idx="152">
                    <c:v>3/8/12</c:v>
                  </c:pt>
                  <c:pt idx="153">
                    <c:v>3/15/12</c:v>
                  </c:pt>
                  <c:pt idx="154">
                    <c:v>3/22/12</c:v>
                  </c:pt>
                  <c:pt idx="155">
                    <c:v>3/29/12</c:v>
                  </c:pt>
                  <c:pt idx="156">
                    <c:v>4/5/12</c:v>
                  </c:pt>
                  <c:pt idx="157">
                    <c:v>4/12/12</c:v>
                  </c:pt>
                  <c:pt idx="158">
                    <c:v>4/19/12</c:v>
                  </c:pt>
                  <c:pt idx="159">
                    <c:v>4/26/12</c:v>
                  </c:pt>
                  <c:pt idx="160">
                    <c:v>5/3/12</c:v>
                  </c:pt>
                  <c:pt idx="161">
                    <c:v>5/10/12</c:v>
                  </c:pt>
                  <c:pt idx="162">
                    <c:v>5/17/12</c:v>
                  </c:pt>
                  <c:pt idx="163">
                    <c:v>9/20/12</c:v>
                  </c:pt>
                  <c:pt idx="164">
                    <c:v>9/27/12</c:v>
                  </c:pt>
                  <c:pt idx="165">
                    <c:v>10/4/12</c:v>
                  </c:pt>
                  <c:pt idx="166">
                    <c:v>10/11/12</c:v>
                  </c:pt>
                  <c:pt idx="167">
                    <c:v>10/18/12</c:v>
                  </c:pt>
                  <c:pt idx="168">
                    <c:v>10/25/12</c:v>
                  </c:pt>
                  <c:pt idx="169">
                    <c:v>11/8/12</c:v>
                  </c:pt>
                  <c:pt idx="170">
                    <c:v>11/15/12</c:v>
                  </c:pt>
                  <c:pt idx="171">
                    <c:v>11/29/12</c:v>
                  </c:pt>
                  <c:pt idx="172">
                    <c:v>12/6/12</c:v>
                  </c:pt>
                  <c:pt idx="173">
                    <c:v>1/10/13</c:v>
                  </c:pt>
                  <c:pt idx="174">
                    <c:v>1/17/13</c:v>
                  </c:pt>
                  <c:pt idx="175">
                    <c:v>1/24/13</c:v>
                  </c:pt>
                  <c:pt idx="176">
                    <c:v>1/31/13</c:v>
                  </c:pt>
                  <c:pt idx="177">
                    <c:v>2/7/13</c:v>
                  </c:pt>
                  <c:pt idx="178">
                    <c:v>2/14/13</c:v>
                  </c:pt>
                  <c:pt idx="179">
                    <c:v>2/21/13</c:v>
                  </c:pt>
                  <c:pt idx="180">
                    <c:v>2/28/13</c:v>
                  </c:pt>
                  <c:pt idx="181">
                    <c:v>3/7/13</c:v>
                  </c:pt>
                  <c:pt idx="182">
                    <c:v>3/14/13</c:v>
                  </c:pt>
                  <c:pt idx="183">
                    <c:v>3/21/13</c:v>
                  </c:pt>
                  <c:pt idx="184">
                    <c:v>4/4/13</c:v>
                  </c:pt>
                  <c:pt idx="185">
                    <c:v>4/11/13</c:v>
                  </c:pt>
                  <c:pt idx="186">
                    <c:v>4/18/13</c:v>
                  </c:pt>
                  <c:pt idx="187">
                    <c:v>4/25/13</c:v>
                  </c:pt>
                  <c:pt idx="188">
                    <c:v>5/2/13</c:v>
                  </c:pt>
                  <c:pt idx="189">
                    <c:v>5/9/13</c:v>
                  </c:pt>
                  <c:pt idx="190">
                    <c:v>5/16/13</c:v>
                  </c:pt>
                  <c:pt idx="191">
                    <c:v>9/26/13</c:v>
                  </c:pt>
                  <c:pt idx="192">
                    <c:v>10/3/13</c:v>
                  </c:pt>
                  <c:pt idx="193">
                    <c:v>10/10/13</c:v>
                  </c:pt>
                  <c:pt idx="194">
                    <c:v>10/17/13</c:v>
                  </c:pt>
                  <c:pt idx="195">
                    <c:v>11/14/13</c:v>
                  </c:pt>
                  <c:pt idx="196">
                    <c:v>11/21/13</c:v>
                  </c:pt>
                  <c:pt idx="197">
                    <c:v>1/2/14</c:v>
                  </c:pt>
                  <c:pt idx="198">
                    <c:v>1/9/14</c:v>
                  </c:pt>
                  <c:pt idx="199">
                    <c:v>1/16/14</c:v>
                  </c:pt>
                  <c:pt idx="200">
                    <c:v>1/23/14</c:v>
                  </c:pt>
                  <c:pt idx="201">
                    <c:v>1/30/14</c:v>
                  </c:pt>
                  <c:pt idx="202">
                    <c:v>2/27/14</c:v>
                  </c:pt>
                  <c:pt idx="203">
                    <c:v>3/6/14</c:v>
                  </c:pt>
                  <c:pt idx="204">
                    <c:v>3/13/14</c:v>
                  </c:pt>
                  <c:pt idx="205">
                    <c:v>3/20/14</c:v>
                  </c:pt>
                  <c:pt idx="206">
                    <c:v>4/3/14</c:v>
                  </c:pt>
                  <c:pt idx="207">
                    <c:v>4/10/14</c:v>
                  </c:pt>
                  <c:pt idx="208">
                    <c:v>4/17/14</c:v>
                  </c:pt>
                  <c:pt idx="209">
                    <c:v>4/24/14</c:v>
                  </c:pt>
                </c:lvl>
                <c:lvl>
                  <c:pt idx="0">
                    <c:v>2005</c:v>
                  </c:pt>
                  <c:pt idx="1">
                    <c:v>2006</c:v>
                  </c:pt>
                  <c:pt idx="24">
                    <c:v>2007</c:v>
                  </c:pt>
                  <c:pt idx="51">
                    <c:v>2008</c:v>
                  </c:pt>
                  <c:pt idx="68">
                    <c:v>2009</c:v>
                  </c:pt>
                  <c:pt idx="96">
                    <c:v>2010</c:v>
                  </c:pt>
                  <c:pt idx="120">
                    <c:v>2011</c:v>
                  </c:pt>
                  <c:pt idx="144">
                    <c:v>2012</c:v>
                  </c:pt>
                  <c:pt idx="173">
                    <c:v>2013</c:v>
                  </c:pt>
                  <c:pt idx="197">
                    <c:v>2014</c:v>
                  </c:pt>
                </c:lvl>
              </c:multiLvlStrCache>
            </c:multiLvlStrRef>
          </c:cat>
          <c:val>
            <c:numRef>
              <c:f>Graphs!$T$66:$T$286</c:f>
              <c:numCache>
                <c:formatCode>General</c:formatCode>
                <c:ptCount val="210"/>
                <c:pt idx="120">
                  <c:v>5.34</c:v>
                </c:pt>
                <c:pt idx="121">
                  <c:v>4.92</c:v>
                </c:pt>
                <c:pt idx="122">
                  <c:v>4.78</c:v>
                </c:pt>
                <c:pt idx="123">
                  <c:v>4.59</c:v>
                </c:pt>
                <c:pt idx="124">
                  <c:v>4.07</c:v>
                </c:pt>
                <c:pt idx="125">
                  <c:v>4.5</c:v>
                </c:pt>
                <c:pt idx="126">
                  <c:v>4.1900000000000004</c:v>
                </c:pt>
                <c:pt idx="127">
                  <c:v>4.3600000000000003</c:v>
                </c:pt>
                <c:pt idx="128">
                  <c:v>4.45</c:v>
                </c:pt>
                <c:pt idx="129">
                  <c:v>4.5999999999999996</c:v>
                </c:pt>
                <c:pt idx="131">
                  <c:v>4.2</c:v>
                </c:pt>
                <c:pt idx="132">
                  <c:v>3.54</c:v>
                </c:pt>
                <c:pt idx="133">
                  <c:v>4.2699999999999996</c:v>
                </c:pt>
              </c:numCache>
            </c:numRef>
          </c:val>
          <c:smooth val="0"/>
          <c:extLst>
            <c:ext xmlns:c16="http://schemas.microsoft.com/office/drawing/2014/chart" uri="{C3380CC4-5D6E-409C-BE32-E72D297353CC}">
              <c16:uniqueId val="{00000005-5890-C743-B858-AE4C4CF83D49}"/>
            </c:ext>
          </c:extLst>
        </c:ser>
        <c:ser>
          <c:idx val="5"/>
          <c:order val="5"/>
          <c:tx>
            <c:strRef>
              <c:f>Graphs!$U$64:$U$65</c:f>
              <c:strCache>
                <c:ptCount val="1"/>
                <c:pt idx="0">
                  <c:v>10:30:00 PM</c:v>
                </c:pt>
              </c:strCache>
            </c:strRef>
          </c:tx>
          <c:spPr>
            <a:ln w="28575" cap="rnd">
              <a:solidFill>
                <a:srgbClr val="458891"/>
              </a:solidFill>
              <a:round/>
            </a:ln>
            <a:effectLst/>
          </c:spPr>
          <c:marker>
            <c:symbol val="none"/>
          </c:marker>
          <c:cat>
            <c:multiLvlStrRef>
              <c:f>Graphs!$O$66:$O$286</c:f>
              <c:multiLvlStrCache>
                <c:ptCount val="210"/>
                <c:lvl>
                  <c:pt idx="0">
                    <c:v>3/24/05</c:v>
                  </c:pt>
                  <c:pt idx="1">
                    <c:v>1/5/06</c:v>
                  </c:pt>
                  <c:pt idx="2">
                    <c:v>1/12/06</c:v>
                  </c:pt>
                  <c:pt idx="3">
                    <c:v>1/19/06</c:v>
                  </c:pt>
                  <c:pt idx="4">
                    <c:v>1/26/06</c:v>
                  </c:pt>
                  <c:pt idx="5">
                    <c:v>2/2/06</c:v>
                  </c:pt>
                  <c:pt idx="6">
                    <c:v>2/9/06</c:v>
                  </c:pt>
                  <c:pt idx="7">
                    <c:v>3/2/06</c:v>
                  </c:pt>
                  <c:pt idx="8">
                    <c:v>3/16/06</c:v>
                  </c:pt>
                  <c:pt idx="9">
                    <c:v>3/30/06</c:v>
                  </c:pt>
                  <c:pt idx="10">
                    <c:v>4/27/06</c:v>
                  </c:pt>
                  <c:pt idx="11">
                    <c:v>5/4/06</c:v>
                  </c:pt>
                  <c:pt idx="12">
                    <c:v>5/11/06</c:v>
                  </c:pt>
                  <c:pt idx="13">
                    <c:v>9/21/06</c:v>
                  </c:pt>
                  <c:pt idx="14">
                    <c:v>9/28/06</c:v>
                  </c:pt>
                  <c:pt idx="15">
                    <c:v>10/5/06</c:v>
                  </c:pt>
                  <c:pt idx="16">
                    <c:v>10/12/06</c:v>
                  </c:pt>
                  <c:pt idx="17">
                    <c:v>10/19/06</c:v>
                  </c:pt>
                  <c:pt idx="18">
                    <c:v>11/2/06</c:v>
                  </c:pt>
                  <c:pt idx="19">
                    <c:v>11/9/06</c:v>
                  </c:pt>
                  <c:pt idx="20">
                    <c:v>11/16/06</c:v>
                  </c:pt>
                  <c:pt idx="21">
                    <c:v>11/30/06</c:v>
                  </c:pt>
                  <c:pt idx="22">
                    <c:v>12/7/06</c:v>
                  </c:pt>
                  <c:pt idx="23">
                    <c:v>12/14/06</c:v>
                  </c:pt>
                  <c:pt idx="24">
                    <c:v>1/4/07</c:v>
                  </c:pt>
                  <c:pt idx="25">
                    <c:v>1/11/07</c:v>
                  </c:pt>
                  <c:pt idx="26">
                    <c:v>1/18/07</c:v>
                  </c:pt>
                  <c:pt idx="27">
                    <c:v>2/1/07</c:v>
                  </c:pt>
                  <c:pt idx="28">
                    <c:v>2/8/07</c:v>
                  </c:pt>
                  <c:pt idx="29">
                    <c:v>2/15/07</c:v>
                  </c:pt>
                  <c:pt idx="30">
                    <c:v>2/22/07</c:v>
                  </c:pt>
                  <c:pt idx="31">
                    <c:v>3/1/07</c:v>
                  </c:pt>
                  <c:pt idx="32">
                    <c:v>3/8/07</c:v>
                  </c:pt>
                  <c:pt idx="33">
                    <c:v>4/5/07</c:v>
                  </c:pt>
                  <c:pt idx="34">
                    <c:v>4/12/07</c:v>
                  </c:pt>
                  <c:pt idx="35">
                    <c:v>4/19/07</c:v>
                  </c:pt>
                  <c:pt idx="36">
                    <c:v>4/26/07</c:v>
                  </c:pt>
                  <c:pt idx="37">
                    <c:v>5/3/07</c:v>
                  </c:pt>
                  <c:pt idx="38">
                    <c:v>5/10/07</c:v>
                  </c:pt>
                  <c:pt idx="39">
                    <c:v>5/17/07</c:v>
                  </c:pt>
                  <c:pt idx="40">
                    <c:v>9/27/07</c:v>
                  </c:pt>
                  <c:pt idx="41">
                    <c:v>10/4/07</c:v>
                  </c:pt>
                  <c:pt idx="42">
                    <c:v>10/11/07</c:v>
                  </c:pt>
                  <c:pt idx="43">
                    <c:v>10/18/07</c:v>
                  </c:pt>
                  <c:pt idx="44">
                    <c:v>10/25/07</c:v>
                  </c:pt>
                  <c:pt idx="45">
                    <c:v>11/1/07</c:v>
                  </c:pt>
                  <c:pt idx="46">
                    <c:v>11/8/07</c:v>
                  </c:pt>
                  <c:pt idx="47">
                    <c:v>11/15/07</c:v>
                  </c:pt>
                  <c:pt idx="48">
                    <c:v>11/29/07</c:v>
                  </c:pt>
                  <c:pt idx="49">
                    <c:v>12/6/07</c:v>
                  </c:pt>
                  <c:pt idx="50">
                    <c:v>12/13/07</c:v>
                  </c:pt>
                  <c:pt idx="51">
                    <c:v>1/10/08</c:v>
                  </c:pt>
                  <c:pt idx="52">
                    <c:v>4/10/08</c:v>
                  </c:pt>
                  <c:pt idx="53">
                    <c:v>4/17/08</c:v>
                  </c:pt>
                  <c:pt idx="54">
                    <c:v>4/24/08</c:v>
                  </c:pt>
                  <c:pt idx="55">
                    <c:v>5/1/08</c:v>
                  </c:pt>
                  <c:pt idx="56">
                    <c:v>5/8/08</c:v>
                  </c:pt>
                  <c:pt idx="57">
                    <c:v>5/15/08</c:v>
                  </c:pt>
                  <c:pt idx="58">
                    <c:v>9/25/08</c:v>
                  </c:pt>
                  <c:pt idx="59">
                    <c:v>10/9/08</c:v>
                  </c:pt>
                  <c:pt idx="60">
                    <c:v>10/16/08</c:v>
                  </c:pt>
                  <c:pt idx="61">
                    <c:v>10/23/08</c:v>
                  </c:pt>
                  <c:pt idx="62">
                    <c:v>10/30/08</c:v>
                  </c:pt>
                  <c:pt idx="63">
                    <c:v>11/6/08</c:v>
                  </c:pt>
                  <c:pt idx="64">
                    <c:v>11/13/08</c:v>
                  </c:pt>
                  <c:pt idx="65">
                    <c:v>11/20/08</c:v>
                  </c:pt>
                  <c:pt idx="66">
                    <c:v>12/4/08</c:v>
                  </c:pt>
                  <c:pt idx="67">
                    <c:v>12/11/08</c:v>
                  </c:pt>
                  <c:pt idx="68">
                    <c:v>1/8/09</c:v>
                  </c:pt>
                  <c:pt idx="69">
                    <c:v>1/15/09</c:v>
                  </c:pt>
                  <c:pt idx="70">
                    <c:v>1/22/09</c:v>
                  </c:pt>
                  <c:pt idx="71">
                    <c:v>2/5/09</c:v>
                  </c:pt>
                  <c:pt idx="72">
                    <c:v>2/12/09</c:v>
                  </c:pt>
                  <c:pt idx="73">
                    <c:v>2/26/09</c:v>
                  </c:pt>
                  <c:pt idx="74">
                    <c:v>3/5/09</c:v>
                  </c:pt>
                  <c:pt idx="75">
                    <c:v>3/12/09</c:v>
                  </c:pt>
                  <c:pt idx="76">
                    <c:v>3/19/09</c:v>
                  </c:pt>
                  <c:pt idx="77">
                    <c:v>3/26/09</c:v>
                  </c:pt>
                  <c:pt idx="78">
                    <c:v>4/9/09</c:v>
                  </c:pt>
                  <c:pt idx="79">
                    <c:v>4/16/09</c:v>
                  </c:pt>
                  <c:pt idx="80">
                    <c:v>4/23/09</c:v>
                  </c:pt>
                  <c:pt idx="81">
                    <c:v>4/30/09</c:v>
                  </c:pt>
                  <c:pt idx="82">
                    <c:v>5/7/09</c:v>
                  </c:pt>
                  <c:pt idx="83">
                    <c:v>5/14/09</c:v>
                  </c:pt>
                  <c:pt idx="84">
                    <c:v>9/17/09</c:v>
                  </c:pt>
                  <c:pt idx="85">
                    <c:v>9/24/09</c:v>
                  </c:pt>
                  <c:pt idx="86">
                    <c:v>10/1/09</c:v>
                  </c:pt>
                  <c:pt idx="87">
                    <c:v>10/8/09</c:v>
                  </c:pt>
                  <c:pt idx="88">
                    <c:v>10/15/09</c:v>
                  </c:pt>
                  <c:pt idx="89">
                    <c:v>10/22/09</c:v>
                  </c:pt>
                  <c:pt idx="90">
                    <c:v>10/29/09</c:v>
                  </c:pt>
                  <c:pt idx="91">
                    <c:v>11/5/09</c:v>
                  </c:pt>
                  <c:pt idx="92">
                    <c:v>11/12/09</c:v>
                  </c:pt>
                  <c:pt idx="93">
                    <c:v>11/19/09</c:v>
                  </c:pt>
                  <c:pt idx="94">
                    <c:v>12/3/09</c:v>
                  </c:pt>
                  <c:pt idx="95">
                    <c:v>12/10/09</c:v>
                  </c:pt>
                  <c:pt idx="96">
                    <c:v>1/14/10</c:v>
                  </c:pt>
                  <c:pt idx="97">
                    <c:v>1/21/10</c:v>
                  </c:pt>
                  <c:pt idx="98">
                    <c:v>2/4/10</c:v>
                  </c:pt>
                  <c:pt idx="99">
                    <c:v>2/11/10</c:v>
                  </c:pt>
                  <c:pt idx="100">
                    <c:v>3/4/10</c:v>
                  </c:pt>
                  <c:pt idx="101">
                    <c:v>3/11/10</c:v>
                  </c:pt>
                  <c:pt idx="102">
                    <c:v>3/18/10</c:v>
                  </c:pt>
                  <c:pt idx="103">
                    <c:v>3/25/10</c:v>
                  </c:pt>
                  <c:pt idx="104">
                    <c:v>4/22/10</c:v>
                  </c:pt>
                  <c:pt idx="105">
                    <c:v>4/29/10</c:v>
                  </c:pt>
                  <c:pt idx="106">
                    <c:v>5/6/10</c:v>
                  </c:pt>
                  <c:pt idx="107">
                    <c:v>5/13/10</c:v>
                  </c:pt>
                  <c:pt idx="108">
                    <c:v>5/20/10</c:v>
                  </c:pt>
                  <c:pt idx="109">
                    <c:v>9/23/10</c:v>
                  </c:pt>
                  <c:pt idx="110">
                    <c:v>9/30/10</c:v>
                  </c:pt>
                  <c:pt idx="111">
                    <c:v>10/7/10</c:v>
                  </c:pt>
                  <c:pt idx="112">
                    <c:v>10/14/10</c:v>
                  </c:pt>
                  <c:pt idx="113">
                    <c:v>10/21/10</c:v>
                  </c:pt>
                  <c:pt idx="114">
                    <c:v>10/28/10</c:v>
                  </c:pt>
                  <c:pt idx="115">
                    <c:v>11/4/10</c:v>
                  </c:pt>
                  <c:pt idx="116">
                    <c:v>11/11/10</c:v>
                  </c:pt>
                  <c:pt idx="117">
                    <c:v>11/18/10</c:v>
                  </c:pt>
                  <c:pt idx="118">
                    <c:v>12/2/10</c:v>
                  </c:pt>
                  <c:pt idx="119">
                    <c:v>12/9/10</c:v>
                  </c:pt>
                  <c:pt idx="120">
                    <c:v>1/20/11</c:v>
                  </c:pt>
                  <c:pt idx="121">
                    <c:v>1/27/11</c:v>
                  </c:pt>
                  <c:pt idx="122">
                    <c:v>2/3/11</c:v>
                  </c:pt>
                  <c:pt idx="123">
                    <c:v>2/10/11</c:v>
                  </c:pt>
                  <c:pt idx="124">
                    <c:v>2/17/11</c:v>
                  </c:pt>
                  <c:pt idx="125">
                    <c:v>2/24/11</c:v>
                  </c:pt>
                  <c:pt idx="126">
                    <c:v>3/17/11</c:v>
                  </c:pt>
                  <c:pt idx="127">
                    <c:v>3/24/11</c:v>
                  </c:pt>
                  <c:pt idx="128">
                    <c:v>4/14/11</c:v>
                  </c:pt>
                  <c:pt idx="129">
                    <c:v>4/21/11</c:v>
                  </c:pt>
                  <c:pt idx="130">
                    <c:v>4/28/11</c:v>
                  </c:pt>
                  <c:pt idx="131">
                    <c:v>5/5/11</c:v>
                  </c:pt>
                  <c:pt idx="132">
                    <c:v>5/12/11</c:v>
                  </c:pt>
                  <c:pt idx="133">
                    <c:v>5/19/11</c:v>
                  </c:pt>
                  <c:pt idx="134">
                    <c:v>9/22/11</c:v>
                  </c:pt>
                  <c:pt idx="135">
                    <c:v>9/29/11</c:v>
                  </c:pt>
                  <c:pt idx="136">
                    <c:v>10/6/11</c:v>
                  </c:pt>
                  <c:pt idx="137">
                    <c:v>10/13/11</c:v>
                  </c:pt>
                  <c:pt idx="138">
                    <c:v>10/27/11</c:v>
                  </c:pt>
                  <c:pt idx="139">
                    <c:v>11/3/11</c:v>
                  </c:pt>
                  <c:pt idx="140">
                    <c:v>11/10/11</c:v>
                  </c:pt>
                  <c:pt idx="141">
                    <c:v>11/17/11</c:v>
                  </c:pt>
                  <c:pt idx="142">
                    <c:v>12/1/11</c:v>
                  </c:pt>
                  <c:pt idx="143">
                    <c:v>12/8/11</c:v>
                  </c:pt>
                  <c:pt idx="144">
                    <c:v>1/12/12</c:v>
                  </c:pt>
                  <c:pt idx="145">
                    <c:v>1/19/12</c:v>
                  </c:pt>
                  <c:pt idx="146">
                    <c:v>1/26/12</c:v>
                  </c:pt>
                  <c:pt idx="147">
                    <c:v>2/2/12</c:v>
                  </c:pt>
                  <c:pt idx="148">
                    <c:v>2/9/12</c:v>
                  </c:pt>
                  <c:pt idx="149">
                    <c:v>2/16/12</c:v>
                  </c:pt>
                  <c:pt idx="150">
                    <c:v>2/23/12</c:v>
                  </c:pt>
                  <c:pt idx="151">
                    <c:v>3/1/12</c:v>
                  </c:pt>
                  <c:pt idx="152">
                    <c:v>3/8/12</c:v>
                  </c:pt>
                  <c:pt idx="153">
                    <c:v>3/15/12</c:v>
                  </c:pt>
                  <c:pt idx="154">
                    <c:v>3/22/12</c:v>
                  </c:pt>
                  <c:pt idx="155">
                    <c:v>3/29/12</c:v>
                  </c:pt>
                  <c:pt idx="156">
                    <c:v>4/5/12</c:v>
                  </c:pt>
                  <c:pt idx="157">
                    <c:v>4/12/12</c:v>
                  </c:pt>
                  <c:pt idx="158">
                    <c:v>4/19/12</c:v>
                  </c:pt>
                  <c:pt idx="159">
                    <c:v>4/26/12</c:v>
                  </c:pt>
                  <c:pt idx="160">
                    <c:v>5/3/12</c:v>
                  </c:pt>
                  <c:pt idx="161">
                    <c:v>5/10/12</c:v>
                  </c:pt>
                  <c:pt idx="162">
                    <c:v>5/17/12</c:v>
                  </c:pt>
                  <c:pt idx="163">
                    <c:v>9/20/12</c:v>
                  </c:pt>
                  <c:pt idx="164">
                    <c:v>9/27/12</c:v>
                  </c:pt>
                  <c:pt idx="165">
                    <c:v>10/4/12</c:v>
                  </c:pt>
                  <c:pt idx="166">
                    <c:v>10/11/12</c:v>
                  </c:pt>
                  <c:pt idx="167">
                    <c:v>10/18/12</c:v>
                  </c:pt>
                  <c:pt idx="168">
                    <c:v>10/25/12</c:v>
                  </c:pt>
                  <c:pt idx="169">
                    <c:v>11/8/12</c:v>
                  </c:pt>
                  <c:pt idx="170">
                    <c:v>11/15/12</c:v>
                  </c:pt>
                  <c:pt idx="171">
                    <c:v>11/29/12</c:v>
                  </c:pt>
                  <c:pt idx="172">
                    <c:v>12/6/12</c:v>
                  </c:pt>
                  <c:pt idx="173">
                    <c:v>1/10/13</c:v>
                  </c:pt>
                  <c:pt idx="174">
                    <c:v>1/17/13</c:v>
                  </c:pt>
                  <c:pt idx="175">
                    <c:v>1/24/13</c:v>
                  </c:pt>
                  <c:pt idx="176">
                    <c:v>1/31/13</c:v>
                  </c:pt>
                  <c:pt idx="177">
                    <c:v>2/7/13</c:v>
                  </c:pt>
                  <c:pt idx="178">
                    <c:v>2/14/13</c:v>
                  </c:pt>
                  <c:pt idx="179">
                    <c:v>2/21/13</c:v>
                  </c:pt>
                  <c:pt idx="180">
                    <c:v>2/28/13</c:v>
                  </c:pt>
                  <c:pt idx="181">
                    <c:v>3/7/13</c:v>
                  </c:pt>
                  <c:pt idx="182">
                    <c:v>3/14/13</c:v>
                  </c:pt>
                  <c:pt idx="183">
                    <c:v>3/21/13</c:v>
                  </c:pt>
                  <c:pt idx="184">
                    <c:v>4/4/13</c:v>
                  </c:pt>
                  <c:pt idx="185">
                    <c:v>4/11/13</c:v>
                  </c:pt>
                  <c:pt idx="186">
                    <c:v>4/18/13</c:v>
                  </c:pt>
                  <c:pt idx="187">
                    <c:v>4/25/13</c:v>
                  </c:pt>
                  <c:pt idx="188">
                    <c:v>5/2/13</c:v>
                  </c:pt>
                  <c:pt idx="189">
                    <c:v>5/9/13</c:v>
                  </c:pt>
                  <c:pt idx="190">
                    <c:v>5/16/13</c:v>
                  </c:pt>
                  <c:pt idx="191">
                    <c:v>9/26/13</c:v>
                  </c:pt>
                  <c:pt idx="192">
                    <c:v>10/3/13</c:v>
                  </c:pt>
                  <c:pt idx="193">
                    <c:v>10/10/13</c:v>
                  </c:pt>
                  <c:pt idx="194">
                    <c:v>10/17/13</c:v>
                  </c:pt>
                  <c:pt idx="195">
                    <c:v>11/14/13</c:v>
                  </c:pt>
                  <c:pt idx="196">
                    <c:v>11/21/13</c:v>
                  </c:pt>
                  <c:pt idx="197">
                    <c:v>1/2/14</c:v>
                  </c:pt>
                  <c:pt idx="198">
                    <c:v>1/9/14</c:v>
                  </c:pt>
                  <c:pt idx="199">
                    <c:v>1/16/14</c:v>
                  </c:pt>
                  <c:pt idx="200">
                    <c:v>1/23/14</c:v>
                  </c:pt>
                  <c:pt idx="201">
                    <c:v>1/30/14</c:v>
                  </c:pt>
                  <c:pt idx="202">
                    <c:v>2/27/14</c:v>
                  </c:pt>
                  <c:pt idx="203">
                    <c:v>3/6/14</c:v>
                  </c:pt>
                  <c:pt idx="204">
                    <c:v>3/13/14</c:v>
                  </c:pt>
                  <c:pt idx="205">
                    <c:v>3/20/14</c:v>
                  </c:pt>
                  <c:pt idx="206">
                    <c:v>4/3/14</c:v>
                  </c:pt>
                  <c:pt idx="207">
                    <c:v>4/10/14</c:v>
                  </c:pt>
                  <c:pt idx="208">
                    <c:v>4/17/14</c:v>
                  </c:pt>
                  <c:pt idx="209">
                    <c:v>4/24/14</c:v>
                  </c:pt>
                </c:lvl>
                <c:lvl>
                  <c:pt idx="0">
                    <c:v>2005</c:v>
                  </c:pt>
                  <c:pt idx="1">
                    <c:v>2006</c:v>
                  </c:pt>
                  <c:pt idx="24">
                    <c:v>2007</c:v>
                  </c:pt>
                  <c:pt idx="51">
                    <c:v>2008</c:v>
                  </c:pt>
                  <c:pt idx="68">
                    <c:v>2009</c:v>
                  </c:pt>
                  <c:pt idx="96">
                    <c:v>2010</c:v>
                  </c:pt>
                  <c:pt idx="120">
                    <c:v>2011</c:v>
                  </c:pt>
                  <c:pt idx="144">
                    <c:v>2012</c:v>
                  </c:pt>
                  <c:pt idx="173">
                    <c:v>2013</c:v>
                  </c:pt>
                  <c:pt idx="197">
                    <c:v>2014</c:v>
                  </c:pt>
                </c:lvl>
              </c:multiLvlStrCache>
            </c:multiLvlStrRef>
          </c:cat>
          <c:val>
            <c:numRef>
              <c:f>Graphs!$U$66:$U$286</c:f>
              <c:numCache>
                <c:formatCode>General</c:formatCode>
                <c:ptCount val="210"/>
                <c:pt idx="130">
                  <c:v>3.95</c:v>
                </c:pt>
                <c:pt idx="133">
                  <c:v>3.72</c:v>
                </c:pt>
              </c:numCache>
            </c:numRef>
          </c:val>
          <c:smooth val="0"/>
          <c:extLst>
            <c:ext xmlns:c16="http://schemas.microsoft.com/office/drawing/2014/chart" uri="{C3380CC4-5D6E-409C-BE32-E72D297353CC}">
              <c16:uniqueId val="{00000006-5890-C743-B858-AE4C4CF83D49}"/>
            </c:ext>
          </c:extLst>
        </c:ser>
        <c:ser>
          <c:idx val="6"/>
          <c:order val="6"/>
          <c:tx>
            <c:strRef>
              <c:f>Graphs!$V$64:$V$65</c:f>
              <c:strCache>
                <c:ptCount val="1"/>
                <c:pt idx="0">
                  <c:v>11:00:00 PM</c:v>
                </c:pt>
              </c:strCache>
            </c:strRef>
          </c:tx>
          <c:spPr>
            <a:ln w="28575" cap="rnd">
              <a:solidFill>
                <a:srgbClr val="2E74B5"/>
              </a:solidFill>
              <a:round/>
            </a:ln>
            <a:effectLst/>
          </c:spPr>
          <c:marker>
            <c:symbol val="none"/>
          </c:marker>
          <c:cat>
            <c:multiLvlStrRef>
              <c:f>Graphs!$O$66:$O$286</c:f>
              <c:multiLvlStrCache>
                <c:ptCount val="210"/>
                <c:lvl>
                  <c:pt idx="0">
                    <c:v>3/24/05</c:v>
                  </c:pt>
                  <c:pt idx="1">
                    <c:v>1/5/06</c:v>
                  </c:pt>
                  <c:pt idx="2">
                    <c:v>1/12/06</c:v>
                  </c:pt>
                  <c:pt idx="3">
                    <c:v>1/19/06</c:v>
                  </c:pt>
                  <c:pt idx="4">
                    <c:v>1/26/06</c:v>
                  </c:pt>
                  <c:pt idx="5">
                    <c:v>2/2/06</c:v>
                  </c:pt>
                  <c:pt idx="6">
                    <c:v>2/9/06</c:v>
                  </c:pt>
                  <c:pt idx="7">
                    <c:v>3/2/06</c:v>
                  </c:pt>
                  <c:pt idx="8">
                    <c:v>3/16/06</c:v>
                  </c:pt>
                  <c:pt idx="9">
                    <c:v>3/30/06</c:v>
                  </c:pt>
                  <c:pt idx="10">
                    <c:v>4/27/06</c:v>
                  </c:pt>
                  <c:pt idx="11">
                    <c:v>5/4/06</c:v>
                  </c:pt>
                  <c:pt idx="12">
                    <c:v>5/11/06</c:v>
                  </c:pt>
                  <c:pt idx="13">
                    <c:v>9/21/06</c:v>
                  </c:pt>
                  <c:pt idx="14">
                    <c:v>9/28/06</c:v>
                  </c:pt>
                  <c:pt idx="15">
                    <c:v>10/5/06</c:v>
                  </c:pt>
                  <c:pt idx="16">
                    <c:v>10/12/06</c:v>
                  </c:pt>
                  <c:pt idx="17">
                    <c:v>10/19/06</c:v>
                  </c:pt>
                  <c:pt idx="18">
                    <c:v>11/2/06</c:v>
                  </c:pt>
                  <c:pt idx="19">
                    <c:v>11/9/06</c:v>
                  </c:pt>
                  <c:pt idx="20">
                    <c:v>11/16/06</c:v>
                  </c:pt>
                  <c:pt idx="21">
                    <c:v>11/30/06</c:v>
                  </c:pt>
                  <c:pt idx="22">
                    <c:v>12/7/06</c:v>
                  </c:pt>
                  <c:pt idx="23">
                    <c:v>12/14/06</c:v>
                  </c:pt>
                  <c:pt idx="24">
                    <c:v>1/4/07</c:v>
                  </c:pt>
                  <c:pt idx="25">
                    <c:v>1/11/07</c:v>
                  </c:pt>
                  <c:pt idx="26">
                    <c:v>1/18/07</c:v>
                  </c:pt>
                  <c:pt idx="27">
                    <c:v>2/1/07</c:v>
                  </c:pt>
                  <c:pt idx="28">
                    <c:v>2/8/07</c:v>
                  </c:pt>
                  <c:pt idx="29">
                    <c:v>2/15/07</c:v>
                  </c:pt>
                  <c:pt idx="30">
                    <c:v>2/22/07</c:v>
                  </c:pt>
                  <c:pt idx="31">
                    <c:v>3/1/07</c:v>
                  </c:pt>
                  <c:pt idx="32">
                    <c:v>3/8/07</c:v>
                  </c:pt>
                  <c:pt idx="33">
                    <c:v>4/5/07</c:v>
                  </c:pt>
                  <c:pt idx="34">
                    <c:v>4/12/07</c:v>
                  </c:pt>
                  <c:pt idx="35">
                    <c:v>4/19/07</c:v>
                  </c:pt>
                  <c:pt idx="36">
                    <c:v>4/26/07</c:v>
                  </c:pt>
                  <c:pt idx="37">
                    <c:v>5/3/07</c:v>
                  </c:pt>
                  <c:pt idx="38">
                    <c:v>5/10/07</c:v>
                  </c:pt>
                  <c:pt idx="39">
                    <c:v>5/17/07</c:v>
                  </c:pt>
                  <c:pt idx="40">
                    <c:v>9/27/07</c:v>
                  </c:pt>
                  <c:pt idx="41">
                    <c:v>10/4/07</c:v>
                  </c:pt>
                  <c:pt idx="42">
                    <c:v>10/11/07</c:v>
                  </c:pt>
                  <c:pt idx="43">
                    <c:v>10/18/07</c:v>
                  </c:pt>
                  <c:pt idx="44">
                    <c:v>10/25/07</c:v>
                  </c:pt>
                  <c:pt idx="45">
                    <c:v>11/1/07</c:v>
                  </c:pt>
                  <c:pt idx="46">
                    <c:v>11/8/07</c:v>
                  </c:pt>
                  <c:pt idx="47">
                    <c:v>11/15/07</c:v>
                  </c:pt>
                  <c:pt idx="48">
                    <c:v>11/29/07</c:v>
                  </c:pt>
                  <c:pt idx="49">
                    <c:v>12/6/07</c:v>
                  </c:pt>
                  <c:pt idx="50">
                    <c:v>12/13/07</c:v>
                  </c:pt>
                  <c:pt idx="51">
                    <c:v>1/10/08</c:v>
                  </c:pt>
                  <c:pt idx="52">
                    <c:v>4/10/08</c:v>
                  </c:pt>
                  <c:pt idx="53">
                    <c:v>4/17/08</c:v>
                  </c:pt>
                  <c:pt idx="54">
                    <c:v>4/24/08</c:v>
                  </c:pt>
                  <c:pt idx="55">
                    <c:v>5/1/08</c:v>
                  </c:pt>
                  <c:pt idx="56">
                    <c:v>5/8/08</c:v>
                  </c:pt>
                  <c:pt idx="57">
                    <c:v>5/15/08</c:v>
                  </c:pt>
                  <c:pt idx="58">
                    <c:v>9/25/08</c:v>
                  </c:pt>
                  <c:pt idx="59">
                    <c:v>10/9/08</c:v>
                  </c:pt>
                  <c:pt idx="60">
                    <c:v>10/16/08</c:v>
                  </c:pt>
                  <c:pt idx="61">
                    <c:v>10/23/08</c:v>
                  </c:pt>
                  <c:pt idx="62">
                    <c:v>10/30/08</c:v>
                  </c:pt>
                  <c:pt idx="63">
                    <c:v>11/6/08</c:v>
                  </c:pt>
                  <c:pt idx="64">
                    <c:v>11/13/08</c:v>
                  </c:pt>
                  <c:pt idx="65">
                    <c:v>11/20/08</c:v>
                  </c:pt>
                  <c:pt idx="66">
                    <c:v>12/4/08</c:v>
                  </c:pt>
                  <c:pt idx="67">
                    <c:v>12/11/08</c:v>
                  </c:pt>
                  <c:pt idx="68">
                    <c:v>1/8/09</c:v>
                  </c:pt>
                  <c:pt idx="69">
                    <c:v>1/15/09</c:v>
                  </c:pt>
                  <c:pt idx="70">
                    <c:v>1/22/09</c:v>
                  </c:pt>
                  <c:pt idx="71">
                    <c:v>2/5/09</c:v>
                  </c:pt>
                  <c:pt idx="72">
                    <c:v>2/12/09</c:v>
                  </c:pt>
                  <c:pt idx="73">
                    <c:v>2/26/09</c:v>
                  </c:pt>
                  <c:pt idx="74">
                    <c:v>3/5/09</c:v>
                  </c:pt>
                  <c:pt idx="75">
                    <c:v>3/12/09</c:v>
                  </c:pt>
                  <c:pt idx="76">
                    <c:v>3/19/09</c:v>
                  </c:pt>
                  <c:pt idx="77">
                    <c:v>3/26/09</c:v>
                  </c:pt>
                  <c:pt idx="78">
                    <c:v>4/9/09</c:v>
                  </c:pt>
                  <c:pt idx="79">
                    <c:v>4/16/09</c:v>
                  </c:pt>
                  <c:pt idx="80">
                    <c:v>4/23/09</c:v>
                  </c:pt>
                  <c:pt idx="81">
                    <c:v>4/30/09</c:v>
                  </c:pt>
                  <c:pt idx="82">
                    <c:v>5/7/09</c:v>
                  </c:pt>
                  <c:pt idx="83">
                    <c:v>5/14/09</c:v>
                  </c:pt>
                  <c:pt idx="84">
                    <c:v>9/17/09</c:v>
                  </c:pt>
                  <c:pt idx="85">
                    <c:v>9/24/09</c:v>
                  </c:pt>
                  <c:pt idx="86">
                    <c:v>10/1/09</c:v>
                  </c:pt>
                  <c:pt idx="87">
                    <c:v>10/8/09</c:v>
                  </c:pt>
                  <c:pt idx="88">
                    <c:v>10/15/09</c:v>
                  </c:pt>
                  <c:pt idx="89">
                    <c:v>10/22/09</c:v>
                  </c:pt>
                  <c:pt idx="90">
                    <c:v>10/29/09</c:v>
                  </c:pt>
                  <c:pt idx="91">
                    <c:v>11/5/09</c:v>
                  </c:pt>
                  <c:pt idx="92">
                    <c:v>11/12/09</c:v>
                  </c:pt>
                  <c:pt idx="93">
                    <c:v>11/19/09</c:v>
                  </c:pt>
                  <c:pt idx="94">
                    <c:v>12/3/09</c:v>
                  </c:pt>
                  <c:pt idx="95">
                    <c:v>12/10/09</c:v>
                  </c:pt>
                  <c:pt idx="96">
                    <c:v>1/14/10</c:v>
                  </c:pt>
                  <c:pt idx="97">
                    <c:v>1/21/10</c:v>
                  </c:pt>
                  <c:pt idx="98">
                    <c:v>2/4/10</c:v>
                  </c:pt>
                  <c:pt idx="99">
                    <c:v>2/11/10</c:v>
                  </c:pt>
                  <c:pt idx="100">
                    <c:v>3/4/10</c:v>
                  </c:pt>
                  <c:pt idx="101">
                    <c:v>3/11/10</c:v>
                  </c:pt>
                  <c:pt idx="102">
                    <c:v>3/18/10</c:v>
                  </c:pt>
                  <c:pt idx="103">
                    <c:v>3/25/10</c:v>
                  </c:pt>
                  <c:pt idx="104">
                    <c:v>4/22/10</c:v>
                  </c:pt>
                  <c:pt idx="105">
                    <c:v>4/29/10</c:v>
                  </c:pt>
                  <c:pt idx="106">
                    <c:v>5/6/10</c:v>
                  </c:pt>
                  <c:pt idx="107">
                    <c:v>5/13/10</c:v>
                  </c:pt>
                  <c:pt idx="108">
                    <c:v>5/20/10</c:v>
                  </c:pt>
                  <c:pt idx="109">
                    <c:v>9/23/10</c:v>
                  </c:pt>
                  <c:pt idx="110">
                    <c:v>9/30/10</c:v>
                  </c:pt>
                  <c:pt idx="111">
                    <c:v>10/7/10</c:v>
                  </c:pt>
                  <c:pt idx="112">
                    <c:v>10/14/10</c:v>
                  </c:pt>
                  <c:pt idx="113">
                    <c:v>10/21/10</c:v>
                  </c:pt>
                  <c:pt idx="114">
                    <c:v>10/28/10</c:v>
                  </c:pt>
                  <c:pt idx="115">
                    <c:v>11/4/10</c:v>
                  </c:pt>
                  <c:pt idx="116">
                    <c:v>11/11/10</c:v>
                  </c:pt>
                  <c:pt idx="117">
                    <c:v>11/18/10</c:v>
                  </c:pt>
                  <c:pt idx="118">
                    <c:v>12/2/10</c:v>
                  </c:pt>
                  <c:pt idx="119">
                    <c:v>12/9/10</c:v>
                  </c:pt>
                  <c:pt idx="120">
                    <c:v>1/20/11</c:v>
                  </c:pt>
                  <c:pt idx="121">
                    <c:v>1/27/11</c:v>
                  </c:pt>
                  <c:pt idx="122">
                    <c:v>2/3/11</c:v>
                  </c:pt>
                  <c:pt idx="123">
                    <c:v>2/10/11</c:v>
                  </c:pt>
                  <c:pt idx="124">
                    <c:v>2/17/11</c:v>
                  </c:pt>
                  <c:pt idx="125">
                    <c:v>2/24/11</c:v>
                  </c:pt>
                  <c:pt idx="126">
                    <c:v>3/17/11</c:v>
                  </c:pt>
                  <c:pt idx="127">
                    <c:v>3/24/11</c:v>
                  </c:pt>
                  <c:pt idx="128">
                    <c:v>4/14/11</c:v>
                  </c:pt>
                  <c:pt idx="129">
                    <c:v>4/21/11</c:v>
                  </c:pt>
                  <c:pt idx="130">
                    <c:v>4/28/11</c:v>
                  </c:pt>
                  <c:pt idx="131">
                    <c:v>5/5/11</c:v>
                  </c:pt>
                  <c:pt idx="132">
                    <c:v>5/12/11</c:v>
                  </c:pt>
                  <c:pt idx="133">
                    <c:v>5/19/11</c:v>
                  </c:pt>
                  <c:pt idx="134">
                    <c:v>9/22/11</c:v>
                  </c:pt>
                  <c:pt idx="135">
                    <c:v>9/29/11</c:v>
                  </c:pt>
                  <c:pt idx="136">
                    <c:v>10/6/11</c:v>
                  </c:pt>
                  <c:pt idx="137">
                    <c:v>10/13/11</c:v>
                  </c:pt>
                  <c:pt idx="138">
                    <c:v>10/27/11</c:v>
                  </c:pt>
                  <c:pt idx="139">
                    <c:v>11/3/11</c:v>
                  </c:pt>
                  <c:pt idx="140">
                    <c:v>11/10/11</c:v>
                  </c:pt>
                  <c:pt idx="141">
                    <c:v>11/17/11</c:v>
                  </c:pt>
                  <c:pt idx="142">
                    <c:v>12/1/11</c:v>
                  </c:pt>
                  <c:pt idx="143">
                    <c:v>12/8/11</c:v>
                  </c:pt>
                  <c:pt idx="144">
                    <c:v>1/12/12</c:v>
                  </c:pt>
                  <c:pt idx="145">
                    <c:v>1/19/12</c:v>
                  </c:pt>
                  <c:pt idx="146">
                    <c:v>1/26/12</c:v>
                  </c:pt>
                  <c:pt idx="147">
                    <c:v>2/2/12</c:v>
                  </c:pt>
                  <c:pt idx="148">
                    <c:v>2/9/12</c:v>
                  </c:pt>
                  <c:pt idx="149">
                    <c:v>2/16/12</c:v>
                  </c:pt>
                  <c:pt idx="150">
                    <c:v>2/23/12</c:v>
                  </c:pt>
                  <c:pt idx="151">
                    <c:v>3/1/12</c:v>
                  </c:pt>
                  <c:pt idx="152">
                    <c:v>3/8/12</c:v>
                  </c:pt>
                  <c:pt idx="153">
                    <c:v>3/15/12</c:v>
                  </c:pt>
                  <c:pt idx="154">
                    <c:v>3/22/12</c:v>
                  </c:pt>
                  <c:pt idx="155">
                    <c:v>3/29/12</c:v>
                  </c:pt>
                  <c:pt idx="156">
                    <c:v>4/5/12</c:v>
                  </c:pt>
                  <c:pt idx="157">
                    <c:v>4/12/12</c:v>
                  </c:pt>
                  <c:pt idx="158">
                    <c:v>4/19/12</c:v>
                  </c:pt>
                  <c:pt idx="159">
                    <c:v>4/26/12</c:v>
                  </c:pt>
                  <c:pt idx="160">
                    <c:v>5/3/12</c:v>
                  </c:pt>
                  <c:pt idx="161">
                    <c:v>5/10/12</c:v>
                  </c:pt>
                  <c:pt idx="162">
                    <c:v>5/17/12</c:v>
                  </c:pt>
                  <c:pt idx="163">
                    <c:v>9/20/12</c:v>
                  </c:pt>
                  <c:pt idx="164">
                    <c:v>9/27/12</c:v>
                  </c:pt>
                  <c:pt idx="165">
                    <c:v>10/4/12</c:v>
                  </c:pt>
                  <c:pt idx="166">
                    <c:v>10/11/12</c:v>
                  </c:pt>
                  <c:pt idx="167">
                    <c:v>10/18/12</c:v>
                  </c:pt>
                  <c:pt idx="168">
                    <c:v>10/25/12</c:v>
                  </c:pt>
                  <c:pt idx="169">
                    <c:v>11/8/12</c:v>
                  </c:pt>
                  <c:pt idx="170">
                    <c:v>11/15/12</c:v>
                  </c:pt>
                  <c:pt idx="171">
                    <c:v>11/29/12</c:v>
                  </c:pt>
                  <c:pt idx="172">
                    <c:v>12/6/12</c:v>
                  </c:pt>
                  <c:pt idx="173">
                    <c:v>1/10/13</c:v>
                  </c:pt>
                  <c:pt idx="174">
                    <c:v>1/17/13</c:v>
                  </c:pt>
                  <c:pt idx="175">
                    <c:v>1/24/13</c:v>
                  </c:pt>
                  <c:pt idx="176">
                    <c:v>1/31/13</c:v>
                  </c:pt>
                  <c:pt idx="177">
                    <c:v>2/7/13</c:v>
                  </c:pt>
                  <c:pt idx="178">
                    <c:v>2/14/13</c:v>
                  </c:pt>
                  <c:pt idx="179">
                    <c:v>2/21/13</c:v>
                  </c:pt>
                  <c:pt idx="180">
                    <c:v>2/28/13</c:v>
                  </c:pt>
                  <c:pt idx="181">
                    <c:v>3/7/13</c:v>
                  </c:pt>
                  <c:pt idx="182">
                    <c:v>3/14/13</c:v>
                  </c:pt>
                  <c:pt idx="183">
                    <c:v>3/21/13</c:v>
                  </c:pt>
                  <c:pt idx="184">
                    <c:v>4/4/13</c:v>
                  </c:pt>
                  <c:pt idx="185">
                    <c:v>4/11/13</c:v>
                  </c:pt>
                  <c:pt idx="186">
                    <c:v>4/18/13</c:v>
                  </c:pt>
                  <c:pt idx="187">
                    <c:v>4/25/13</c:v>
                  </c:pt>
                  <c:pt idx="188">
                    <c:v>5/2/13</c:v>
                  </c:pt>
                  <c:pt idx="189">
                    <c:v>5/9/13</c:v>
                  </c:pt>
                  <c:pt idx="190">
                    <c:v>5/16/13</c:v>
                  </c:pt>
                  <c:pt idx="191">
                    <c:v>9/26/13</c:v>
                  </c:pt>
                  <c:pt idx="192">
                    <c:v>10/3/13</c:v>
                  </c:pt>
                  <c:pt idx="193">
                    <c:v>10/10/13</c:v>
                  </c:pt>
                  <c:pt idx="194">
                    <c:v>10/17/13</c:v>
                  </c:pt>
                  <c:pt idx="195">
                    <c:v>11/14/13</c:v>
                  </c:pt>
                  <c:pt idx="196">
                    <c:v>11/21/13</c:v>
                  </c:pt>
                  <c:pt idx="197">
                    <c:v>1/2/14</c:v>
                  </c:pt>
                  <c:pt idx="198">
                    <c:v>1/9/14</c:v>
                  </c:pt>
                  <c:pt idx="199">
                    <c:v>1/16/14</c:v>
                  </c:pt>
                  <c:pt idx="200">
                    <c:v>1/23/14</c:v>
                  </c:pt>
                  <c:pt idx="201">
                    <c:v>1/30/14</c:v>
                  </c:pt>
                  <c:pt idx="202">
                    <c:v>2/27/14</c:v>
                  </c:pt>
                  <c:pt idx="203">
                    <c:v>3/6/14</c:v>
                  </c:pt>
                  <c:pt idx="204">
                    <c:v>3/13/14</c:v>
                  </c:pt>
                  <c:pt idx="205">
                    <c:v>3/20/14</c:v>
                  </c:pt>
                  <c:pt idx="206">
                    <c:v>4/3/14</c:v>
                  </c:pt>
                  <c:pt idx="207">
                    <c:v>4/10/14</c:v>
                  </c:pt>
                  <c:pt idx="208">
                    <c:v>4/17/14</c:v>
                  </c:pt>
                  <c:pt idx="209">
                    <c:v>4/24/14</c:v>
                  </c:pt>
                </c:lvl>
                <c:lvl>
                  <c:pt idx="0">
                    <c:v>2005</c:v>
                  </c:pt>
                  <c:pt idx="1">
                    <c:v>2006</c:v>
                  </c:pt>
                  <c:pt idx="24">
                    <c:v>2007</c:v>
                  </c:pt>
                  <c:pt idx="51">
                    <c:v>2008</c:v>
                  </c:pt>
                  <c:pt idx="68">
                    <c:v>2009</c:v>
                  </c:pt>
                  <c:pt idx="96">
                    <c:v>2010</c:v>
                  </c:pt>
                  <c:pt idx="120">
                    <c:v>2011</c:v>
                  </c:pt>
                  <c:pt idx="144">
                    <c:v>2012</c:v>
                  </c:pt>
                  <c:pt idx="173">
                    <c:v>2013</c:v>
                  </c:pt>
                  <c:pt idx="197">
                    <c:v>2014</c:v>
                  </c:pt>
                </c:lvl>
              </c:multiLvlStrCache>
            </c:multiLvlStrRef>
          </c:cat>
          <c:val>
            <c:numRef>
              <c:f>Graphs!$V$66:$V$286</c:f>
              <c:numCache>
                <c:formatCode>General</c:formatCode>
                <c:ptCount val="210"/>
                <c:pt idx="130">
                  <c:v>3.95</c:v>
                </c:pt>
              </c:numCache>
            </c:numRef>
          </c:val>
          <c:smooth val="0"/>
          <c:extLst>
            <c:ext xmlns:c16="http://schemas.microsoft.com/office/drawing/2014/chart" uri="{C3380CC4-5D6E-409C-BE32-E72D297353CC}">
              <c16:uniqueId val="{00000007-5890-C743-B858-AE4C4CF83D49}"/>
            </c:ext>
          </c:extLst>
        </c:ser>
        <c:dLbls>
          <c:showLegendKey val="0"/>
          <c:showVal val="0"/>
          <c:showCatName val="0"/>
          <c:showSerName val="0"/>
          <c:showPercent val="0"/>
          <c:showBubbleSize val="0"/>
        </c:dLbls>
        <c:smooth val="0"/>
        <c:axId val="1976867327"/>
        <c:axId val="2010404175"/>
      </c:lineChart>
      <c:catAx>
        <c:axId val="19768673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0404175"/>
        <c:crosses val="autoZero"/>
        <c:auto val="1"/>
        <c:lblAlgn val="ctr"/>
        <c:lblOffset val="100"/>
        <c:noMultiLvlLbl val="0"/>
      </c:catAx>
      <c:valAx>
        <c:axId val="20104041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a:t>U.S. Viewerrship (Millions)</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68673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[NBC Thursday Night Line Up - Github.xlsm]Graphs!PivotTable13</c:name>
    <c:fmtId val="0"/>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U.S. Viewership by Season &amp; Episode Number</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rgbClr val="9E4FD7"/>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Graphs!$I$16:$I$17</c:f>
              <c:strCache>
                <c:ptCount val="1"/>
                <c:pt idx="0">
                  <c:v>30 Rock</c:v>
                </c:pt>
              </c:strCache>
            </c:strRef>
          </c:tx>
          <c:spPr>
            <a:ln w="28575" cap="rnd">
              <a:solidFill>
                <a:srgbClr val="9E4FD7"/>
              </a:solidFill>
              <a:round/>
            </a:ln>
            <a:effectLst/>
          </c:spPr>
          <c:marker>
            <c:symbol val="none"/>
          </c:marker>
          <c:cat>
            <c:multiLvlStrRef>
              <c:f>Graphs!$H$18:$H$252</c:f>
              <c:multiLvlStrCache>
                <c:ptCount val="225"/>
                <c:lvl>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1</c:v>
                  </c:pt>
                  <c:pt idx="26">
                    <c:v>2</c:v>
                  </c:pt>
                  <c:pt idx="27">
                    <c:v>3</c:v>
                  </c:pt>
                  <c:pt idx="28">
                    <c:v>4</c:v>
                  </c:pt>
                  <c:pt idx="29">
                    <c:v>5</c:v>
                  </c:pt>
                  <c:pt idx="30">
                    <c:v>6</c:v>
                  </c:pt>
                  <c:pt idx="31">
                    <c:v>7</c:v>
                  </c:pt>
                  <c:pt idx="32">
                    <c:v>8</c:v>
                  </c:pt>
                  <c:pt idx="33">
                    <c:v>9</c:v>
                  </c:pt>
                  <c:pt idx="34">
                    <c:v>10</c:v>
                  </c:pt>
                  <c:pt idx="35">
                    <c:v>11</c:v>
                  </c:pt>
                  <c:pt idx="36">
                    <c:v>12</c:v>
                  </c:pt>
                  <c:pt idx="37">
                    <c:v>13</c:v>
                  </c:pt>
                  <c:pt idx="38">
                    <c:v>14</c:v>
                  </c:pt>
                  <c:pt idx="39">
                    <c:v>15</c:v>
                  </c:pt>
                  <c:pt idx="40">
                    <c:v>16</c:v>
                  </c:pt>
                  <c:pt idx="41">
                    <c:v>17</c:v>
                  </c:pt>
                  <c:pt idx="42">
                    <c:v>18</c:v>
                  </c:pt>
                  <c:pt idx="43">
                    <c:v>19</c:v>
                  </c:pt>
                  <c:pt idx="44">
                    <c:v>20</c:v>
                  </c:pt>
                  <c:pt idx="45">
                    <c:v>21</c:v>
                  </c:pt>
                  <c:pt idx="46">
                    <c:v>22</c:v>
                  </c:pt>
                  <c:pt idx="47">
                    <c:v>23</c:v>
                  </c:pt>
                  <c:pt idx="48">
                    <c:v>24</c:v>
                  </c:pt>
                  <c:pt idx="49">
                    <c:v>1</c:v>
                  </c:pt>
                  <c:pt idx="50">
                    <c:v>2</c:v>
                  </c:pt>
                  <c:pt idx="51">
                    <c:v>3</c:v>
                  </c:pt>
                  <c:pt idx="52">
                    <c:v>4</c:v>
                  </c:pt>
                  <c:pt idx="53">
                    <c:v>5</c:v>
                  </c:pt>
                  <c:pt idx="54">
                    <c:v>6</c:v>
                  </c:pt>
                  <c:pt idx="55">
                    <c:v>7</c:v>
                  </c:pt>
                  <c:pt idx="56">
                    <c:v>8</c:v>
                  </c:pt>
                  <c:pt idx="57">
                    <c:v>9</c:v>
                  </c:pt>
                  <c:pt idx="58">
                    <c:v>10</c:v>
                  </c:pt>
                  <c:pt idx="59">
                    <c:v>11</c:v>
                  </c:pt>
                  <c:pt idx="60">
                    <c:v>12</c:v>
                  </c:pt>
                  <c:pt idx="61">
                    <c:v>13</c:v>
                  </c:pt>
                  <c:pt idx="62">
                    <c:v>14</c:v>
                  </c:pt>
                  <c:pt idx="63">
                    <c:v>15</c:v>
                  </c:pt>
                  <c:pt idx="64">
                    <c:v>16</c:v>
                  </c:pt>
                  <c:pt idx="65">
                    <c:v>17</c:v>
                  </c:pt>
                  <c:pt idx="66">
                    <c:v>18</c:v>
                  </c:pt>
                  <c:pt idx="67">
                    <c:v>19</c:v>
                  </c:pt>
                  <c:pt idx="68">
                    <c:v>20</c:v>
                  </c:pt>
                  <c:pt idx="69">
                    <c:v>21</c:v>
                  </c:pt>
                  <c:pt idx="70">
                    <c:v>22</c:v>
                  </c:pt>
                  <c:pt idx="71">
                    <c:v>23</c:v>
                  </c:pt>
                  <c:pt idx="72">
                    <c:v>24</c:v>
                  </c:pt>
                  <c:pt idx="73">
                    <c:v>25</c:v>
                  </c:pt>
                  <c:pt idx="74">
                    <c:v>1</c:v>
                  </c:pt>
                  <c:pt idx="75">
                    <c:v>2</c:v>
                  </c:pt>
                  <c:pt idx="76">
                    <c:v>3</c:v>
                  </c:pt>
                  <c:pt idx="77">
                    <c:v>4</c:v>
                  </c:pt>
                  <c:pt idx="78">
                    <c:v>5</c:v>
                  </c:pt>
                  <c:pt idx="79">
                    <c:v>6</c:v>
                  </c:pt>
                  <c:pt idx="80">
                    <c:v>7</c:v>
                  </c:pt>
                  <c:pt idx="81">
                    <c:v>8</c:v>
                  </c:pt>
                  <c:pt idx="82">
                    <c:v>9</c:v>
                  </c:pt>
                  <c:pt idx="83">
                    <c:v>10</c:v>
                  </c:pt>
                  <c:pt idx="84">
                    <c:v>11</c:v>
                  </c:pt>
                  <c:pt idx="85">
                    <c:v>12</c:v>
                  </c:pt>
                  <c:pt idx="86">
                    <c:v>13</c:v>
                  </c:pt>
                  <c:pt idx="87">
                    <c:v>14</c:v>
                  </c:pt>
                  <c:pt idx="88">
                    <c:v>15</c:v>
                  </c:pt>
                  <c:pt idx="89">
                    <c:v>16</c:v>
                  </c:pt>
                  <c:pt idx="90">
                    <c:v>17</c:v>
                  </c:pt>
                  <c:pt idx="91">
                    <c:v>18</c:v>
                  </c:pt>
                  <c:pt idx="92">
                    <c:v>19</c:v>
                  </c:pt>
                  <c:pt idx="93">
                    <c:v>20</c:v>
                  </c:pt>
                  <c:pt idx="94">
                    <c:v>21</c:v>
                  </c:pt>
                  <c:pt idx="95">
                    <c:v>22</c:v>
                  </c:pt>
                  <c:pt idx="96">
                    <c:v>1</c:v>
                  </c:pt>
                  <c:pt idx="97">
                    <c:v>2</c:v>
                  </c:pt>
                  <c:pt idx="98">
                    <c:v>3</c:v>
                  </c:pt>
                  <c:pt idx="99">
                    <c:v>4</c:v>
                  </c:pt>
                  <c:pt idx="100">
                    <c:v>5</c:v>
                  </c:pt>
                  <c:pt idx="101">
                    <c:v>6</c:v>
                  </c:pt>
                  <c:pt idx="102">
                    <c:v>7</c:v>
                  </c:pt>
                  <c:pt idx="103">
                    <c:v>8</c:v>
                  </c:pt>
                  <c:pt idx="104">
                    <c:v>9</c:v>
                  </c:pt>
                  <c:pt idx="105">
                    <c:v>10</c:v>
                  </c:pt>
                  <c:pt idx="106">
                    <c:v>11</c:v>
                  </c:pt>
                  <c:pt idx="107">
                    <c:v>12</c:v>
                  </c:pt>
                  <c:pt idx="108">
                    <c:v>13</c:v>
                  </c:pt>
                  <c:pt idx="109">
                    <c:v>14</c:v>
                  </c:pt>
                  <c:pt idx="110">
                    <c:v>15</c:v>
                  </c:pt>
                  <c:pt idx="111">
                    <c:v>16</c:v>
                  </c:pt>
                  <c:pt idx="112">
                    <c:v>17</c:v>
                  </c:pt>
                  <c:pt idx="113">
                    <c:v>18</c:v>
                  </c:pt>
                  <c:pt idx="114">
                    <c:v>19</c:v>
                  </c:pt>
                  <c:pt idx="115">
                    <c:v>20</c:v>
                  </c:pt>
                  <c:pt idx="116">
                    <c:v>21</c:v>
                  </c:pt>
                  <c:pt idx="117">
                    <c:v>22</c:v>
                  </c:pt>
                  <c:pt idx="118">
                    <c:v>23</c:v>
                  </c:pt>
                  <c:pt idx="119">
                    <c:v>24</c:v>
                  </c:pt>
                  <c:pt idx="120">
                    <c:v>25</c:v>
                  </c:pt>
                  <c:pt idx="121">
                    <c:v>26</c:v>
                  </c:pt>
                  <c:pt idx="122">
                    <c:v>27</c:v>
                  </c:pt>
                  <c:pt idx="123">
                    <c:v>28</c:v>
                  </c:pt>
                  <c:pt idx="124">
                    <c:v>1</c:v>
                  </c:pt>
                  <c:pt idx="125">
                    <c:v>2</c:v>
                  </c:pt>
                  <c:pt idx="126">
                    <c:v>3</c:v>
                  </c:pt>
                  <c:pt idx="127">
                    <c:v>4</c:v>
                  </c:pt>
                  <c:pt idx="128">
                    <c:v>5</c:v>
                  </c:pt>
                  <c:pt idx="129">
                    <c:v>6</c:v>
                  </c:pt>
                  <c:pt idx="130">
                    <c:v>7</c:v>
                  </c:pt>
                  <c:pt idx="131">
                    <c:v>8</c:v>
                  </c:pt>
                  <c:pt idx="132">
                    <c:v>9</c:v>
                  </c:pt>
                  <c:pt idx="133">
                    <c:v>10</c:v>
                  </c:pt>
                  <c:pt idx="134">
                    <c:v>11</c:v>
                  </c:pt>
                  <c:pt idx="135">
                    <c:v>12</c:v>
                  </c:pt>
                  <c:pt idx="136">
                    <c:v>13</c:v>
                  </c:pt>
                  <c:pt idx="137">
                    <c:v>14</c:v>
                  </c:pt>
                  <c:pt idx="138">
                    <c:v>15</c:v>
                  </c:pt>
                  <c:pt idx="139">
                    <c:v>16</c:v>
                  </c:pt>
                  <c:pt idx="140">
                    <c:v>17</c:v>
                  </c:pt>
                  <c:pt idx="141">
                    <c:v>18</c:v>
                  </c:pt>
                  <c:pt idx="142">
                    <c:v>19</c:v>
                  </c:pt>
                  <c:pt idx="143">
                    <c:v>20</c:v>
                  </c:pt>
                  <c:pt idx="144">
                    <c:v>21</c:v>
                  </c:pt>
                  <c:pt idx="145">
                    <c:v>22</c:v>
                  </c:pt>
                  <c:pt idx="146">
                    <c:v>23</c:v>
                  </c:pt>
                  <c:pt idx="147">
                    <c:v>24</c:v>
                  </c:pt>
                  <c:pt idx="148">
                    <c:v>25</c:v>
                  </c:pt>
                  <c:pt idx="149">
                    <c:v>26</c:v>
                  </c:pt>
                  <c:pt idx="150">
                    <c:v>1</c:v>
                  </c:pt>
                  <c:pt idx="151">
                    <c:v>2</c:v>
                  </c:pt>
                  <c:pt idx="152">
                    <c:v>3</c:v>
                  </c:pt>
                  <c:pt idx="153">
                    <c:v>4</c:v>
                  </c:pt>
                  <c:pt idx="154">
                    <c:v>5</c:v>
                  </c:pt>
                  <c:pt idx="155">
                    <c:v>6</c:v>
                  </c:pt>
                  <c:pt idx="156">
                    <c:v>7</c:v>
                  </c:pt>
                  <c:pt idx="157">
                    <c:v>8</c:v>
                  </c:pt>
                  <c:pt idx="158">
                    <c:v>9</c:v>
                  </c:pt>
                  <c:pt idx="159">
                    <c:v>10</c:v>
                  </c:pt>
                  <c:pt idx="160">
                    <c:v>11</c:v>
                  </c:pt>
                  <c:pt idx="161">
                    <c:v>12</c:v>
                  </c:pt>
                  <c:pt idx="162">
                    <c:v>13</c:v>
                  </c:pt>
                  <c:pt idx="163">
                    <c:v>14</c:v>
                  </c:pt>
                  <c:pt idx="164">
                    <c:v>15</c:v>
                  </c:pt>
                  <c:pt idx="165">
                    <c:v>16</c:v>
                  </c:pt>
                  <c:pt idx="166">
                    <c:v>17</c:v>
                  </c:pt>
                  <c:pt idx="167">
                    <c:v>18</c:v>
                  </c:pt>
                  <c:pt idx="168">
                    <c:v>19</c:v>
                  </c:pt>
                  <c:pt idx="169">
                    <c:v>20</c:v>
                  </c:pt>
                  <c:pt idx="170">
                    <c:v>21</c:v>
                  </c:pt>
                  <c:pt idx="171">
                    <c:v>22</c:v>
                  </c:pt>
                  <c:pt idx="172">
                    <c:v>23</c:v>
                  </c:pt>
                  <c:pt idx="173">
                    <c:v>24</c:v>
                  </c:pt>
                  <c:pt idx="174">
                    <c:v>25</c:v>
                  </c:pt>
                  <c:pt idx="175">
                    <c:v>26</c:v>
                  </c:pt>
                  <c:pt idx="176">
                    <c:v>1</c:v>
                  </c:pt>
                  <c:pt idx="177">
                    <c:v>2</c:v>
                  </c:pt>
                  <c:pt idx="178">
                    <c:v>3</c:v>
                  </c:pt>
                  <c:pt idx="179">
                    <c:v>4</c:v>
                  </c:pt>
                  <c:pt idx="180">
                    <c:v>5</c:v>
                  </c:pt>
                  <c:pt idx="181">
                    <c:v>6</c:v>
                  </c:pt>
                  <c:pt idx="182">
                    <c:v>7</c:v>
                  </c:pt>
                  <c:pt idx="183">
                    <c:v>8</c:v>
                  </c:pt>
                  <c:pt idx="184">
                    <c:v>9</c:v>
                  </c:pt>
                  <c:pt idx="185">
                    <c:v>10</c:v>
                  </c:pt>
                  <c:pt idx="186">
                    <c:v>11</c:v>
                  </c:pt>
                  <c:pt idx="187">
                    <c:v>12</c:v>
                  </c:pt>
                  <c:pt idx="188">
                    <c:v>13</c:v>
                  </c:pt>
                  <c:pt idx="189">
                    <c:v>14</c:v>
                  </c:pt>
                  <c:pt idx="190">
                    <c:v>15</c:v>
                  </c:pt>
                  <c:pt idx="191">
                    <c:v>16</c:v>
                  </c:pt>
                  <c:pt idx="192">
                    <c:v>17</c:v>
                  </c:pt>
                  <c:pt idx="193">
                    <c:v>18</c:v>
                  </c:pt>
                  <c:pt idx="194">
                    <c:v>19</c:v>
                  </c:pt>
                  <c:pt idx="195">
                    <c:v>20</c:v>
                  </c:pt>
                  <c:pt idx="196">
                    <c:v>21</c:v>
                  </c:pt>
                  <c:pt idx="197">
                    <c:v>22</c:v>
                  </c:pt>
                  <c:pt idx="198">
                    <c:v>23</c:v>
                  </c:pt>
                  <c:pt idx="199">
                    <c:v>24</c:v>
                  </c:pt>
                  <c:pt idx="200">
                    <c:v>1</c:v>
                  </c:pt>
                  <c:pt idx="201">
                    <c:v>2</c:v>
                  </c:pt>
                  <c:pt idx="202">
                    <c:v>3</c:v>
                  </c:pt>
                  <c:pt idx="203">
                    <c:v>4</c:v>
                  </c:pt>
                  <c:pt idx="204">
                    <c:v>5</c:v>
                  </c:pt>
                  <c:pt idx="205">
                    <c:v>6</c:v>
                  </c:pt>
                  <c:pt idx="206">
                    <c:v>7</c:v>
                  </c:pt>
                  <c:pt idx="207">
                    <c:v>8</c:v>
                  </c:pt>
                  <c:pt idx="208">
                    <c:v>9</c:v>
                  </c:pt>
                  <c:pt idx="209">
                    <c:v>10</c:v>
                  </c:pt>
                  <c:pt idx="210">
                    <c:v>11</c:v>
                  </c:pt>
                  <c:pt idx="211">
                    <c:v>12</c:v>
                  </c:pt>
                  <c:pt idx="212">
                    <c:v>13</c:v>
                  </c:pt>
                  <c:pt idx="213">
                    <c:v>14</c:v>
                  </c:pt>
                  <c:pt idx="214">
                    <c:v>15</c:v>
                  </c:pt>
                  <c:pt idx="215">
                    <c:v>16</c:v>
                  </c:pt>
                  <c:pt idx="216">
                    <c:v>17</c:v>
                  </c:pt>
                  <c:pt idx="217">
                    <c:v>18</c:v>
                  </c:pt>
                  <c:pt idx="218">
                    <c:v>19</c:v>
                  </c:pt>
                  <c:pt idx="219">
                    <c:v>20</c:v>
                  </c:pt>
                  <c:pt idx="220">
                    <c:v>21</c:v>
                  </c:pt>
                  <c:pt idx="221">
                    <c:v>22</c:v>
                  </c:pt>
                  <c:pt idx="222">
                    <c:v>23</c:v>
                  </c:pt>
                  <c:pt idx="223">
                    <c:v>24</c:v>
                  </c:pt>
                  <c:pt idx="224">
                    <c:v>25</c:v>
                  </c:pt>
                </c:lvl>
                <c:lvl>
                  <c:pt idx="0">
                    <c:v>Season 1</c:v>
                  </c:pt>
                  <c:pt idx="25">
                    <c:v>Season 2</c:v>
                  </c:pt>
                  <c:pt idx="49">
                    <c:v>Season 3</c:v>
                  </c:pt>
                  <c:pt idx="74">
                    <c:v>Season 4</c:v>
                  </c:pt>
                  <c:pt idx="96">
                    <c:v>Season 5</c:v>
                  </c:pt>
                  <c:pt idx="124">
                    <c:v>Season 6</c:v>
                  </c:pt>
                  <c:pt idx="150">
                    <c:v>Season 7</c:v>
                  </c:pt>
                  <c:pt idx="176">
                    <c:v>Season 8</c:v>
                  </c:pt>
                  <c:pt idx="200">
                    <c:v>Season 9</c:v>
                  </c:pt>
                </c:lvl>
              </c:multiLvlStrCache>
            </c:multiLvlStrRef>
          </c:cat>
          <c:val>
            <c:numRef>
              <c:f>Graphs!$I$18:$I$252</c:f>
              <c:numCache>
                <c:formatCode>General</c:formatCode>
                <c:ptCount val="225"/>
                <c:pt idx="0">
                  <c:v>8.1</c:v>
                </c:pt>
                <c:pt idx="1">
                  <c:v>5.7</c:v>
                </c:pt>
                <c:pt idx="2">
                  <c:v>6</c:v>
                </c:pt>
                <c:pt idx="3">
                  <c:v>4.5999999999999996</c:v>
                </c:pt>
                <c:pt idx="4">
                  <c:v>5.2</c:v>
                </c:pt>
                <c:pt idx="5">
                  <c:v>6</c:v>
                </c:pt>
                <c:pt idx="6">
                  <c:v>6.8</c:v>
                </c:pt>
                <c:pt idx="7">
                  <c:v>5.9</c:v>
                </c:pt>
                <c:pt idx="8">
                  <c:v>5.9</c:v>
                </c:pt>
                <c:pt idx="9">
                  <c:v>6.1</c:v>
                </c:pt>
                <c:pt idx="10">
                  <c:v>5</c:v>
                </c:pt>
                <c:pt idx="11">
                  <c:v>5.7</c:v>
                </c:pt>
                <c:pt idx="12">
                  <c:v>5.2</c:v>
                </c:pt>
                <c:pt idx="13">
                  <c:v>5</c:v>
                </c:pt>
                <c:pt idx="14">
                  <c:v>4.5999999999999996</c:v>
                </c:pt>
                <c:pt idx="15">
                  <c:v>5.7</c:v>
                </c:pt>
                <c:pt idx="16">
                  <c:v>5.2</c:v>
                </c:pt>
                <c:pt idx="17">
                  <c:v>5.4</c:v>
                </c:pt>
                <c:pt idx="18">
                  <c:v>5.0999999999999996</c:v>
                </c:pt>
                <c:pt idx="19">
                  <c:v>5.2</c:v>
                </c:pt>
                <c:pt idx="20">
                  <c:v>4.7</c:v>
                </c:pt>
                <c:pt idx="25">
                  <c:v>7.3</c:v>
                </c:pt>
                <c:pt idx="26">
                  <c:v>6.6</c:v>
                </c:pt>
                <c:pt idx="27">
                  <c:v>6.2</c:v>
                </c:pt>
                <c:pt idx="28">
                  <c:v>6.5</c:v>
                </c:pt>
                <c:pt idx="29">
                  <c:v>6.6</c:v>
                </c:pt>
                <c:pt idx="30">
                  <c:v>5.8</c:v>
                </c:pt>
                <c:pt idx="31">
                  <c:v>6.4</c:v>
                </c:pt>
                <c:pt idx="32">
                  <c:v>5.8</c:v>
                </c:pt>
                <c:pt idx="33">
                  <c:v>5.6</c:v>
                </c:pt>
                <c:pt idx="34">
                  <c:v>6</c:v>
                </c:pt>
                <c:pt idx="35">
                  <c:v>5.7</c:v>
                </c:pt>
                <c:pt idx="36">
                  <c:v>6.4</c:v>
                </c:pt>
                <c:pt idx="37">
                  <c:v>5.5</c:v>
                </c:pt>
                <c:pt idx="38">
                  <c:v>5.4</c:v>
                </c:pt>
                <c:pt idx="39">
                  <c:v>5.6</c:v>
                </c:pt>
                <c:pt idx="49">
                  <c:v>8.6999999999999993</c:v>
                </c:pt>
                <c:pt idx="50">
                  <c:v>8</c:v>
                </c:pt>
                <c:pt idx="51">
                  <c:v>7.5</c:v>
                </c:pt>
                <c:pt idx="52">
                  <c:v>7.3</c:v>
                </c:pt>
                <c:pt idx="53">
                  <c:v>7.1</c:v>
                </c:pt>
                <c:pt idx="54">
                  <c:v>8.9</c:v>
                </c:pt>
                <c:pt idx="55">
                  <c:v>5.4</c:v>
                </c:pt>
                <c:pt idx="56">
                  <c:v>6.6</c:v>
                </c:pt>
                <c:pt idx="57">
                  <c:v>6.4</c:v>
                </c:pt>
                <c:pt idx="58">
                  <c:v>6.4</c:v>
                </c:pt>
                <c:pt idx="59">
                  <c:v>7.6</c:v>
                </c:pt>
                <c:pt idx="60">
                  <c:v>6.4</c:v>
                </c:pt>
                <c:pt idx="61">
                  <c:v>7.3</c:v>
                </c:pt>
                <c:pt idx="62">
                  <c:v>6.4</c:v>
                </c:pt>
                <c:pt idx="63">
                  <c:v>7.1</c:v>
                </c:pt>
                <c:pt idx="64">
                  <c:v>7.2</c:v>
                </c:pt>
                <c:pt idx="65">
                  <c:v>6.8</c:v>
                </c:pt>
                <c:pt idx="66">
                  <c:v>7.3</c:v>
                </c:pt>
                <c:pt idx="67">
                  <c:v>6.3</c:v>
                </c:pt>
                <c:pt idx="68">
                  <c:v>6</c:v>
                </c:pt>
                <c:pt idx="69">
                  <c:v>6.2</c:v>
                </c:pt>
                <c:pt idx="70">
                  <c:v>5.7</c:v>
                </c:pt>
                <c:pt idx="74">
                  <c:v>6.39</c:v>
                </c:pt>
                <c:pt idx="75">
                  <c:v>6.68</c:v>
                </c:pt>
                <c:pt idx="76">
                  <c:v>6.01</c:v>
                </c:pt>
                <c:pt idx="77">
                  <c:v>6.15</c:v>
                </c:pt>
                <c:pt idx="78">
                  <c:v>6</c:v>
                </c:pt>
                <c:pt idx="79">
                  <c:v>5.72</c:v>
                </c:pt>
                <c:pt idx="80">
                  <c:v>6.08</c:v>
                </c:pt>
                <c:pt idx="81">
                  <c:v>6.7</c:v>
                </c:pt>
                <c:pt idx="82">
                  <c:v>5.12</c:v>
                </c:pt>
                <c:pt idx="83">
                  <c:v>5.01</c:v>
                </c:pt>
                <c:pt idx="84">
                  <c:v>5.58</c:v>
                </c:pt>
                <c:pt idx="85">
                  <c:v>5.79</c:v>
                </c:pt>
                <c:pt idx="86">
                  <c:v>6</c:v>
                </c:pt>
                <c:pt idx="87">
                  <c:v>5.89</c:v>
                </c:pt>
                <c:pt idx="88">
                  <c:v>6.79</c:v>
                </c:pt>
                <c:pt idx="89">
                  <c:v>6.25</c:v>
                </c:pt>
                <c:pt idx="90">
                  <c:v>4</c:v>
                </c:pt>
                <c:pt idx="91">
                  <c:v>5.16</c:v>
                </c:pt>
                <c:pt idx="92">
                  <c:v>5.44</c:v>
                </c:pt>
                <c:pt idx="93">
                  <c:v>5.42</c:v>
                </c:pt>
                <c:pt idx="94">
                  <c:v>4.96</c:v>
                </c:pt>
                <c:pt idx="95">
                  <c:v>5.45</c:v>
                </c:pt>
                <c:pt idx="96">
                  <c:v>5.85</c:v>
                </c:pt>
                <c:pt idx="97">
                  <c:v>5.68</c:v>
                </c:pt>
                <c:pt idx="98">
                  <c:v>4.9000000000000004</c:v>
                </c:pt>
                <c:pt idx="99">
                  <c:v>6.7</c:v>
                </c:pt>
                <c:pt idx="100">
                  <c:v>5.18</c:v>
                </c:pt>
                <c:pt idx="101">
                  <c:v>5.31</c:v>
                </c:pt>
                <c:pt idx="102">
                  <c:v>5.09</c:v>
                </c:pt>
                <c:pt idx="103">
                  <c:v>5.1100000000000003</c:v>
                </c:pt>
                <c:pt idx="104">
                  <c:v>5.03</c:v>
                </c:pt>
                <c:pt idx="105">
                  <c:v>4.76</c:v>
                </c:pt>
                <c:pt idx="106">
                  <c:v>5.34</c:v>
                </c:pt>
                <c:pt idx="107">
                  <c:v>4.92</c:v>
                </c:pt>
                <c:pt idx="108">
                  <c:v>4.78</c:v>
                </c:pt>
                <c:pt idx="109">
                  <c:v>4.59</c:v>
                </c:pt>
                <c:pt idx="110">
                  <c:v>4.07</c:v>
                </c:pt>
                <c:pt idx="111">
                  <c:v>4.5</c:v>
                </c:pt>
                <c:pt idx="112">
                  <c:v>4.1900000000000004</c:v>
                </c:pt>
                <c:pt idx="113">
                  <c:v>4.3600000000000003</c:v>
                </c:pt>
                <c:pt idx="114">
                  <c:v>4.45</c:v>
                </c:pt>
                <c:pt idx="115">
                  <c:v>4.5999999999999996</c:v>
                </c:pt>
                <c:pt idx="116">
                  <c:v>3.95</c:v>
                </c:pt>
                <c:pt idx="117">
                  <c:v>3.95</c:v>
                </c:pt>
                <c:pt idx="118">
                  <c:v>4.2</c:v>
                </c:pt>
                <c:pt idx="124">
                  <c:v>4.47</c:v>
                </c:pt>
                <c:pt idx="125">
                  <c:v>4.05</c:v>
                </c:pt>
                <c:pt idx="126">
                  <c:v>3.82</c:v>
                </c:pt>
                <c:pt idx="127">
                  <c:v>3.98</c:v>
                </c:pt>
                <c:pt idx="128">
                  <c:v>3.23</c:v>
                </c:pt>
                <c:pt idx="129">
                  <c:v>3.88</c:v>
                </c:pt>
                <c:pt idx="130">
                  <c:v>3.59</c:v>
                </c:pt>
                <c:pt idx="131">
                  <c:v>3.59</c:v>
                </c:pt>
                <c:pt idx="132">
                  <c:v>3.7</c:v>
                </c:pt>
                <c:pt idx="133">
                  <c:v>3.77</c:v>
                </c:pt>
                <c:pt idx="134">
                  <c:v>3.42</c:v>
                </c:pt>
                <c:pt idx="135">
                  <c:v>4</c:v>
                </c:pt>
                <c:pt idx="136">
                  <c:v>3.31</c:v>
                </c:pt>
                <c:pt idx="137">
                  <c:v>3.42</c:v>
                </c:pt>
                <c:pt idx="138">
                  <c:v>3.14</c:v>
                </c:pt>
                <c:pt idx="139">
                  <c:v>2.79</c:v>
                </c:pt>
                <c:pt idx="140">
                  <c:v>2.98</c:v>
                </c:pt>
                <c:pt idx="141">
                  <c:v>3.06</c:v>
                </c:pt>
                <c:pt idx="142">
                  <c:v>3.47</c:v>
                </c:pt>
                <c:pt idx="143">
                  <c:v>3.04</c:v>
                </c:pt>
                <c:pt idx="144">
                  <c:v>2.92</c:v>
                </c:pt>
                <c:pt idx="145">
                  <c:v>2.84</c:v>
                </c:pt>
                <c:pt idx="150">
                  <c:v>3.46</c:v>
                </c:pt>
                <c:pt idx="151">
                  <c:v>3.4</c:v>
                </c:pt>
                <c:pt idx="152">
                  <c:v>3.04</c:v>
                </c:pt>
                <c:pt idx="153">
                  <c:v>3.13</c:v>
                </c:pt>
                <c:pt idx="154">
                  <c:v>3.38</c:v>
                </c:pt>
                <c:pt idx="155">
                  <c:v>3.34</c:v>
                </c:pt>
                <c:pt idx="156">
                  <c:v>3.61</c:v>
                </c:pt>
                <c:pt idx="157">
                  <c:v>3.22</c:v>
                </c:pt>
                <c:pt idx="158">
                  <c:v>3.79</c:v>
                </c:pt>
                <c:pt idx="159">
                  <c:v>3.44</c:v>
                </c:pt>
                <c:pt idx="160">
                  <c:v>3.81</c:v>
                </c:pt>
                <c:pt idx="161">
                  <c:v>4.88</c:v>
                </c:pt>
                <c:pt idx="162">
                  <c:v>4.88</c:v>
                </c:pt>
              </c:numCache>
            </c:numRef>
          </c:val>
          <c:smooth val="0"/>
          <c:extLst>
            <c:ext xmlns:c16="http://schemas.microsoft.com/office/drawing/2014/chart" uri="{C3380CC4-5D6E-409C-BE32-E72D297353CC}">
              <c16:uniqueId val="{00000000-C9EA-5C45-8F03-6CD490278A79}"/>
            </c:ext>
          </c:extLst>
        </c:ser>
        <c:ser>
          <c:idx val="1"/>
          <c:order val="1"/>
          <c:tx>
            <c:strRef>
              <c:f>Graphs!$J$16:$J$17</c:f>
              <c:strCache>
                <c:ptCount val="1"/>
                <c:pt idx="0">
                  <c:v>Community</c:v>
                </c:pt>
              </c:strCache>
            </c:strRef>
          </c:tx>
          <c:spPr>
            <a:ln w="28575" cap="rnd">
              <a:solidFill>
                <a:schemeClr val="accent2"/>
              </a:solidFill>
              <a:round/>
            </a:ln>
            <a:effectLst/>
          </c:spPr>
          <c:marker>
            <c:symbol val="none"/>
          </c:marker>
          <c:cat>
            <c:multiLvlStrRef>
              <c:f>Graphs!$H$18:$H$252</c:f>
              <c:multiLvlStrCache>
                <c:ptCount val="225"/>
                <c:lvl>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1</c:v>
                  </c:pt>
                  <c:pt idx="26">
                    <c:v>2</c:v>
                  </c:pt>
                  <c:pt idx="27">
                    <c:v>3</c:v>
                  </c:pt>
                  <c:pt idx="28">
                    <c:v>4</c:v>
                  </c:pt>
                  <c:pt idx="29">
                    <c:v>5</c:v>
                  </c:pt>
                  <c:pt idx="30">
                    <c:v>6</c:v>
                  </c:pt>
                  <c:pt idx="31">
                    <c:v>7</c:v>
                  </c:pt>
                  <c:pt idx="32">
                    <c:v>8</c:v>
                  </c:pt>
                  <c:pt idx="33">
                    <c:v>9</c:v>
                  </c:pt>
                  <c:pt idx="34">
                    <c:v>10</c:v>
                  </c:pt>
                  <c:pt idx="35">
                    <c:v>11</c:v>
                  </c:pt>
                  <c:pt idx="36">
                    <c:v>12</c:v>
                  </c:pt>
                  <c:pt idx="37">
                    <c:v>13</c:v>
                  </c:pt>
                  <c:pt idx="38">
                    <c:v>14</c:v>
                  </c:pt>
                  <c:pt idx="39">
                    <c:v>15</c:v>
                  </c:pt>
                  <c:pt idx="40">
                    <c:v>16</c:v>
                  </c:pt>
                  <c:pt idx="41">
                    <c:v>17</c:v>
                  </c:pt>
                  <c:pt idx="42">
                    <c:v>18</c:v>
                  </c:pt>
                  <c:pt idx="43">
                    <c:v>19</c:v>
                  </c:pt>
                  <c:pt idx="44">
                    <c:v>20</c:v>
                  </c:pt>
                  <c:pt idx="45">
                    <c:v>21</c:v>
                  </c:pt>
                  <c:pt idx="46">
                    <c:v>22</c:v>
                  </c:pt>
                  <c:pt idx="47">
                    <c:v>23</c:v>
                  </c:pt>
                  <c:pt idx="48">
                    <c:v>24</c:v>
                  </c:pt>
                  <c:pt idx="49">
                    <c:v>1</c:v>
                  </c:pt>
                  <c:pt idx="50">
                    <c:v>2</c:v>
                  </c:pt>
                  <c:pt idx="51">
                    <c:v>3</c:v>
                  </c:pt>
                  <c:pt idx="52">
                    <c:v>4</c:v>
                  </c:pt>
                  <c:pt idx="53">
                    <c:v>5</c:v>
                  </c:pt>
                  <c:pt idx="54">
                    <c:v>6</c:v>
                  </c:pt>
                  <c:pt idx="55">
                    <c:v>7</c:v>
                  </c:pt>
                  <c:pt idx="56">
                    <c:v>8</c:v>
                  </c:pt>
                  <c:pt idx="57">
                    <c:v>9</c:v>
                  </c:pt>
                  <c:pt idx="58">
                    <c:v>10</c:v>
                  </c:pt>
                  <c:pt idx="59">
                    <c:v>11</c:v>
                  </c:pt>
                  <c:pt idx="60">
                    <c:v>12</c:v>
                  </c:pt>
                  <c:pt idx="61">
                    <c:v>13</c:v>
                  </c:pt>
                  <c:pt idx="62">
                    <c:v>14</c:v>
                  </c:pt>
                  <c:pt idx="63">
                    <c:v>15</c:v>
                  </c:pt>
                  <c:pt idx="64">
                    <c:v>16</c:v>
                  </c:pt>
                  <c:pt idx="65">
                    <c:v>17</c:v>
                  </c:pt>
                  <c:pt idx="66">
                    <c:v>18</c:v>
                  </c:pt>
                  <c:pt idx="67">
                    <c:v>19</c:v>
                  </c:pt>
                  <c:pt idx="68">
                    <c:v>20</c:v>
                  </c:pt>
                  <c:pt idx="69">
                    <c:v>21</c:v>
                  </c:pt>
                  <c:pt idx="70">
                    <c:v>22</c:v>
                  </c:pt>
                  <c:pt idx="71">
                    <c:v>23</c:v>
                  </c:pt>
                  <c:pt idx="72">
                    <c:v>24</c:v>
                  </c:pt>
                  <c:pt idx="73">
                    <c:v>25</c:v>
                  </c:pt>
                  <c:pt idx="74">
                    <c:v>1</c:v>
                  </c:pt>
                  <c:pt idx="75">
                    <c:v>2</c:v>
                  </c:pt>
                  <c:pt idx="76">
                    <c:v>3</c:v>
                  </c:pt>
                  <c:pt idx="77">
                    <c:v>4</c:v>
                  </c:pt>
                  <c:pt idx="78">
                    <c:v>5</c:v>
                  </c:pt>
                  <c:pt idx="79">
                    <c:v>6</c:v>
                  </c:pt>
                  <c:pt idx="80">
                    <c:v>7</c:v>
                  </c:pt>
                  <c:pt idx="81">
                    <c:v>8</c:v>
                  </c:pt>
                  <c:pt idx="82">
                    <c:v>9</c:v>
                  </c:pt>
                  <c:pt idx="83">
                    <c:v>10</c:v>
                  </c:pt>
                  <c:pt idx="84">
                    <c:v>11</c:v>
                  </c:pt>
                  <c:pt idx="85">
                    <c:v>12</c:v>
                  </c:pt>
                  <c:pt idx="86">
                    <c:v>13</c:v>
                  </c:pt>
                  <c:pt idx="87">
                    <c:v>14</c:v>
                  </c:pt>
                  <c:pt idx="88">
                    <c:v>15</c:v>
                  </c:pt>
                  <c:pt idx="89">
                    <c:v>16</c:v>
                  </c:pt>
                  <c:pt idx="90">
                    <c:v>17</c:v>
                  </c:pt>
                  <c:pt idx="91">
                    <c:v>18</c:v>
                  </c:pt>
                  <c:pt idx="92">
                    <c:v>19</c:v>
                  </c:pt>
                  <c:pt idx="93">
                    <c:v>20</c:v>
                  </c:pt>
                  <c:pt idx="94">
                    <c:v>21</c:v>
                  </c:pt>
                  <c:pt idx="95">
                    <c:v>22</c:v>
                  </c:pt>
                  <c:pt idx="96">
                    <c:v>1</c:v>
                  </c:pt>
                  <c:pt idx="97">
                    <c:v>2</c:v>
                  </c:pt>
                  <c:pt idx="98">
                    <c:v>3</c:v>
                  </c:pt>
                  <c:pt idx="99">
                    <c:v>4</c:v>
                  </c:pt>
                  <c:pt idx="100">
                    <c:v>5</c:v>
                  </c:pt>
                  <c:pt idx="101">
                    <c:v>6</c:v>
                  </c:pt>
                  <c:pt idx="102">
                    <c:v>7</c:v>
                  </c:pt>
                  <c:pt idx="103">
                    <c:v>8</c:v>
                  </c:pt>
                  <c:pt idx="104">
                    <c:v>9</c:v>
                  </c:pt>
                  <c:pt idx="105">
                    <c:v>10</c:v>
                  </c:pt>
                  <c:pt idx="106">
                    <c:v>11</c:v>
                  </c:pt>
                  <c:pt idx="107">
                    <c:v>12</c:v>
                  </c:pt>
                  <c:pt idx="108">
                    <c:v>13</c:v>
                  </c:pt>
                  <c:pt idx="109">
                    <c:v>14</c:v>
                  </c:pt>
                  <c:pt idx="110">
                    <c:v>15</c:v>
                  </c:pt>
                  <c:pt idx="111">
                    <c:v>16</c:v>
                  </c:pt>
                  <c:pt idx="112">
                    <c:v>17</c:v>
                  </c:pt>
                  <c:pt idx="113">
                    <c:v>18</c:v>
                  </c:pt>
                  <c:pt idx="114">
                    <c:v>19</c:v>
                  </c:pt>
                  <c:pt idx="115">
                    <c:v>20</c:v>
                  </c:pt>
                  <c:pt idx="116">
                    <c:v>21</c:v>
                  </c:pt>
                  <c:pt idx="117">
                    <c:v>22</c:v>
                  </c:pt>
                  <c:pt idx="118">
                    <c:v>23</c:v>
                  </c:pt>
                  <c:pt idx="119">
                    <c:v>24</c:v>
                  </c:pt>
                  <c:pt idx="120">
                    <c:v>25</c:v>
                  </c:pt>
                  <c:pt idx="121">
                    <c:v>26</c:v>
                  </c:pt>
                  <c:pt idx="122">
                    <c:v>27</c:v>
                  </c:pt>
                  <c:pt idx="123">
                    <c:v>28</c:v>
                  </c:pt>
                  <c:pt idx="124">
                    <c:v>1</c:v>
                  </c:pt>
                  <c:pt idx="125">
                    <c:v>2</c:v>
                  </c:pt>
                  <c:pt idx="126">
                    <c:v>3</c:v>
                  </c:pt>
                  <c:pt idx="127">
                    <c:v>4</c:v>
                  </c:pt>
                  <c:pt idx="128">
                    <c:v>5</c:v>
                  </c:pt>
                  <c:pt idx="129">
                    <c:v>6</c:v>
                  </c:pt>
                  <c:pt idx="130">
                    <c:v>7</c:v>
                  </c:pt>
                  <c:pt idx="131">
                    <c:v>8</c:v>
                  </c:pt>
                  <c:pt idx="132">
                    <c:v>9</c:v>
                  </c:pt>
                  <c:pt idx="133">
                    <c:v>10</c:v>
                  </c:pt>
                  <c:pt idx="134">
                    <c:v>11</c:v>
                  </c:pt>
                  <c:pt idx="135">
                    <c:v>12</c:v>
                  </c:pt>
                  <c:pt idx="136">
                    <c:v>13</c:v>
                  </c:pt>
                  <c:pt idx="137">
                    <c:v>14</c:v>
                  </c:pt>
                  <c:pt idx="138">
                    <c:v>15</c:v>
                  </c:pt>
                  <c:pt idx="139">
                    <c:v>16</c:v>
                  </c:pt>
                  <c:pt idx="140">
                    <c:v>17</c:v>
                  </c:pt>
                  <c:pt idx="141">
                    <c:v>18</c:v>
                  </c:pt>
                  <c:pt idx="142">
                    <c:v>19</c:v>
                  </c:pt>
                  <c:pt idx="143">
                    <c:v>20</c:v>
                  </c:pt>
                  <c:pt idx="144">
                    <c:v>21</c:v>
                  </c:pt>
                  <c:pt idx="145">
                    <c:v>22</c:v>
                  </c:pt>
                  <c:pt idx="146">
                    <c:v>23</c:v>
                  </c:pt>
                  <c:pt idx="147">
                    <c:v>24</c:v>
                  </c:pt>
                  <c:pt idx="148">
                    <c:v>25</c:v>
                  </c:pt>
                  <c:pt idx="149">
                    <c:v>26</c:v>
                  </c:pt>
                  <c:pt idx="150">
                    <c:v>1</c:v>
                  </c:pt>
                  <c:pt idx="151">
                    <c:v>2</c:v>
                  </c:pt>
                  <c:pt idx="152">
                    <c:v>3</c:v>
                  </c:pt>
                  <c:pt idx="153">
                    <c:v>4</c:v>
                  </c:pt>
                  <c:pt idx="154">
                    <c:v>5</c:v>
                  </c:pt>
                  <c:pt idx="155">
                    <c:v>6</c:v>
                  </c:pt>
                  <c:pt idx="156">
                    <c:v>7</c:v>
                  </c:pt>
                  <c:pt idx="157">
                    <c:v>8</c:v>
                  </c:pt>
                  <c:pt idx="158">
                    <c:v>9</c:v>
                  </c:pt>
                  <c:pt idx="159">
                    <c:v>10</c:v>
                  </c:pt>
                  <c:pt idx="160">
                    <c:v>11</c:v>
                  </c:pt>
                  <c:pt idx="161">
                    <c:v>12</c:v>
                  </c:pt>
                  <c:pt idx="162">
                    <c:v>13</c:v>
                  </c:pt>
                  <c:pt idx="163">
                    <c:v>14</c:v>
                  </c:pt>
                  <c:pt idx="164">
                    <c:v>15</c:v>
                  </c:pt>
                  <c:pt idx="165">
                    <c:v>16</c:v>
                  </c:pt>
                  <c:pt idx="166">
                    <c:v>17</c:v>
                  </c:pt>
                  <c:pt idx="167">
                    <c:v>18</c:v>
                  </c:pt>
                  <c:pt idx="168">
                    <c:v>19</c:v>
                  </c:pt>
                  <c:pt idx="169">
                    <c:v>20</c:v>
                  </c:pt>
                  <c:pt idx="170">
                    <c:v>21</c:v>
                  </c:pt>
                  <c:pt idx="171">
                    <c:v>22</c:v>
                  </c:pt>
                  <c:pt idx="172">
                    <c:v>23</c:v>
                  </c:pt>
                  <c:pt idx="173">
                    <c:v>24</c:v>
                  </c:pt>
                  <c:pt idx="174">
                    <c:v>25</c:v>
                  </c:pt>
                  <c:pt idx="175">
                    <c:v>26</c:v>
                  </c:pt>
                  <c:pt idx="176">
                    <c:v>1</c:v>
                  </c:pt>
                  <c:pt idx="177">
                    <c:v>2</c:v>
                  </c:pt>
                  <c:pt idx="178">
                    <c:v>3</c:v>
                  </c:pt>
                  <c:pt idx="179">
                    <c:v>4</c:v>
                  </c:pt>
                  <c:pt idx="180">
                    <c:v>5</c:v>
                  </c:pt>
                  <c:pt idx="181">
                    <c:v>6</c:v>
                  </c:pt>
                  <c:pt idx="182">
                    <c:v>7</c:v>
                  </c:pt>
                  <c:pt idx="183">
                    <c:v>8</c:v>
                  </c:pt>
                  <c:pt idx="184">
                    <c:v>9</c:v>
                  </c:pt>
                  <c:pt idx="185">
                    <c:v>10</c:v>
                  </c:pt>
                  <c:pt idx="186">
                    <c:v>11</c:v>
                  </c:pt>
                  <c:pt idx="187">
                    <c:v>12</c:v>
                  </c:pt>
                  <c:pt idx="188">
                    <c:v>13</c:v>
                  </c:pt>
                  <c:pt idx="189">
                    <c:v>14</c:v>
                  </c:pt>
                  <c:pt idx="190">
                    <c:v>15</c:v>
                  </c:pt>
                  <c:pt idx="191">
                    <c:v>16</c:v>
                  </c:pt>
                  <c:pt idx="192">
                    <c:v>17</c:v>
                  </c:pt>
                  <c:pt idx="193">
                    <c:v>18</c:v>
                  </c:pt>
                  <c:pt idx="194">
                    <c:v>19</c:v>
                  </c:pt>
                  <c:pt idx="195">
                    <c:v>20</c:v>
                  </c:pt>
                  <c:pt idx="196">
                    <c:v>21</c:v>
                  </c:pt>
                  <c:pt idx="197">
                    <c:v>22</c:v>
                  </c:pt>
                  <c:pt idx="198">
                    <c:v>23</c:v>
                  </c:pt>
                  <c:pt idx="199">
                    <c:v>24</c:v>
                  </c:pt>
                  <c:pt idx="200">
                    <c:v>1</c:v>
                  </c:pt>
                  <c:pt idx="201">
                    <c:v>2</c:v>
                  </c:pt>
                  <c:pt idx="202">
                    <c:v>3</c:v>
                  </c:pt>
                  <c:pt idx="203">
                    <c:v>4</c:v>
                  </c:pt>
                  <c:pt idx="204">
                    <c:v>5</c:v>
                  </c:pt>
                  <c:pt idx="205">
                    <c:v>6</c:v>
                  </c:pt>
                  <c:pt idx="206">
                    <c:v>7</c:v>
                  </c:pt>
                  <c:pt idx="207">
                    <c:v>8</c:v>
                  </c:pt>
                  <c:pt idx="208">
                    <c:v>9</c:v>
                  </c:pt>
                  <c:pt idx="209">
                    <c:v>10</c:v>
                  </c:pt>
                  <c:pt idx="210">
                    <c:v>11</c:v>
                  </c:pt>
                  <c:pt idx="211">
                    <c:v>12</c:v>
                  </c:pt>
                  <c:pt idx="212">
                    <c:v>13</c:v>
                  </c:pt>
                  <c:pt idx="213">
                    <c:v>14</c:v>
                  </c:pt>
                  <c:pt idx="214">
                    <c:v>15</c:v>
                  </c:pt>
                  <c:pt idx="215">
                    <c:v>16</c:v>
                  </c:pt>
                  <c:pt idx="216">
                    <c:v>17</c:v>
                  </c:pt>
                  <c:pt idx="217">
                    <c:v>18</c:v>
                  </c:pt>
                  <c:pt idx="218">
                    <c:v>19</c:v>
                  </c:pt>
                  <c:pt idx="219">
                    <c:v>20</c:v>
                  </c:pt>
                  <c:pt idx="220">
                    <c:v>21</c:v>
                  </c:pt>
                  <c:pt idx="221">
                    <c:v>22</c:v>
                  </c:pt>
                  <c:pt idx="222">
                    <c:v>23</c:v>
                  </c:pt>
                  <c:pt idx="223">
                    <c:v>24</c:v>
                  </c:pt>
                  <c:pt idx="224">
                    <c:v>25</c:v>
                  </c:pt>
                </c:lvl>
                <c:lvl>
                  <c:pt idx="0">
                    <c:v>Season 1</c:v>
                  </c:pt>
                  <c:pt idx="25">
                    <c:v>Season 2</c:v>
                  </c:pt>
                  <c:pt idx="49">
                    <c:v>Season 3</c:v>
                  </c:pt>
                  <c:pt idx="74">
                    <c:v>Season 4</c:v>
                  </c:pt>
                  <c:pt idx="96">
                    <c:v>Season 5</c:v>
                  </c:pt>
                  <c:pt idx="124">
                    <c:v>Season 6</c:v>
                  </c:pt>
                  <c:pt idx="150">
                    <c:v>Season 7</c:v>
                  </c:pt>
                  <c:pt idx="176">
                    <c:v>Season 8</c:v>
                  </c:pt>
                  <c:pt idx="200">
                    <c:v>Season 9</c:v>
                  </c:pt>
                </c:lvl>
              </c:multiLvlStrCache>
            </c:multiLvlStrRef>
          </c:cat>
          <c:val>
            <c:numRef>
              <c:f>Graphs!$J$18:$J$252</c:f>
              <c:numCache>
                <c:formatCode>General</c:formatCode>
                <c:ptCount val="225"/>
                <c:pt idx="0">
                  <c:v>7.89</c:v>
                </c:pt>
                <c:pt idx="1">
                  <c:v>5.39</c:v>
                </c:pt>
                <c:pt idx="2">
                  <c:v>5.86</c:v>
                </c:pt>
                <c:pt idx="3">
                  <c:v>4.87</c:v>
                </c:pt>
                <c:pt idx="4">
                  <c:v>5.01</c:v>
                </c:pt>
                <c:pt idx="5">
                  <c:v>5.18</c:v>
                </c:pt>
                <c:pt idx="6">
                  <c:v>5.32</c:v>
                </c:pt>
                <c:pt idx="7">
                  <c:v>5.45</c:v>
                </c:pt>
                <c:pt idx="8">
                  <c:v>5.09</c:v>
                </c:pt>
                <c:pt idx="9">
                  <c:v>4.8600000000000003</c:v>
                </c:pt>
                <c:pt idx="10">
                  <c:v>5.42</c:v>
                </c:pt>
                <c:pt idx="11">
                  <c:v>5.51</c:v>
                </c:pt>
                <c:pt idx="12">
                  <c:v>5.42</c:v>
                </c:pt>
                <c:pt idx="13">
                  <c:v>4.7300000000000004</c:v>
                </c:pt>
                <c:pt idx="14">
                  <c:v>5.23</c:v>
                </c:pt>
                <c:pt idx="15">
                  <c:v>5.15</c:v>
                </c:pt>
                <c:pt idx="16">
                  <c:v>5.0599999999999996</c:v>
                </c:pt>
                <c:pt idx="17">
                  <c:v>4.7</c:v>
                </c:pt>
                <c:pt idx="18">
                  <c:v>5.21</c:v>
                </c:pt>
                <c:pt idx="19">
                  <c:v>5.07</c:v>
                </c:pt>
                <c:pt idx="20">
                  <c:v>3.67</c:v>
                </c:pt>
                <c:pt idx="21">
                  <c:v>4.3600000000000003</c:v>
                </c:pt>
                <c:pt idx="22">
                  <c:v>4.3499999999999996</c:v>
                </c:pt>
                <c:pt idx="23">
                  <c:v>4.49</c:v>
                </c:pt>
                <c:pt idx="24">
                  <c:v>4.41</c:v>
                </c:pt>
                <c:pt idx="25">
                  <c:v>5.01</c:v>
                </c:pt>
                <c:pt idx="26">
                  <c:v>4.53</c:v>
                </c:pt>
                <c:pt idx="27">
                  <c:v>4.2</c:v>
                </c:pt>
                <c:pt idx="28">
                  <c:v>4.8099999999999996</c:v>
                </c:pt>
                <c:pt idx="29">
                  <c:v>4.46</c:v>
                </c:pt>
                <c:pt idx="30">
                  <c:v>5.64</c:v>
                </c:pt>
                <c:pt idx="31">
                  <c:v>4.6100000000000003</c:v>
                </c:pt>
                <c:pt idx="32">
                  <c:v>4.53</c:v>
                </c:pt>
                <c:pt idx="33">
                  <c:v>4.41</c:v>
                </c:pt>
                <c:pt idx="34">
                  <c:v>4.55</c:v>
                </c:pt>
                <c:pt idx="35">
                  <c:v>4.29</c:v>
                </c:pt>
                <c:pt idx="36">
                  <c:v>4.7300000000000004</c:v>
                </c:pt>
                <c:pt idx="37">
                  <c:v>4.59</c:v>
                </c:pt>
                <c:pt idx="38">
                  <c:v>4.37</c:v>
                </c:pt>
                <c:pt idx="39">
                  <c:v>3.81</c:v>
                </c:pt>
                <c:pt idx="40">
                  <c:v>4.1100000000000003</c:v>
                </c:pt>
                <c:pt idx="41">
                  <c:v>3.79</c:v>
                </c:pt>
                <c:pt idx="42">
                  <c:v>4.1500000000000004</c:v>
                </c:pt>
                <c:pt idx="43">
                  <c:v>4.46</c:v>
                </c:pt>
                <c:pt idx="44">
                  <c:v>3.49</c:v>
                </c:pt>
                <c:pt idx="45">
                  <c:v>3.17</c:v>
                </c:pt>
                <c:pt idx="46">
                  <c:v>3.35</c:v>
                </c:pt>
                <c:pt idx="47">
                  <c:v>3.49</c:v>
                </c:pt>
                <c:pt idx="48">
                  <c:v>3.32</c:v>
                </c:pt>
                <c:pt idx="49">
                  <c:v>3.93</c:v>
                </c:pt>
                <c:pt idx="50">
                  <c:v>3.98</c:v>
                </c:pt>
                <c:pt idx="51">
                  <c:v>3.35</c:v>
                </c:pt>
                <c:pt idx="52">
                  <c:v>3.78</c:v>
                </c:pt>
                <c:pt idx="53">
                  <c:v>3.42</c:v>
                </c:pt>
                <c:pt idx="54">
                  <c:v>3.84</c:v>
                </c:pt>
                <c:pt idx="55">
                  <c:v>3.49</c:v>
                </c:pt>
                <c:pt idx="56">
                  <c:v>3.62</c:v>
                </c:pt>
                <c:pt idx="57">
                  <c:v>3.74</c:v>
                </c:pt>
                <c:pt idx="58">
                  <c:v>3.6</c:v>
                </c:pt>
                <c:pt idx="59">
                  <c:v>4.75</c:v>
                </c:pt>
                <c:pt idx="60">
                  <c:v>3.87</c:v>
                </c:pt>
                <c:pt idx="61">
                  <c:v>3.48</c:v>
                </c:pt>
                <c:pt idx="62">
                  <c:v>3</c:v>
                </c:pt>
                <c:pt idx="63">
                  <c:v>3.09</c:v>
                </c:pt>
                <c:pt idx="64">
                  <c:v>2.77</c:v>
                </c:pt>
                <c:pt idx="65">
                  <c:v>3.21</c:v>
                </c:pt>
                <c:pt idx="66">
                  <c:v>3.2</c:v>
                </c:pt>
                <c:pt idx="67">
                  <c:v>2.99</c:v>
                </c:pt>
                <c:pt idx="68">
                  <c:v>2.97</c:v>
                </c:pt>
                <c:pt idx="69">
                  <c:v>2.61</c:v>
                </c:pt>
                <c:pt idx="70">
                  <c:v>2.48</c:v>
                </c:pt>
                <c:pt idx="74">
                  <c:v>3.88</c:v>
                </c:pt>
                <c:pt idx="75">
                  <c:v>2.76</c:v>
                </c:pt>
                <c:pt idx="76">
                  <c:v>3.08</c:v>
                </c:pt>
                <c:pt idx="77">
                  <c:v>2.83</c:v>
                </c:pt>
                <c:pt idx="78">
                  <c:v>3.29</c:v>
                </c:pt>
                <c:pt idx="79">
                  <c:v>2.58</c:v>
                </c:pt>
                <c:pt idx="80">
                  <c:v>2.95</c:v>
                </c:pt>
                <c:pt idx="81">
                  <c:v>2.3199999999999998</c:v>
                </c:pt>
                <c:pt idx="82">
                  <c:v>2.84</c:v>
                </c:pt>
                <c:pt idx="83">
                  <c:v>3.13</c:v>
                </c:pt>
                <c:pt idx="84">
                  <c:v>2.33</c:v>
                </c:pt>
                <c:pt idx="85">
                  <c:v>2.67</c:v>
                </c:pt>
                <c:pt idx="86">
                  <c:v>3.08</c:v>
                </c:pt>
                <c:pt idx="96">
                  <c:v>3.49</c:v>
                </c:pt>
                <c:pt idx="97">
                  <c:v>3.49</c:v>
                </c:pt>
                <c:pt idx="98">
                  <c:v>3.58</c:v>
                </c:pt>
                <c:pt idx="99">
                  <c:v>3.07</c:v>
                </c:pt>
                <c:pt idx="100">
                  <c:v>3.02</c:v>
                </c:pt>
                <c:pt idx="101">
                  <c:v>3.01</c:v>
                </c:pt>
                <c:pt idx="102">
                  <c:v>2.56</c:v>
                </c:pt>
                <c:pt idx="103">
                  <c:v>2.79</c:v>
                </c:pt>
                <c:pt idx="104">
                  <c:v>2.77</c:v>
                </c:pt>
                <c:pt idx="105">
                  <c:v>3.32</c:v>
                </c:pt>
                <c:pt idx="106">
                  <c:v>2.5</c:v>
                </c:pt>
                <c:pt idx="107">
                  <c:v>2.56</c:v>
                </c:pt>
                <c:pt idx="108">
                  <c:v>2.87</c:v>
                </c:pt>
              </c:numCache>
            </c:numRef>
          </c:val>
          <c:smooth val="0"/>
          <c:extLst>
            <c:ext xmlns:c16="http://schemas.microsoft.com/office/drawing/2014/chart" uri="{C3380CC4-5D6E-409C-BE32-E72D297353CC}">
              <c16:uniqueId val="{00000001-C9EA-5C45-8F03-6CD490278A79}"/>
            </c:ext>
          </c:extLst>
        </c:ser>
        <c:ser>
          <c:idx val="2"/>
          <c:order val="2"/>
          <c:tx>
            <c:strRef>
              <c:f>Graphs!$K$16:$K$17</c:f>
              <c:strCache>
                <c:ptCount val="1"/>
                <c:pt idx="0">
                  <c:v>Parks and Rec</c:v>
                </c:pt>
              </c:strCache>
            </c:strRef>
          </c:tx>
          <c:spPr>
            <a:ln w="28575" cap="rnd">
              <a:solidFill>
                <a:schemeClr val="accent6"/>
              </a:solidFill>
              <a:round/>
            </a:ln>
            <a:effectLst/>
          </c:spPr>
          <c:marker>
            <c:symbol val="none"/>
          </c:marker>
          <c:cat>
            <c:multiLvlStrRef>
              <c:f>Graphs!$H$18:$H$252</c:f>
              <c:multiLvlStrCache>
                <c:ptCount val="225"/>
                <c:lvl>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1</c:v>
                  </c:pt>
                  <c:pt idx="26">
                    <c:v>2</c:v>
                  </c:pt>
                  <c:pt idx="27">
                    <c:v>3</c:v>
                  </c:pt>
                  <c:pt idx="28">
                    <c:v>4</c:v>
                  </c:pt>
                  <c:pt idx="29">
                    <c:v>5</c:v>
                  </c:pt>
                  <c:pt idx="30">
                    <c:v>6</c:v>
                  </c:pt>
                  <c:pt idx="31">
                    <c:v>7</c:v>
                  </c:pt>
                  <c:pt idx="32">
                    <c:v>8</c:v>
                  </c:pt>
                  <c:pt idx="33">
                    <c:v>9</c:v>
                  </c:pt>
                  <c:pt idx="34">
                    <c:v>10</c:v>
                  </c:pt>
                  <c:pt idx="35">
                    <c:v>11</c:v>
                  </c:pt>
                  <c:pt idx="36">
                    <c:v>12</c:v>
                  </c:pt>
                  <c:pt idx="37">
                    <c:v>13</c:v>
                  </c:pt>
                  <c:pt idx="38">
                    <c:v>14</c:v>
                  </c:pt>
                  <c:pt idx="39">
                    <c:v>15</c:v>
                  </c:pt>
                  <c:pt idx="40">
                    <c:v>16</c:v>
                  </c:pt>
                  <c:pt idx="41">
                    <c:v>17</c:v>
                  </c:pt>
                  <c:pt idx="42">
                    <c:v>18</c:v>
                  </c:pt>
                  <c:pt idx="43">
                    <c:v>19</c:v>
                  </c:pt>
                  <c:pt idx="44">
                    <c:v>20</c:v>
                  </c:pt>
                  <c:pt idx="45">
                    <c:v>21</c:v>
                  </c:pt>
                  <c:pt idx="46">
                    <c:v>22</c:v>
                  </c:pt>
                  <c:pt idx="47">
                    <c:v>23</c:v>
                  </c:pt>
                  <c:pt idx="48">
                    <c:v>24</c:v>
                  </c:pt>
                  <c:pt idx="49">
                    <c:v>1</c:v>
                  </c:pt>
                  <c:pt idx="50">
                    <c:v>2</c:v>
                  </c:pt>
                  <c:pt idx="51">
                    <c:v>3</c:v>
                  </c:pt>
                  <c:pt idx="52">
                    <c:v>4</c:v>
                  </c:pt>
                  <c:pt idx="53">
                    <c:v>5</c:v>
                  </c:pt>
                  <c:pt idx="54">
                    <c:v>6</c:v>
                  </c:pt>
                  <c:pt idx="55">
                    <c:v>7</c:v>
                  </c:pt>
                  <c:pt idx="56">
                    <c:v>8</c:v>
                  </c:pt>
                  <c:pt idx="57">
                    <c:v>9</c:v>
                  </c:pt>
                  <c:pt idx="58">
                    <c:v>10</c:v>
                  </c:pt>
                  <c:pt idx="59">
                    <c:v>11</c:v>
                  </c:pt>
                  <c:pt idx="60">
                    <c:v>12</c:v>
                  </c:pt>
                  <c:pt idx="61">
                    <c:v>13</c:v>
                  </c:pt>
                  <c:pt idx="62">
                    <c:v>14</c:v>
                  </c:pt>
                  <c:pt idx="63">
                    <c:v>15</c:v>
                  </c:pt>
                  <c:pt idx="64">
                    <c:v>16</c:v>
                  </c:pt>
                  <c:pt idx="65">
                    <c:v>17</c:v>
                  </c:pt>
                  <c:pt idx="66">
                    <c:v>18</c:v>
                  </c:pt>
                  <c:pt idx="67">
                    <c:v>19</c:v>
                  </c:pt>
                  <c:pt idx="68">
                    <c:v>20</c:v>
                  </c:pt>
                  <c:pt idx="69">
                    <c:v>21</c:v>
                  </c:pt>
                  <c:pt idx="70">
                    <c:v>22</c:v>
                  </c:pt>
                  <c:pt idx="71">
                    <c:v>23</c:v>
                  </c:pt>
                  <c:pt idx="72">
                    <c:v>24</c:v>
                  </c:pt>
                  <c:pt idx="73">
                    <c:v>25</c:v>
                  </c:pt>
                  <c:pt idx="74">
                    <c:v>1</c:v>
                  </c:pt>
                  <c:pt idx="75">
                    <c:v>2</c:v>
                  </c:pt>
                  <c:pt idx="76">
                    <c:v>3</c:v>
                  </c:pt>
                  <c:pt idx="77">
                    <c:v>4</c:v>
                  </c:pt>
                  <c:pt idx="78">
                    <c:v>5</c:v>
                  </c:pt>
                  <c:pt idx="79">
                    <c:v>6</c:v>
                  </c:pt>
                  <c:pt idx="80">
                    <c:v>7</c:v>
                  </c:pt>
                  <c:pt idx="81">
                    <c:v>8</c:v>
                  </c:pt>
                  <c:pt idx="82">
                    <c:v>9</c:v>
                  </c:pt>
                  <c:pt idx="83">
                    <c:v>10</c:v>
                  </c:pt>
                  <c:pt idx="84">
                    <c:v>11</c:v>
                  </c:pt>
                  <c:pt idx="85">
                    <c:v>12</c:v>
                  </c:pt>
                  <c:pt idx="86">
                    <c:v>13</c:v>
                  </c:pt>
                  <c:pt idx="87">
                    <c:v>14</c:v>
                  </c:pt>
                  <c:pt idx="88">
                    <c:v>15</c:v>
                  </c:pt>
                  <c:pt idx="89">
                    <c:v>16</c:v>
                  </c:pt>
                  <c:pt idx="90">
                    <c:v>17</c:v>
                  </c:pt>
                  <c:pt idx="91">
                    <c:v>18</c:v>
                  </c:pt>
                  <c:pt idx="92">
                    <c:v>19</c:v>
                  </c:pt>
                  <c:pt idx="93">
                    <c:v>20</c:v>
                  </c:pt>
                  <c:pt idx="94">
                    <c:v>21</c:v>
                  </c:pt>
                  <c:pt idx="95">
                    <c:v>22</c:v>
                  </c:pt>
                  <c:pt idx="96">
                    <c:v>1</c:v>
                  </c:pt>
                  <c:pt idx="97">
                    <c:v>2</c:v>
                  </c:pt>
                  <c:pt idx="98">
                    <c:v>3</c:v>
                  </c:pt>
                  <c:pt idx="99">
                    <c:v>4</c:v>
                  </c:pt>
                  <c:pt idx="100">
                    <c:v>5</c:v>
                  </c:pt>
                  <c:pt idx="101">
                    <c:v>6</c:v>
                  </c:pt>
                  <c:pt idx="102">
                    <c:v>7</c:v>
                  </c:pt>
                  <c:pt idx="103">
                    <c:v>8</c:v>
                  </c:pt>
                  <c:pt idx="104">
                    <c:v>9</c:v>
                  </c:pt>
                  <c:pt idx="105">
                    <c:v>10</c:v>
                  </c:pt>
                  <c:pt idx="106">
                    <c:v>11</c:v>
                  </c:pt>
                  <c:pt idx="107">
                    <c:v>12</c:v>
                  </c:pt>
                  <c:pt idx="108">
                    <c:v>13</c:v>
                  </c:pt>
                  <c:pt idx="109">
                    <c:v>14</c:v>
                  </c:pt>
                  <c:pt idx="110">
                    <c:v>15</c:v>
                  </c:pt>
                  <c:pt idx="111">
                    <c:v>16</c:v>
                  </c:pt>
                  <c:pt idx="112">
                    <c:v>17</c:v>
                  </c:pt>
                  <c:pt idx="113">
                    <c:v>18</c:v>
                  </c:pt>
                  <c:pt idx="114">
                    <c:v>19</c:v>
                  </c:pt>
                  <c:pt idx="115">
                    <c:v>20</c:v>
                  </c:pt>
                  <c:pt idx="116">
                    <c:v>21</c:v>
                  </c:pt>
                  <c:pt idx="117">
                    <c:v>22</c:v>
                  </c:pt>
                  <c:pt idx="118">
                    <c:v>23</c:v>
                  </c:pt>
                  <c:pt idx="119">
                    <c:v>24</c:v>
                  </c:pt>
                  <c:pt idx="120">
                    <c:v>25</c:v>
                  </c:pt>
                  <c:pt idx="121">
                    <c:v>26</c:v>
                  </c:pt>
                  <c:pt idx="122">
                    <c:v>27</c:v>
                  </c:pt>
                  <c:pt idx="123">
                    <c:v>28</c:v>
                  </c:pt>
                  <c:pt idx="124">
                    <c:v>1</c:v>
                  </c:pt>
                  <c:pt idx="125">
                    <c:v>2</c:v>
                  </c:pt>
                  <c:pt idx="126">
                    <c:v>3</c:v>
                  </c:pt>
                  <c:pt idx="127">
                    <c:v>4</c:v>
                  </c:pt>
                  <c:pt idx="128">
                    <c:v>5</c:v>
                  </c:pt>
                  <c:pt idx="129">
                    <c:v>6</c:v>
                  </c:pt>
                  <c:pt idx="130">
                    <c:v>7</c:v>
                  </c:pt>
                  <c:pt idx="131">
                    <c:v>8</c:v>
                  </c:pt>
                  <c:pt idx="132">
                    <c:v>9</c:v>
                  </c:pt>
                  <c:pt idx="133">
                    <c:v>10</c:v>
                  </c:pt>
                  <c:pt idx="134">
                    <c:v>11</c:v>
                  </c:pt>
                  <c:pt idx="135">
                    <c:v>12</c:v>
                  </c:pt>
                  <c:pt idx="136">
                    <c:v>13</c:v>
                  </c:pt>
                  <c:pt idx="137">
                    <c:v>14</c:v>
                  </c:pt>
                  <c:pt idx="138">
                    <c:v>15</c:v>
                  </c:pt>
                  <c:pt idx="139">
                    <c:v>16</c:v>
                  </c:pt>
                  <c:pt idx="140">
                    <c:v>17</c:v>
                  </c:pt>
                  <c:pt idx="141">
                    <c:v>18</c:v>
                  </c:pt>
                  <c:pt idx="142">
                    <c:v>19</c:v>
                  </c:pt>
                  <c:pt idx="143">
                    <c:v>20</c:v>
                  </c:pt>
                  <c:pt idx="144">
                    <c:v>21</c:v>
                  </c:pt>
                  <c:pt idx="145">
                    <c:v>22</c:v>
                  </c:pt>
                  <c:pt idx="146">
                    <c:v>23</c:v>
                  </c:pt>
                  <c:pt idx="147">
                    <c:v>24</c:v>
                  </c:pt>
                  <c:pt idx="148">
                    <c:v>25</c:v>
                  </c:pt>
                  <c:pt idx="149">
                    <c:v>26</c:v>
                  </c:pt>
                  <c:pt idx="150">
                    <c:v>1</c:v>
                  </c:pt>
                  <c:pt idx="151">
                    <c:v>2</c:v>
                  </c:pt>
                  <c:pt idx="152">
                    <c:v>3</c:v>
                  </c:pt>
                  <c:pt idx="153">
                    <c:v>4</c:v>
                  </c:pt>
                  <c:pt idx="154">
                    <c:v>5</c:v>
                  </c:pt>
                  <c:pt idx="155">
                    <c:v>6</c:v>
                  </c:pt>
                  <c:pt idx="156">
                    <c:v>7</c:v>
                  </c:pt>
                  <c:pt idx="157">
                    <c:v>8</c:v>
                  </c:pt>
                  <c:pt idx="158">
                    <c:v>9</c:v>
                  </c:pt>
                  <c:pt idx="159">
                    <c:v>10</c:v>
                  </c:pt>
                  <c:pt idx="160">
                    <c:v>11</c:v>
                  </c:pt>
                  <c:pt idx="161">
                    <c:v>12</c:v>
                  </c:pt>
                  <c:pt idx="162">
                    <c:v>13</c:v>
                  </c:pt>
                  <c:pt idx="163">
                    <c:v>14</c:v>
                  </c:pt>
                  <c:pt idx="164">
                    <c:v>15</c:v>
                  </c:pt>
                  <c:pt idx="165">
                    <c:v>16</c:v>
                  </c:pt>
                  <c:pt idx="166">
                    <c:v>17</c:v>
                  </c:pt>
                  <c:pt idx="167">
                    <c:v>18</c:v>
                  </c:pt>
                  <c:pt idx="168">
                    <c:v>19</c:v>
                  </c:pt>
                  <c:pt idx="169">
                    <c:v>20</c:v>
                  </c:pt>
                  <c:pt idx="170">
                    <c:v>21</c:v>
                  </c:pt>
                  <c:pt idx="171">
                    <c:v>22</c:v>
                  </c:pt>
                  <c:pt idx="172">
                    <c:v>23</c:v>
                  </c:pt>
                  <c:pt idx="173">
                    <c:v>24</c:v>
                  </c:pt>
                  <c:pt idx="174">
                    <c:v>25</c:v>
                  </c:pt>
                  <c:pt idx="175">
                    <c:v>26</c:v>
                  </c:pt>
                  <c:pt idx="176">
                    <c:v>1</c:v>
                  </c:pt>
                  <c:pt idx="177">
                    <c:v>2</c:v>
                  </c:pt>
                  <c:pt idx="178">
                    <c:v>3</c:v>
                  </c:pt>
                  <c:pt idx="179">
                    <c:v>4</c:v>
                  </c:pt>
                  <c:pt idx="180">
                    <c:v>5</c:v>
                  </c:pt>
                  <c:pt idx="181">
                    <c:v>6</c:v>
                  </c:pt>
                  <c:pt idx="182">
                    <c:v>7</c:v>
                  </c:pt>
                  <c:pt idx="183">
                    <c:v>8</c:v>
                  </c:pt>
                  <c:pt idx="184">
                    <c:v>9</c:v>
                  </c:pt>
                  <c:pt idx="185">
                    <c:v>10</c:v>
                  </c:pt>
                  <c:pt idx="186">
                    <c:v>11</c:v>
                  </c:pt>
                  <c:pt idx="187">
                    <c:v>12</c:v>
                  </c:pt>
                  <c:pt idx="188">
                    <c:v>13</c:v>
                  </c:pt>
                  <c:pt idx="189">
                    <c:v>14</c:v>
                  </c:pt>
                  <c:pt idx="190">
                    <c:v>15</c:v>
                  </c:pt>
                  <c:pt idx="191">
                    <c:v>16</c:v>
                  </c:pt>
                  <c:pt idx="192">
                    <c:v>17</c:v>
                  </c:pt>
                  <c:pt idx="193">
                    <c:v>18</c:v>
                  </c:pt>
                  <c:pt idx="194">
                    <c:v>19</c:v>
                  </c:pt>
                  <c:pt idx="195">
                    <c:v>20</c:v>
                  </c:pt>
                  <c:pt idx="196">
                    <c:v>21</c:v>
                  </c:pt>
                  <c:pt idx="197">
                    <c:v>22</c:v>
                  </c:pt>
                  <c:pt idx="198">
                    <c:v>23</c:v>
                  </c:pt>
                  <c:pt idx="199">
                    <c:v>24</c:v>
                  </c:pt>
                  <c:pt idx="200">
                    <c:v>1</c:v>
                  </c:pt>
                  <c:pt idx="201">
                    <c:v>2</c:v>
                  </c:pt>
                  <c:pt idx="202">
                    <c:v>3</c:v>
                  </c:pt>
                  <c:pt idx="203">
                    <c:v>4</c:v>
                  </c:pt>
                  <c:pt idx="204">
                    <c:v>5</c:v>
                  </c:pt>
                  <c:pt idx="205">
                    <c:v>6</c:v>
                  </c:pt>
                  <c:pt idx="206">
                    <c:v>7</c:v>
                  </c:pt>
                  <c:pt idx="207">
                    <c:v>8</c:v>
                  </c:pt>
                  <c:pt idx="208">
                    <c:v>9</c:v>
                  </c:pt>
                  <c:pt idx="209">
                    <c:v>10</c:v>
                  </c:pt>
                  <c:pt idx="210">
                    <c:v>11</c:v>
                  </c:pt>
                  <c:pt idx="211">
                    <c:v>12</c:v>
                  </c:pt>
                  <c:pt idx="212">
                    <c:v>13</c:v>
                  </c:pt>
                  <c:pt idx="213">
                    <c:v>14</c:v>
                  </c:pt>
                  <c:pt idx="214">
                    <c:v>15</c:v>
                  </c:pt>
                  <c:pt idx="215">
                    <c:v>16</c:v>
                  </c:pt>
                  <c:pt idx="216">
                    <c:v>17</c:v>
                  </c:pt>
                  <c:pt idx="217">
                    <c:v>18</c:v>
                  </c:pt>
                  <c:pt idx="218">
                    <c:v>19</c:v>
                  </c:pt>
                  <c:pt idx="219">
                    <c:v>20</c:v>
                  </c:pt>
                  <c:pt idx="220">
                    <c:v>21</c:v>
                  </c:pt>
                  <c:pt idx="221">
                    <c:v>22</c:v>
                  </c:pt>
                  <c:pt idx="222">
                    <c:v>23</c:v>
                  </c:pt>
                  <c:pt idx="223">
                    <c:v>24</c:v>
                  </c:pt>
                  <c:pt idx="224">
                    <c:v>25</c:v>
                  </c:pt>
                </c:lvl>
                <c:lvl>
                  <c:pt idx="0">
                    <c:v>Season 1</c:v>
                  </c:pt>
                  <c:pt idx="25">
                    <c:v>Season 2</c:v>
                  </c:pt>
                  <c:pt idx="49">
                    <c:v>Season 3</c:v>
                  </c:pt>
                  <c:pt idx="74">
                    <c:v>Season 4</c:v>
                  </c:pt>
                  <c:pt idx="96">
                    <c:v>Season 5</c:v>
                  </c:pt>
                  <c:pt idx="124">
                    <c:v>Season 6</c:v>
                  </c:pt>
                  <c:pt idx="150">
                    <c:v>Season 7</c:v>
                  </c:pt>
                  <c:pt idx="176">
                    <c:v>Season 8</c:v>
                  </c:pt>
                  <c:pt idx="200">
                    <c:v>Season 9</c:v>
                  </c:pt>
                </c:lvl>
              </c:multiLvlStrCache>
            </c:multiLvlStrRef>
          </c:cat>
          <c:val>
            <c:numRef>
              <c:f>Graphs!$K$18:$K$252</c:f>
              <c:numCache>
                <c:formatCode>General</c:formatCode>
                <c:ptCount val="225"/>
                <c:pt idx="0">
                  <c:v>6.77</c:v>
                </c:pt>
                <c:pt idx="1">
                  <c:v>5.92</c:v>
                </c:pt>
                <c:pt idx="2">
                  <c:v>5.24</c:v>
                </c:pt>
                <c:pt idx="3">
                  <c:v>5.29</c:v>
                </c:pt>
                <c:pt idx="4">
                  <c:v>4.6399999999999997</c:v>
                </c:pt>
                <c:pt idx="5">
                  <c:v>4.25</c:v>
                </c:pt>
                <c:pt idx="25">
                  <c:v>5</c:v>
                </c:pt>
                <c:pt idx="26">
                  <c:v>4.22</c:v>
                </c:pt>
                <c:pt idx="27">
                  <c:v>4.63</c:v>
                </c:pt>
                <c:pt idx="28">
                  <c:v>4.97</c:v>
                </c:pt>
                <c:pt idx="29">
                  <c:v>4.6900000000000004</c:v>
                </c:pt>
                <c:pt idx="30">
                  <c:v>4.9800000000000004</c:v>
                </c:pt>
                <c:pt idx="31">
                  <c:v>4.96</c:v>
                </c:pt>
                <c:pt idx="32">
                  <c:v>4.9400000000000004</c:v>
                </c:pt>
                <c:pt idx="33">
                  <c:v>4.67</c:v>
                </c:pt>
                <c:pt idx="34">
                  <c:v>4.6100000000000003</c:v>
                </c:pt>
                <c:pt idx="35">
                  <c:v>4.83</c:v>
                </c:pt>
                <c:pt idx="36">
                  <c:v>4.9000000000000004</c:v>
                </c:pt>
                <c:pt idx="37">
                  <c:v>4.59</c:v>
                </c:pt>
                <c:pt idx="38">
                  <c:v>4.3499999999999996</c:v>
                </c:pt>
                <c:pt idx="39">
                  <c:v>4.87</c:v>
                </c:pt>
                <c:pt idx="40">
                  <c:v>4.9800000000000004</c:v>
                </c:pt>
                <c:pt idx="41">
                  <c:v>4.6399999999999997</c:v>
                </c:pt>
                <c:pt idx="42">
                  <c:v>4.6100000000000003</c:v>
                </c:pt>
                <c:pt idx="43">
                  <c:v>4.7</c:v>
                </c:pt>
                <c:pt idx="44">
                  <c:v>4.49</c:v>
                </c:pt>
                <c:pt idx="45">
                  <c:v>4.03</c:v>
                </c:pt>
                <c:pt idx="46">
                  <c:v>4.03</c:v>
                </c:pt>
                <c:pt idx="47">
                  <c:v>4.28</c:v>
                </c:pt>
                <c:pt idx="48">
                  <c:v>4.55</c:v>
                </c:pt>
                <c:pt idx="49">
                  <c:v>6.14</c:v>
                </c:pt>
                <c:pt idx="50">
                  <c:v>5.83</c:v>
                </c:pt>
                <c:pt idx="51">
                  <c:v>4.95</c:v>
                </c:pt>
                <c:pt idx="52">
                  <c:v>5.03</c:v>
                </c:pt>
                <c:pt idx="53">
                  <c:v>4.33</c:v>
                </c:pt>
                <c:pt idx="54">
                  <c:v>4.59</c:v>
                </c:pt>
                <c:pt idx="55">
                  <c:v>4.08</c:v>
                </c:pt>
                <c:pt idx="56">
                  <c:v>5.15</c:v>
                </c:pt>
                <c:pt idx="57">
                  <c:v>5.16</c:v>
                </c:pt>
                <c:pt idx="58">
                  <c:v>4.88</c:v>
                </c:pt>
                <c:pt idx="59">
                  <c:v>4.71</c:v>
                </c:pt>
                <c:pt idx="60">
                  <c:v>5.0599999999999996</c:v>
                </c:pt>
                <c:pt idx="61">
                  <c:v>4.55</c:v>
                </c:pt>
                <c:pt idx="62">
                  <c:v>3.54</c:v>
                </c:pt>
                <c:pt idx="63">
                  <c:v>4.2699999999999996</c:v>
                </c:pt>
                <c:pt idx="64">
                  <c:v>3.72</c:v>
                </c:pt>
                <c:pt idx="74">
                  <c:v>4.1100000000000003</c:v>
                </c:pt>
                <c:pt idx="75">
                  <c:v>4.33</c:v>
                </c:pt>
                <c:pt idx="76">
                  <c:v>4.1500000000000004</c:v>
                </c:pt>
                <c:pt idx="77">
                  <c:v>3.99</c:v>
                </c:pt>
                <c:pt idx="78">
                  <c:v>3.9</c:v>
                </c:pt>
                <c:pt idx="79">
                  <c:v>4</c:v>
                </c:pt>
                <c:pt idx="80">
                  <c:v>3.66</c:v>
                </c:pt>
                <c:pt idx="81">
                  <c:v>3.68</c:v>
                </c:pt>
                <c:pt idx="82">
                  <c:v>3.69</c:v>
                </c:pt>
                <c:pt idx="83">
                  <c:v>3.64</c:v>
                </c:pt>
                <c:pt idx="84">
                  <c:v>4.09</c:v>
                </c:pt>
                <c:pt idx="85">
                  <c:v>4.25</c:v>
                </c:pt>
                <c:pt idx="86">
                  <c:v>3.49</c:v>
                </c:pt>
                <c:pt idx="87">
                  <c:v>3.6</c:v>
                </c:pt>
                <c:pt idx="88">
                  <c:v>3.45</c:v>
                </c:pt>
                <c:pt idx="89">
                  <c:v>3.43</c:v>
                </c:pt>
                <c:pt idx="90">
                  <c:v>3.77</c:v>
                </c:pt>
                <c:pt idx="91">
                  <c:v>3.66</c:v>
                </c:pt>
                <c:pt idx="92">
                  <c:v>3.46</c:v>
                </c:pt>
                <c:pt idx="93">
                  <c:v>3.17</c:v>
                </c:pt>
                <c:pt idx="94">
                  <c:v>3.26</c:v>
                </c:pt>
                <c:pt idx="95">
                  <c:v>3.42</c:v>
                </c:pt>
                <c:pt idx="96">
                  <c:v>3.5</c:v>
                </c:pt>
                <c:pt idx="97">
                  <c:v>3.27</c:v>
                </c:pt>
                <c:pt idx="98">
                  <c:v>3.53</c:v>
                </c:pt>
                <c:pt idx="99">
                  <c:v>3.46</c:v>
                </c:pt>
                <c:pt idx="100">
                  <c:v>3.34</c:v>
                </c:pt>
                <c:pt idx="101">
                  <c:v>3.46</c:v>
                </c:pt>
                <c:pt idx="102">
                  <c:v>3.52</c:v>
                </c:pt>
                <c:pt idx="103">
                  <c:v>2.99</c:v>
                </c:pt>
                <c:pt idx="104">
                  <c:v>3.27</c:v>
                </c:pt>
                <c:pt idx="105">
                  <c:v>3.92</c:v>
                </c:pt>
                <c:pt idx="106">
                  <c:v>3.94</c:v>
                </c:pt>
                <c:pt idx="107">
                  <c:v>3.76</c:v>
                </c:pt>
                <c:pt idx="108">
                  <c:v>3.18</c:v>
                </c:pt>
                <c:pt idx="109">
                  <c:v>3.07</c:v>
                </c:pt>
                <c:pt idx="110">
                  <c:v>2.95</c:v>
                </c:pt>
                <c:pt idx="111">
                  <c:v>3</c:v>
                </c:pt>
                <c:pt idx="112">
                  <c:v>2.93</c:v>
                </c:pt>
                <c:pt idx="113">
                  <c:v>3.15</c:v>
                </c:pt>
                <c:pt idx="114">
                  <c:v>3.35</c:v>
                </c:pt>
                <c:pt idx="115">
                  <c:v>3.34</c:v>
                </c:pt>
                <c:pt idx="116">
                  <c:v>2.59</c:v>
                </c:pt>
                <c:pt idx="117">
                  <c:v>2.99</c:v>
                </c:pt>
                <c:pt idx="124">
                  <c:v>3.27</c:v>
                </c:pt>
                <c:pt idx="125">
                  <c:v>3.27</c:v>
                </c:pt>
                <c:pt idx="126">
                  <c:v>3.14</c:v>
                </c:pt>
                <c:pt idx="127">
                  <c:v>3.23</c:v>
                </c:pt>
                <c:pt idx="128">
                  <c:v>3.27</c:v>
                </c:pt>
                <c:pt idx="129">
                  <c:v>3.03</c:v>
                </c:pt>
                <c:pt idx="130">
                  <c:v>3.03</c:v>
                </c:pt>
                <c:pt idx="131">
                  <c:v>2.81</c:v>
                </c:pt>
                <c:pt idx="132">
                  <c:v>2.81</c:v>
                </c:pt>
                <c:pt idx="133">
                  <c:v>3.43</c:v>
                </c:pt>
                <c:pt idx="134">
                  <c:v>3.05</c:v>
                </c:pt>
                <c:pt idx="135">
                  <c:v>2.98</c:v>
                </c:pt>
                <c:pt idx="136">
                  <c:v>3.03</c:v>
                </c:pt>
                <c:pt idx="137">
                  <c:v>2.52</c:v>
                </c:pt>
                <c:pt idx="138">
                  <c:v>2.95</c:v>
                </c:pt>
                <c:pt idx="139">
                  <c:v>2.72</c:v>
                </c:pt>
                <c:pt idx="140">
                  <c:v>3.05</c:v>
                </c:pt>
                <c:pt idx="141">
                  <c:v>2.67</c:v>
                </c:pt>
                <c:pt idx="142">
                  <c:v>2.56</c:v>
                </c:pt>
                <c:pt idx="143">
                  <c:v>2.39</c:v>
                </c:pt>
                <c:pt idx="144">
                  <c:v>2.71</c:v>
                </c:pt>
                <c:pt idx="145">
                  <c:v>2.71</c:v>
                </c:pt>
                <c:pt idx="150">
                  <c:v>3.75</c:v>
                </c:pt>
                <c:pt idx="151">
                  <c:v>3.25</c:v>
                </c:pt>
                <c:pt idx="152">
                  <c:v>3.87</c:v>
                </c:pt>
                <c:pt idx="153">
                  <c:v>3.3</c:v>
                </c:pt>
                <c:pt idx="154">
                  <c:v>3.48</c:v>
                </c:pt>
                <c:pt idx="155">
                  <c:v>2.97</c:v>
                </c:pt>
                <c:pt idx="156">
                  <c:v>3.45</c:v>
                </c:pt>
                <c:pt idx="157">
                  <c:v>3.06</c:v>
                </c:pt>
                <c:pt idx="158">
                  <c:v>2.4700000000000002</c:v>
                </c:pt>
                <c:pt idx="159">
                  <c:v>2.94</c:v>
                </c:pt>
                <c:pt idx="160">
                  <c:v>2.4700000000000002</c:v>
                </c:pt>
                <c:pt idx="161">
                  <c:v>4.1500000000000004</c:v>
                </c:pt>
                <c:pt idx="162">
                  <c:v>4.1500000000000004</c:v>
                </c:pt>
              </c:numCache>
            </c:numRef>
          </c:val>
          <c:smooth val="0"/>
          <c:extLst>
            <c:ext xmlns:c16="http://schemas.microsoft.com/office/drawing/2014/chart" uri="{C3380CC4-5D6E-409C-BE32-E72D297353CC}">
              <c16:uniqueId val="{00000002-C9EA-5C45-8F03-6CD490278A79}"/>
            </c:ext>
          </c:extLst>
        </c:ser>
        <c:ser>
          <c:idx val="3"/>
          <c:order val="3"/>
          <c:tx>
            <c:strRef>
              <c:f>Graphs!$L$16:$L$17</c:f>
              <c:strCache>
                <c:ptCount val="1"/>
                <c:pt idx="0">
                  <c:v>The Office</c:v>
                </c:pt>
              </c:strCache>
            </c:strRef>
          </c:tx>
          <c:spPr>
            <a:ln w="28575" cap="rnd">
              <a:solidFill>
                <a:schemeClr val="accent5"/>
              </a:solidFill>
              <a:round/>
            </a:ln>
            <a:effectLst/>
          </c:spPr>
          <c:marker>
            <c:symbol val="none"/>
          </c:marker>
          <c:cat>
            <c:multiLvlStrRef>
              <c:f>Graphs!$H$18:$H$252</c:f>
              <c:multiLvlStrCache>
                <c:ptCount val="225"/>
                <c:lvl>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1</c:v>
                  </c:pt>
                  <c:pt idx="26">
                    <c:v>2</c:v>
                  </c:pt>
                  <c:pt idx="27">
                    <c:v>3</c:v>
                  </c:pt>
                  <c:pt idx="28">
                    <c:v>4</c:v>
                  </c:pt>
                  <c:pt idx="29">
                    <c:v>5</c:v>
                  </c:pt>
                  <c:pt idx="30">
                    <c:v>6</c:v>
                  </c:pt>
                  <c:pt idx="31">
                    <c:v>7</c:v>
                  </c:pt>
                  <c:pt idx="32">
                    <c:v>8</c:v>
                  </c:pt>
                  <c:pt idx="33">
                    <c:v>9</c:v>
                  </c:pt>
                  <c:pt idx="34">
                    <c:v>10</c:v>
                  </c:pt>
                  <c:pt idx="35">
                    <c:v>11</c:v>
                  </c:pt>
                  <c:pt idx="36">
                    <c:v>12</c:v>
                  </c:pt>
                  <c:pt idx="37">
                    <c:v>13</c:v>
                  </c:pt>
                  <c:pt idx="38">
                    <c:v>14</c:v>
                  </c:pt>
                  <c:pt idx="39">
                    <c:v>15</c:v>
                  </c:pt>
                  <c:pt idx="40">
                    <c:v>16</c:v>
                  </c:pt>
                  <c:pt idx="41">
                    <c:v>17</c:v>
                  </c:pt>
                  <c:pt idx="42">
                    <c:v>18</c:v>
                  </c:pt>
                  <c:pt idx="43">
                    <c:v>19</c:v>
                  </c:pt>
                  <c:pt idx="44">
                    <c:v>20</c:v>
                  </c:pt>
                  <c:pt idx="45">
                    <c:v>21</c:v>
                  </c:pt>
                  <c:pt idx="46">
                    <c:v>22</c:v>
                  </c:pt>
                  <c:pt idx="47">
                    <c:v>23</c:v>
                  </c:pt>
                  <c:pt idx="48">
                    <c:v>24</c:v>
                  </c:pt>
                  <c:pt idx="49">
                    <c:v>1</c:v>
                  </c:pt>
                  <c:pt idx="50">
                    <c:v>2</c:v>
                  </c:pt>
                  <c:pt idx="51">
                    <c:v>3</c:v>
                  </c:pt>
                  <c:pt idx="52">
                    <c:v>4</c:v>
                  </c:pt>
                  <c:pt idx="53">
                    <c:v>5</c:v>
                  </c:pt>
                  <c:pt idx="54">
                    <c:v>6</c:v>
                  </c:pt>
                  <c:pt idx="55">
                    <c:v>7</c:v>
                  </c:pt>
                  <c:pt idx="56">
                    <c:v>8</c:v>
                  </c:pt>
                  <c:pt idx="57">
                    <c:v>9</c:v>
                  </c:pt>
                  <c:pt idx="58">
                    <c:v>10</c:v>
                  </c:pt>
                  <c:pt idx="59">
                    <c:v>11</c:v>
                  </c:pt>
                  <c:pt idx="60">
                    <c:v>12</c:v>
                  </c:pt>
                  <c:pt idx="61">
                    <c:v>13</c:v>
                  </c:pt>
                  <c:pt idx="62">
                    <c:v>14</c:v>
                  </c:pt>
                  <c:pt idx="63">
                    <c:v>15</c:v>
                  </c:pt>
                  <c:pt idx="64">
                    <c:v>16</c:v>
                  </c:pt>
                  <c:pt idx="65">
                    <c:v>17</c:v>
                  </c:pt>
                  <c:pt idx="66">
                    <c:v>18</c:v>
                  </c:pt>
                  <c:pt idx="67">
                    <c:v>19</c:v>
                  </c:pt>
                  <c:pt idx="68">
                    <c:v>20</c:v>
                  </c:pt>
                  <c:pt idx="69">
                    <c:v>21</c:v>
                  </c:pt>
                  <c:pt idx="70">
                    <c:v>22</c:v>
                  </c:pt>
                  <c:pt idx="71">
                    <c:v>23</c:v>
                  </c:pt>
                  <c:pt idx="72">
                    <c:v>24</c:v>
                  </c:pt>
                  <c:pt idx="73">
                    <c:v>25</c:v>
                  </c:pt>
                  <c:pt idx="74">
                    <c:v>1</c:v>
                  </c:pt>
                  <c:pt idx="75">
                    <c:v>2</c:v>
                  </c:pt>
                  <c:pt idx="76">
                    <c:v>3</c:v>
                  </c:pt>
                  <c:pt idx="77">
                    <c:v>4</c:v>
                  </c:pt>
                  <c:pt idx="78">
                    <c:v>5</c:v>
                  </c:pt>
                  <c:pt idx="79">
                    <c:v>6</c:v>
                  </c:pt>
                  <c:pt idx="80">
                    <c:v>7</c:v>
                  </c:pt>
                  <c:pt idx="81">
                    <c:v>8</c:v>
                  </c:pt>
                  <c:pt idx="82">
                    <c:v>9</c:v>
                  </c:pt>
                  <c:pt idx="83">
                    <c:v>10</c:v>
                  </c:pt>
                  <c:pt idx="84">
                    <c:v>11</c:v>
                  </c:pt>
                  <c:pt idx="85">
                    <c:v>12</c:v>
                  </c:pt>
                  <c:pt idx="86">
                    <c:v>13</c:v>
                  </c:pt>
                  <c:pt idx="87">
                    <c:v>14</c:v>
                  </c:pt>
                  <c:pt idx="88">
                    <c:v>15</c:v>
                  </c:pt>
                  <c:pt idx="89">
                    <c:v>16</c:v>
                  </c:pt>
                  <c:pt idx="90">
                    <c:v>17</c:v>
                  </c:pt>
                  <c:pt idx="91">
                    <c:v>18</c:v>
                  </c:pt>
                  <c:pt idx="92">
                    <c:v>19</c:v>
                  </c:pt>
                  <c:pt idx="93">
                    <c:v>20</c:v>
                  </c:pt>
                  <c:pt idx="94">
                    <c:v>21</c:v>
                  </c:pt>
                  <c:pt idx="95">
                    <c:v>22</c:v>
                  </c:pt>
                  <c:pt idx="96">
                    <c:v>1</c:v>
                  </c:pt>
                  <c:pt idx="97">
                    <c:v>2</c:v>
                  </c:pt>
                  <c:pt idx="98">
                    <c:v>3</c:v>
                  </c:pt>
                  <c:pt idx="99">
                    <c:v>4</c:v>
                  </c:pt>
                  <c:pt idx="100">
                    <c:v>5</c:v>
                  </c:pt>
                  <c:pt idx="101">
                    <c:v>6</c:v>
                  </c:pt>
                  <c:pt idx="102">
                    <c:v>7</c:v>
                  </c:pt>
                  <c:pt idx="103">
                    <c:v>8</c:v>
                  </c:pt>
                  <c:pt idx="104">
                    <c:v>9</c:v>
                  </c:pt>
                  <c:pt idx="105">
                    <c:v>10</c:v>
                  </c:pt>
                  <c:pt idx="106">
                    <c:v>11</c:v>
                  </c:pt>
                  <c:pt idx="107">
                    <c:v>12</c:v>
                  </c:pt>
                  <c:pt idx="108">
                    <c:v>13</c:v>
                  </c:pt>
                  <c:pt idx="109">
                    <c:v>14</c:v>
                  </c:pt>
                  <c:pt idx="110">
                    <c:v>15</c:v>
                  </c:pt>
                  <c:pt idx="111">
                    <c:v>16</c:v>
                  </c:pt>
                  <c:pt idx="112">
                    <c:v>17</c:v>
                  </c:pt>
                  <c:pt idx="113">
                    <c:v>18</c:v>
                  </c:pt>
                  <c:pt idx="114">
                    <c:v>19</c:v>
                  </c:pt>
                  <c:pt idx="115">
                    <c:v>20</c:v>
                  </c:pt>
                  <c:pt idx="116">
                    <c:v>21</c:v>
                  </c:pt>
                  <c:pt idx="117">
                    <c:v>22</c:v>
                  </c:pt>
                  <c:pt idx="118">
                    <c:v>23</c:v>
                  </c:pt>
                  <c:pt idx="119">
                    <c:v>24</c:v>
                  </c:pt>
                  <c:pt idx="120">
                    <c:v>25</c:v>
                  </c:pt>
                  <c:pt idx="121">
                    <c:v>26</c:v>
                  </c:pt>
                  <c:pt idx="122">
                    <c:v>27</c:v>
                  </c:pt>
                  <c:pt idx="123">
                    <c:v>28</c:v>
                  </c:pt>
                  <c:pt idx="124">
                    <c:v>1</c:v>
                  </c:pt>
                  <c:pt idx="125">
                    <c:v>2</c:v>
                  </c:pt>
                  <c:pt idx="126">
                    <c:v>3</c:v>
                  </c:pt>
                  <c:pt idx="127">
                    <c:v>4</c:v>
                  </c:pt>
                  <c:pt idx="128">
                    <c:v>5</c:v>
                  </c:pt>
                  <c:pt idx="129">
                    <c:v>6</c:v>
                  </c:pt>
                  <c:pt idx="130">
                    <c:v>7</c:v>
                  </c:pt>
                  <c:pt idx="131">
                    <c:v>8</c:v>
                  </c:pt>
                  <c:pt idx="132">
                    <c:v>9</c:v>
                  </c:pt>
                  <c:pt idx="133">
                    <c:v>10</c:v>
                  </c:pt>
                  <c:pt idx="134">
                    <c:v>11</c:v>
                  </c:pt>
                  <c:pt idx="135">
                    <c:v>12</c:v>
                  </c:pt>
                  <c:pt idx="136">
                    <c:v>13</c:v>
                  </c:pt>
                  <c:pt idx="137">
                    <c:v>14</c:v>
                  </c:pt>
                  <c:pt idx="138">
                    <c:v>15</c:v>
                  </c:pt>
                  <c:pt idx="139">
                    <c:v>16</c:v>
                  </c:pt>
                  <c:pt idx="140">
                    <c:v>17</c:v>
                  </c:pt>
                  <c:pt idx="141">
                    <c:v>18</c:v>
                  </c:pt>
                  <c:pt idx="142">
                    <c:v>19</c:v>
                  </c:pt>
                  <c:pt idx="143">
                    <c:v>20</c:v>
                  </c:pt>
                  <c:pt idx="144">
                    <c:v>21</c:v>
                  </c:pt>
                  <c:pt idx="145">
                    <c:v>22</c:v>
                  </c:pt>
                  <c:pt idx="146">
                    <c:v>23</c:v>
                  </c:pt>
                  <c:pt idx="147">
                    <c:v>24</c:v>
                  </c:pt>
                  <c:pt idx="148">
                    <c:v>25</c:v>
                  </c:pt>
                  <c:pt idx="149">
                    <c:v>26</c:v>
                  </c:pt>
                  <c:pt idx="150">
                    <c:v>1</c:v>
                  </c:pt>
                  <c:pt idx="151">
                    <c:v>2</c:v>
                  </c:pt>
                  <c:pt idx="152">
                    <c:v>3</c:v>
                  </c:pt>
                  <c:pt idx="153">
                    <c:v>4</c:v>
                  </c:pt>
                  <c:pt idx="154">
                    <c:v>5</c:v>
                  </c:pt>
                  <c:pt idx="155">
                    <c:v>6</c:v>
                  </c:pt>
                  <c:pt idx="156">
                    <c:v>7</c:v>
                  </c:pt>
                  <c:pt idx="157">
                    <c:v>8</c:v>
                  </c:pt>
                  <c:pt idx="158">
                    <c:v>9</c:v>
                  </c:pt>
                  <c:pt idx="159">
                    <c:v>10</c:v>
                  </c:pt>
                  <c:pt idx="160">
                    <c:v>11</c:v>
                  </c:pt>
                  <c:pt idx="161">
                    <c:v>12</c:v>
                  </c:pt>
                  <c:pt idx="162">
                    <c:v>13</c:v>
                  </c:pt>
                  <c:pt idx="163">
                    <c:v>14</c:v>
                  </c:pt>
                  <c:pt idx="164">
                    <c:v>15</c:v>
                  </c:pt>
                  <c:pt idx="165">
                    <c:v>16</c:v>
                  </c:pt>
                  <c:pt idx="166">
                    <c:v>17</c:v>
                  </c:pt>
                  <c:pt idx="167">
                    <c:v>18</c:v>
                  </c:pt>
                  <c:pt idx="168">
                    <c:v>19</c:v>
                  </c:pt>
                  <c:pt idx="169">
                    <c:v>20</c:v>
                  </c:pt>
                  <c:pt idx="170">
                    <c:v>21</c:v>
                  </c:pt>
                  <c:pt idx="171">
                    <c:v>22</c:v>
                  </c:pt>
                  <c:pt idx="172">
                    <c:v>23</c:v>
                  </c:pt>
                  <c:pt idx="173">
                    <c:v>24</c:v>
                  </c:pt>
                  <c:pt idx="174">
                    <c:v>25</c:v>
                  </c:pt>
                  <c:pt idx="175">
                    <c:v>26</c:v>
                  </c:pt>
                  <c:pt idx="176">
                    <c:v>1</c:v>
                  </c:pt>
                  <c:pt idx="177">
                    <c:v>2</c:v>
                  </c:pt>
                  <c:pt idx="178">
                    <c:v>3</c:v>
                  </c:pt>
                  <c:pt idx="179">
                    <c:v>4</c:v>
                  </c:pt>
                  <c:pt idx="180">
                    <c:v>5</c:v>
                  </c:pt>
                  <c:pt idx="181">
                    <c:v>6</c:v>
                  </c:pt>
                  <c:pt idx="182">
                    <c:v>7</c:v>
                  </c:pt>
                  <c:pt idx="183">
                    <c:v>8</c:v>
                  </c:pt>
                  <c:pt idx="184">
                    <c:v>9</c:v>
                  </c:pt>
                  <c:pt idx="185">
                    <c:v>10</c:v>
                  </c:pt>
                  <c:pt idx="186">
                    <c:v>11</c:v>
                  </c:pt>
                  <c:pt idx="187">
                    <c:v>12</c:v>
                  </c:pt>
                  <c:pt idx="188">
                    <c:v>13</c:v>
                  </c:pt>
                  <c:pt idx="189">
                    <c:v>14</c:v>
                  </c:pt>
                  <c:pt idx="190">
                    <c:v>15</c:v>
                  </c:pt>
                  <c:pt idx="191">
                    <c:v>16</c:v>
                  </c:pt>
                  <c:pt idx="192">
                    <c:v>17</c:v>
                  </c:pt>
                  <c:pt idx="193">
                    <c:v>18</c:v>
                  </c:pt>
                  <c:pt idx="194">
                    <c:v>19</c:v>
                  </c:pt>
                  <c:pt idx="195">
                    <c:v>20</c:v>
                  </c:pt>
                  <c:pt idx="196">
                    <c:v>21</c:v>
                  </c:pt>
                  <c:pt idx="197">
                    <c:v>22</c:v>
                  </c:pt>
                  <c:pt idx="198">
                    <c:v>23</c:v>
                  </c:pt>
                  <c:pt idx="199">
                    <c:v>24</c:v>
                  </c:pt>
                  <c:pt idx="200">
                    <c:v>1</c:v>
                  </c:pt>
                  <c:pt idx="201">
                    <c:v>2</c:v>
                  </c:pt>
                  <c:pt idx="202">
                    <c:v>3</c:v>
                  </c:pt>
                  <c:pt idx="203">
                    <c:v>4</c:v>
                  </c:pt>
                  <c:pt idx="204">
                    <c:v>5</c:v>
                  </c:pt>
                  <c:pt idx="205">
                    <c:v>6</c:v>
                  </c:pt>
                  <c:pt idx="206">
                    <c:v>7</c:v>
                  </c:pt>
                  <c:pt idx="207">
                    <c:v>8</c:v>
                  </c:pt>
                  <c:pt idx="208">
                    <c:v>9</c:v>
                  </c:pt>
                  <c:pt idx="209">
                    <c:v>10</c:v>
                  </c:pt>
                  <c:pt idx="210">
                    <c:v>11</c:v>
                  </c:pt>
                  <c:pt idx="211">
                    <c:v>12</c:v>
                  </c:pt>
                  <c:pt idx="212">
                    <c:v>13</c:v>
                  </c:pt>
                  <c:pt idx="213">
                    <c:v>14</c:v>
                  </c:pt>
                  <c:pt idx="214">
                    <c:v>15</c:v>
                  </c:pt>
                  <c:pt idx="215">
                    <c:v>16</c:v>
                  </c:pt>
                  <c:pt idx="216">
                    <c:v>17</c:v>
                  </c:pt>
                  <c:pt idx="217">
                    <c:v>18</c:v>
                  </c:pt>
                  <c:pt idx="218">
                    <c:v>19</c:v>
                  </c:pt>
                  <c:pt idx="219">
                    <c:v>20</c:v>
                  </c:pt>
                  <c:pt idx="220">
                    <c:v>21</c:v>
                  </c:pt>
                  <c:pt idx="221">
                    <c:v>22</c:v>
                  </c:pt>
                  <c:pt idx="222">
                    <c:v>23</c:v>
                  </c:pt>
                  <c:pt idx="223">
                    <c:v>24</c:v>
                  </c:pt>
                  <c:pt idx="224">
                    <c:v>25</c:v>
                  </c:pt>
                </c:lvl>
                <c:lvl>
                  <c:pt idx="0">
                    <c:v>Season 1</c:v>
                  </c:pt>
                  <c:pt idx="25">
                    <c:v>Season 2</c:v>
                  </c:pt>
                  <c:pt idx="49">
                    <c:v>Season 3</c:v>
                  </c:pt>
                  <c:pt idx="74">
                    <c:v>Season 4</c:v>
                  </c:pt>
                  <c:pt idx="96">
                    <c:v>Season 5</c:v>
                  </c:pt>
                  <c:pt idx="124">
                    <c:v>Season 6</c:v>
                  </c:pt>
                  <c:pt idx="150">
                    <c:v>Season 7</c:v>
                  </c:pt>
                  <c:pt idx="176">
                    <c:v>Season 8</c:v>
                  </c:pt>
                  <c:pt idx="200">
                    <c:v>Season 9</c:v>
                  </c:pt>
                </c:lvl>
              </c:multiLvlStrCache>
            </c:multiLvlStrRef>
          </c:cat>
          <c:val>
            <c:numRef>
              <c:f>Graphs!$L$18:$L$252</c:f>
              <c:numCache>
                <c:formatCode>General</c:formatCode>
                <c:ptCount val="225"/>
                <c:pt idx="0">
                  <c:v>11.2</c:v>
                </c:pt>
                <c:pt idx="1">
                  <c:v>6</c:v>
                </c:pt>
                <c:pt idx="2">
                  <c:v>5.8</c:v>
                </c:pt>
                <c:pt idx="3">
                  <c:v>5.4</c:v>
                </c:pt>
                <c:pt idx="4">
                  <c:v>5</c:v>
                </c:pt>
                <c:pt idx="5">
                  <c:v>4.8</c:v>
                </c:pt>
                <c:pt idx="25">
                  <c:v>9</c:v>
                </c:pt>
                <c:pt idx="26">
                  <c:v>7.13</c:v>
                </c:pt>
                <c:pt idx="27">
                  <c:v>8.3000000000000007</c:v>
                </c:pt>
                <c:pt idx="28">
                  <c:v>7.6</c:v>
                </c:pt>
                <c:pt idx="29">
                  <c:v>8</c:v>
                </c:pt>
                <c:pt idx="30">
                  <c:v>7.9</c:v>
                </c:pt>
                <c:pt idx="31">
                  <c:v>7.5</c:v>
                </c:pt>
                <c:pt idx="32">
                  <c:v>8</c:v>
                </c:pt>
                <c:pt idx="33">
                  <c:v>8.1</c:v>
                </c:pt>
                <c:pt idx="34">
                  <c:v>9.6999999999999993</c:v>
                </c:pt>
                <c:pt idx="35">
                  <c:v>8.6999999999999993</c:v>
                </c:pt>
                <c:pt idx="36">
                  <c:v>10.3</c:v>
                </c:pt>
                <c:pt idx="37">
                  <c:v>8.6999999999999993</c:v>
                </c:pt>
                <c:pt idx="38">
                  <c:v>8.6</c:v>
                </c:pt>
                <c:pt idx="39">
                  <c:v>5.42</c:v>
                </c:pt>
                <c:pt idx="40">
                  <c:v>8.9499999999999993</c:v>
                </c:pt>
                <c:pt idx="41">
                  <c:v>8.4</c:v>
                </c:pt>
                <c:pt idx="42">
                  <c:v>8.8000000000000007</c:v>
                </c:pt>
                <c:pt idx="43">
                  <c:v>7.8</c:v>
                </c:pt>
                <c:pt idx="44">
                  <c:v>7.8</c:v>
                </c:pt>
                <c:pt idx="45">
                  <c:v>7.4</c:v>
                </c:pt>
                <c:pt idx="46">
                  <c:v>7.6</c:v>
                </c:pt>
                <c:pt idx="49">
                  <c:v>9.11</c:v>
                </c:pt>
                <c:pt idx="50">
                  <c:v>7.78</c:v>
                </c:pt>
                <c:pt idx="51">
                  <c:v>8.89</c:v>
                </c:pt>
                <c:pt idx="52">
                  <c:v>8.83</c:v>
                </c:pt>
                <c:pt idx="53">
                  <c:v>8.4600000000000009</c:v>
                </c:pt>
                <c:pt idx="54">
                  <c:v>8.81</c:v>
                </c:pt>
                <c:pt idx="55">
                  <c:v>8.0500000000000007</c:v>
                </c:pt>
                <c:pt idx="56">
                  <c:v>8.6300000000000008</c:v>
                </c:pt>
                <c:pt idx="57">
                  <c:v>9.07</c:v>
                </c:pt>
                <c:pt idx="58">
                  <c:v>8.44</c:v>
                </c:pt>
                <c:pt idx="59">
                  <c:v>8.44</c:v>
                </c:pt>
                <c:pt idx="60">
                  <c:v>8.8000000000000007</c:v>
                </c:pt>
                <c:pt idx="61">
                  <c:v>10.119999999999999</c:v>
                </c:pt>
                <c:pt idx="62">
                  <c:v>10.199999999999999</c:v>
                </c:pt>
                <c:pt idx="63">
                  <c:v>10.11</c:v>
                </c:pt>
                <c:pt idx="64">
                  <c:v>8.84</c:v>
                </c:pt>
                <c:pt idx="65">
                  <c:v>8.84</c:v>
                </c:pt>
                <c:pt idx="66">
                  <c:v>8.3000000000000007</c:v>
                </c:pt>
                <c:pt idx="67">
                  <c:v>6.74</c:v>
                </c:pt>
                <c:pt idx="68">
                  <c:v>7.71</c:v>
                </c:pt>
                <c:pt idx="69">
                  <c:v>7.56</c:v>
                </c:pt>
                <c:pt idx="70">
                  <c:v>7</c:v>
                </c:pt>
                <c:pt idx="71">
                  <c:v>7.2</c:v>
                </c:pt>
                <c:pt idx="72">
                  <c:v>7.88</c:v>
                </c:pt>
                <c:pt idx="73">
                  <c:v>7.88</c:v>
                </c:pt>
                <c:pt idx="74">
                  <c:v>9.6999999999999993</c:v>
                </c:pt>
                <c:pt idx="75">
                  <c:v>9.6999999999999993</c:v>
                </c:pt>
                <c:pt idx="76">
                  <c:v>8.49</c:v>
                </c:pt>
                <c:pt idx="77">
                  <c:v>8.49</c:v>
                </c:pt>
                <c:pt idx="78">
                  <c:v>8.91</c:v>
                </c:pt>
                <c:pt idx="79">
                  <c:v>8.91</c:v>
                </c:pt>
                <c:pt idx="80">
                  <c:v>8.5</c:v>
                </c:pt>
                <c:pt idx="81">
                  <c:v>8.5</c:v>
                </c:pt>
                <c:pt idx="82">
                  <c:v>8.98</c:v>
                </c:pt>
                <c:pt idx="83">
                  <c:v>8.39</c:v>
                </c:pt>
                <c:pt idx="84">
                  <c:v>8.2899999999999991</c:v>
                </c:pt>
                <c:pt idx="85">
                  <c:v>8.86</c:v>
                </c:pt>
                <c:pt idx="86">
                  <c:v>9.2200000000000006</c:v>
                </c:pt>
                <c:pt idx="87">
                  <c:v>9.81</c:v>
                </c:pt>
                <c:pt idx="88">
                  <c:v>7.56</c:v>
                </c:pt>
                <c:pt idx="89">
                  <c:v>7.67</c:v>
                </c:pt>
                <c:pt idx="90">
                  <c:v>7.22</c:v>
                </c:pt>
                <c:pt idx="91">
                  <c:v>8.07</c:v>
                </c:pt>
                <c:pt idx="92">
                  <c:v>8.07</c:v>
                </c:pt>
                <c:pt idx="96">
                  <c:v>9.1999999999999993</c:v>
                </c:pt>
                <c:pt idx="97">
                  <c:v>9.1999999999999993</c:v>
                </c:pt>
                <c:pt idx="98">
                  <c:v>8.99</c:v>
                </c:pt>
                <c:pt idx="99">
                  <c:v>8.07</c:v>
                </c:pt>
                <c:pt idx="100">
                  <c:v>7.74</c:v>
                </c:pt>
                <c:pt idx="101">
                  <c:v>9.32</c:v>
                </c:pt>
                <c:pt idx="102">
                  <c:v>8.35</c:v>
                </c:pt>
                <c:pt idx="103">
                  <c:v>8.18</c:v>
                </c:pt>
                <c:pt idx="104">
                  <c:v>8.4</c:v>
                </c:pt>
                <c:pt idx="105">
                  <c:v>8.33</c:v>
                </c:pt>
                <c:pt idx="106">
                  <c:v>8.7899999999999991</c:v>
                </c:pt>
                <c:pt idx="107">
                  <c:v>8.5</c:v>
                </c:pt>
                <c:pt idx="108">
                  <c:v>8.74</c:v>
                </c:pt>
                <c:pt idx="109">
                  <c:v>22.91</c:v>
                </c:pt>
                <c:pt idx="110">
                  <c:v>22.91</c:v>
                </c:pt>
                <c:pt idx="111">
                  <c:v>8.39</c:v>
                </c:pt>
                <c:pt idx="112">
                  <c:v>8.89</c:v>
                </c:pt>
                <c:pt idx="113">
                  <c:v>8.6300000000000008</c:v>
                </c:pt>
                <c:pt idx="114">
                  <c:v>7.51</c:v>
                </c:pt>
                <c:pt idx="115">
                  <c:v>7.95</c:v>
                </c:pt>
                <c:pt idx="116">
                  <c:v>8.4499999999999993</c:v>
                </c:pt>
                <c:pt idx="117">
                  <c:v>7.2</c:v>
                </c:pt>
                <c:pt idx="118">
                  <c:v>7.94</c:v>
                </c:pt>
                <c:pt idx="119">
                  <c:v>8.24</c:v>
                </c:pt>
                <c:pt idx="120">
                  <c:v>7.21</c:v>
                </c:pt>
                <c:pt idx="121">
                  <c:v>7.31</c:v>
                </c:pt>
                <c:pt idx="122">
                  <c:v>7.71</c:v>
                </c:pt>
                <c:pt idx="123">
                  <c:v>6.72</c:v>
                </c:pt>
                <c:pt idx="124">
                  <c:v>8.1999999999999993</c:v>
                </c:pt>
                <c:pt idx="125">
                  <c:v>7.33</c:v>
                </c:pt>
                <c:pt idx="126">
                  <c:v>7.28</c:v>
                </c:pt>
                <c:pt idx="127">
                  <c:v>9.42</c:v>
                </c:pt>
                <c:pt idx="128">
                  <c:v>9.42</c:v>
                </c:pt>
                <c:pt idx="129">
                  <c:v>8.1</c:v>
                </c:pt>
                <c:pt idx="130">
                  <c:v>8.52</c:v>
                </c:pt>
                <c:pt idx="131">
                  <c:v>8.1999999999999993</c:v>
                </c:pt>
                <c:pt idx="132">
                  <c:v>7.94</c:v>
                </c:pt>
                <c:pt idx="133">
                  <c:v>7.76</c:v>
                </c:pt>
                <c:pt idx="134">
                  <c:v>7.43</c:v>
                </c:pt>
                <c:pt idx="135">
                  <c:v>8.1</c:v>
                </c:pt>
                <c:pt idx="136">
                  <c:v>8.51</c:v>
                </c:pt>
                <c:pt idx="137">
                  <c:v>7.29</c:v>
                </c:pt>
                <c:pt idx="138">
                  <c:v>7.36</c:v>
                </c:pt>
                <c:pt idx="139">
                  <c:v>7.4</c:v>
                </c:pt>
                <c:pt idx="140">
                  <c:v>9</c:v>
                </c:pt>
                <c:pt idx="141">
                  <c:v>9</c:v>
                </c:pt>
                <c:pt idx="142">
                  <c:v>7.51</c:v>
                </c:pt>
                <c:pt idx="143">
                  <c:v>7.63</c:v>
                </c:pt>
                <c:pt idx="144">
                  <c:v>7.17</c:v>
                </c:pt>
                <c:pt idx="145">
                  <c:v>6.3</c:v>
                </c:pt>
                <c:pt idx="146">
                  <c:v>7.01</c:v>
                </c:pt>
                <c:pt idx="147">
                  <c:v>6.84</c:v>
                </c:pt>
                <c:pt idx="148">
                  <c:v>6.6</c:v>
                </c:pt>
                <c:pt idx="149">
                  <c:v>6.6</c:v>
                </c:pt>
                <c:pt idx="150">
                  <c:v>8.4</c:v>
                </c:pt>
                <c:pt idx="151">
                  <c:v>7.36</c:v>
                </c:pt>
                <c:pt idx="152">
                  <c:v>6.95</c:v>
                </c:pt>
                <c:pt idx="153">
                  <c:v>7.36</c:v>
                </c:pt>
                <c:pt idx="154">
                  <c:v>6.87</c:v>
                </c:pt>
                <c:pt idx="155">
                  <c:v>8.07</c:v>
                </c:pt>
                <c:pt idx="156">
                  <c:v>7.65</c:v>
                </c:pt>
                <c:pt idx="157">
                  <c:v>7.15</c:v>
                </c:pt>
                <c:pt idx="158">
                  <c:v>7.28</c:v>
                </c:pt>
                <c:pt idx="159">
                  <c:v>7.31</c:v>
                </c:pt>
                <c:pt idx="160">
                  <c:v>7.18</c:v>
                </c:pt>
                <c:pt idx="161">
                  <c:v>7.18</c:v>
                </c:pt>
                <c:pt idx="162">
                  <c:v>8.26</c:v>
                </c:pt>
                <c:pt idx="163">
                  <c:v>7.93</c:v>
                </c:pt>
                <c:pt idx="164">
                  <c:v>7.29</c:v>
                </c:pt>
                <c:pt idx="165">
                  <c:v>6.9</c:v>
                </c:pt>
                <c:pt idx="166">
                  <c:v>6.41</c:v>
                </c:pt>
                <c:pt idx="167">
                  <c:v>6.12</c:v>
                </c:pt>
                <c:pt idx="168">
                  <c:v>7.07</c:v>
                </c:pt>
                <c:pt idx="169">
                  <c:v>7.87</c:v>
                </c:pt>
                <c:pt idx="170">
                  <c:v>6.85</c:v>
                </c:pt>
                <c:pt idx="171">
                  <c:v>8.42</c:v>
                </c:pt>
                <c:pt idx="172">
                  <c:v>6.9</c:v>
                </c:pt>
                <c:pt idx="173">
                  <c:v>6.45</c:v>
                </c:pt>
                <c:pt idx="174">
                  <c:v>7.29</c:v>
                </c:pt>
                <c:pt idx="175">
                  <c:v>7.29</c:v>
                </c:pt>
                <c:pt idx="176">
                  <c:v>7.64</c:v>
                </c:pt>
                <c:pt idx="177">
                  <c:v>6.7</c:v>
                </c:pt>
                <c:pt idx="178">
                  <c:v>5.82</c:v>
                </c:pt>
                <c:pt idx="179">
                  <c:v>6.08</c:v>
                </c:pt>
                <c:pt idx="180">
                  <c:v>5.53</c:v>
                </c:pt>
                <c:pt idx="181">
                  <c:v>6.15</c:v>
                </c:pt>
                <c:pt idx="182">
                  <c:v>5.96</c:v>
                </c:pt>
                <c:pt idx="183">
                  <c:v>5.5</c:v>
                </c:pt>
                <c:pt idx="184">
                  <c:v>5.71</c:v>
                </c:pt>
                <c:pt idx="185">
                  <c:v>5.79</c:v>
                </c:pt>
                <c:pt idx="186">
                  <c:v>5.9</c:v>
                </c:pt>
                <c:pt idx="187">
                  <c:v>6.02</c:v>
                </c:pt>
                <c:pt idx="188">
                  <c:v>5.31</c:v>
                </c:pt>
                <c:pt idx="189">
                  <c:v>5.19</c:v>
                </c:pt>
                <c:pt idx="190">
                  <c:v>4.38</c:v>
                </c:pt>
                <c:pt idx="191">
                  <c:v>5.0199999999999996</c:v>
                </c:pt>
                <c:pt idx="192">
                  <c:v>4.95</c:v>
                </c:pt>
                <c:pt idx="193">
                  <c:v>4.8899999999999997</c:v>
                </c:pt>
                <c:pt idx="194">
                  <c:v>4.87</c:v>
                </c:pt>
                <c:pt idx="195">
                  <c:v>4.3899999999999997</c:v>
                </c:pt>
                <c:pt idx="196">
                  <c:v>4.3499999999999996</c:v>
                </c:pt>
                <c:pt idx="197">
                  <c:v>4.17</c:v>
                </c:pt>
                <c:pt idx="198">
                  <c:v>4.4400000000000004</c:v>
                </c:pt>
                <c:pt idx="199">
                  <c:v>4.49</c:v>
                </c:pt>
                <c:pt idx="200">
                  <c:v>4.28</c:v>
                </c:pt>
                <c:pt idx="201">
                  <c:v>4.13</c:v>
                </c:pt>
                <c:pt idx="202">
                  <c:v>4.1399999999999997</c:v>
                </c:pt>
                <c:pt idx="203">
                  <c:v>4.28</c:v>
                </c:pt>
                <c:pt idx="204">
                  <c:v>4</c:v>
                </c:pt>
                <c:pt idx="205">
                  <c:v>4.83</c:v>
                </c:pt>
                <c:pt idx="206">
                  <c:v>4.16</c:v>
                </c:pt>
                <c:pt idx="207">
                  <c:v>3.88</c:v>
                </c:pt>
                <c:pt idx="208">
                  <c:v>4.16</c:v>
                </c:pt>
                <c:pt idx="209">
                  <c:v>4.54</c:v>
                </c:pt>
                <c:pt idx="210">
                  <c:v>4.1500000000000004</c:v>
                </c:pt>
                <c:pt idx="211">
                  <c:v>4.1900000000000004</c:v>
                </c:pt>
                <c:pt idx="212">
                  <c:v>4.45</c:v>
                </c:pt>
                <c:pt idx="213">
                  <c:v>3.97</c:v>
                </c:pt>
                <c:pt idx="214">
                  <c:v>4.1500000000000004</c:v>
                </c:pt>
                <c:pt idx="215">
                  <c:v>4.0599999999999996</c:v>
                </c:pt>
                <c:pt idx="216">
                  <c:v>3.54</c:v>
                </c:pt>
                <c:pt idx="217">
                  <c:v>3.44</c:v>
                </c:pt>
                <c:pt idx="218">
                  <c:v>3.83</c:v>
                </c:pt>
                <c:pt idx="219">
                  <c:v>3.25</c:v>
                </c:pt>
                <c:pt idx="220">
                  <c:v>3.51</c:v>
                </c:pt>
                <c:pt idx="221">
                  <c:v>4.5599999999999996</c:v>
                </c:pt>
                <c:pt idx="222">
                  <c:v>4.5599999999999996</c:v>
                </c:pt>
                <c:pt idx="223">
                  <c:v>5.69</c:v>
                </c:pt>
                <c:pt idx="224">
                  <c:v>5.69</c:v>
                </c:pt>
              </c:numCache>
            </c:numRef>
          </c:val>
          <c:smooth val="0"/>
          <c:extLst>
            <c:ext xmlns:c16="http://schemas.microsoft.com/office/drawing/2014/chart" uri="{C3380CC4-5D6E-409C-BE32-E72D297353CC}">
              <c16:uniqueId val="{00000003-C9EA-5C45-8F03-6CD490278A79}"/>
            </c:ext>
          </c:extLst>
        </c:ser>
        <c:dLbls>
          <c:showLegendKey val="0"/>
          <c:showVal val="0"/>
          <c:showCatName val="0"/>
          <c:showSerName val="0"/>
          <c:showPercent val="0"/>
          <c:showBubbleSize val="0"/>
        </c:dLbls>
        <c:smooth val="0"/>
        <c:axId val="277350127"/>
        <c:axId val="345348991"/>
      </c:lineChart>
      <c:catAx>
        <c:axId val="27735012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Show</a:t>
                </a:r>
                <a:r>
                  <a:rPr lang="en-US" baseline="0"/>
                  <a:t> Season</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5348991"/>
        <c:crosses val="autoZero"/>
        <c:auto val="1"/>
        <c:lblAlgn val="ctr"/>
        <c:lblOffset val="100"/>
        <c:noMultiLvlLbl val="0"/>
      </c:catAx>
      <c:valAx>
        <c:axId val="34534899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a:t>U.S.</a:t>
                </a:r>
                <a:r>
                  <a:rPr lang="en-US" sz="1200" baseline="0"/>
                  <a:t> Viewers (Millions)</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735012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1"/>
              <a:t>Avg. Viewers Per Season by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Graphs!$W$14</c:f>
              <c:strCache>
                <c:ptCount val="1"/>
                <c:pt idx="0">
                  <c:v>30 Rock</c:v>
                </c:pt>
              </c:strCache>
            </c:strRef>
          </c:tx>
          <c:spPr>
            <a:solidFill>
              <a:srgbClr val="9E4FD7"/>
            </a:solidFill>
            <a:ln>
              <a:noFill/>
            </a:ln>
            <a:effectLst/>
          </c:spPr>
          <c:invertIfNegative val="0"/>
          <c:cat>
            <c:strRef>
              <c:f>Graphs!$V$15:$V$26</c:f>
              <c:strCache>
                <c:ptCount val="12"/>
                <c:pt idx="0">
                  <c:v>TV Season</c:v>
                </c:pt>
                <c:pt idx="1">
                  <c:v>2004-05</c:v>
                </c:pt>
                <c:pt idx="2">
                  <c:v>2005-06</c:v>
                </c:pt>
                <c:pt idx="3">
                  <c:v>2006-07</c:v>
                </c:pt>
                <c:pt idx="4">
                  <c:v>2007-08</c:v>
                </c:pt>
                <c:pt idx="5">
                  <c:v>2008-09</c:v>
                </c:pt>
                <c:pt idx="6">
                  <c:v>2009-10</c:v>
                </c:pt>
                <c:pt idx="7">
                  <c:v>2010-11</c:v>
                </c:pt>
                <c:pt idx="8">
                  <c:v>2011-12</c:v>
                </c:pt>
                <c:pt idx="9">
                  <c:v>2012-13</c:v>
                </c:pt>
                <c:pt idx="10">
                  <c:v>2013-14</c:v>
                </c:pt>
                <c:pt idx="11">
                  <c:v>2014-15</c:v>
                </c:pt>
              </c:strCache>
            </c:strRef>
          </c:cat>
          <c:val>
            <c:numRef>
              <c:f>Graphs!$X$16:$X$26</c:f>
              <c:numCache>
                <c:formatCode>General</c:formatCode>
                <c:ptCount val="11"/>
                <c:pt idx="0">
                  <c:v>0</c:v>
                </c:pt>
                <c:pt idx="1">
                  <c:v>0</c:v>
                </c:pt>
                <c:pt idx="2">
                  <c:v>5.8</c:v>
                </c:pt>
                <c:pt idx="3">
                  <c:v>6.5</c:v>
                </c:pt>
                <c:pt idx="4">
                  <c:v>7.5</c:v>
                </c:pt>
                <c:pt idx="5">
                  <c:v>5.9</c:v>
                </c:pt>
                <c:pt idx="6">
                  <c:v>5.3</c:v>
                </c:pt>
                <c:pt idx="7">
                  <c:v>4.5999999999999996</c:v>
                </c:pt>
                <c:pt idx="8">
                  <c:v>4.5999999999999996</c:v>
                </c:pt>
                <c:pt idx="9">
                  <c:v>0</c:v>
                </c:pt>
                <c:pt idx="10">
                  <c:v>0</c:v>
                </c:pt>
              </c:numCache>
            </c:numRef>
          </c:val>
          <c:extLst>
            <c:ext xmlns:c16="http://schemas.microsoft.com/office/drawing/2014/chart" uri="{C3380CC4-5D6E-409C-BE32-E72D297353CC}">
              <c16:uniqueId val="{00000000-E798-CD49-8741-615820FF0C09}"/>
            </c:ext>
          </c:extLst>
        </c:ser>
        <c:ser>
          <c:idx val="3"/>
          <c:order val="1"/>
          <c:tx>
            <c:strRef>
              <c:f>Graphs!$Z$14</c:f>
              <c:strCache>
                <c:ptCount val="1"/>
                <c:pt idx="0">
                  <c:v>The Office</c:v>
                </c:pt>
              </c:strCache>
            </c:strRef>
          </c:tx>
          <c:spPr>
            <a:solidFill>
              <a:schemeClr val="accent5"/>
            </a:solidFill>
            <a:ln>
              <a:noFill/>
            </a:ln>
            <a:effectLst/>
          </c:spPr>
          <c:invertIfNegative val="0"/>
          <c:cat>
            <c:strRef>
              <c:f>Graphs!$V$15:$V$26</c:f>
              <c:strCache>
                <c:ptCount val="12"/>
                <c:pt idx="0">
                  <c:v>TV Season</c:v>
                </c:pt>
                <c:pt idx="1">
                  <c:v>2004-05</c:v>
                </c:pt>
                <c:pt idx="2">
                  <c:v>2005-06</c:v>
                </c:pt>
                <c:pt idx="3">
                  <c:v>2006-07</c:v>
                </c:pt>
                <c:pt idx="4">
                  <c:v>2007-08</c:v>
                </c:pt>
                <c:pt idx="5">
                  <c:v>2008-09</c:v>
                </c:pt>
                <c:pt idx="6">
                  <c:v>2009-10</c:v>
                </c:pt>
                <c:pt idx="7">
                  <c:v>2010-11</c:v>
                </c:pt>
                <c:pt idx="8">
                  <c:v>2011-12</c:v>
                </c:pt>
                <c:pt idx="9">
                  <c:v>2012-13</c:v>
                </c:pt>
                <c:pt idx="10">
                  <c:v>2013-14</c:v>
                </c:pt>
                <c:pt idx="11">
                  <c:v>2014-15</c:v>
                </c:pt>
              </c:strCache>
            </c:strRef>
          </c:cat>
          <c:val>
            <c:numRef>
              <c:f>Graphs!$Z$16:$Z$26</c:f>
              <c:numCache>
                <c:formatCode>General</c:formatCode>
                <c:ptCount val="11"/>
                <c:pt idx="0">
                  <c:v>1</c:v>
                </c:pt>
                <c:pt idx="1">
                  <c:v>2</c:v>
                </c:pt>
                <c:pt idx="2">
                  <c:v>3</c:v>
                </c:pt>
                <c:pt idx="3">
                  <c:v>4</c:v>
                </c:pt>
                <c:pt idx="4">
                  <c:v>5</c:v>
                </c:pt>
                <c:pt idx="5">
                  <c:v>6</c:v>
                </c:pt>
                <c:pt idx="6">
                  <c:v>7</c:v>
                </c:pt>
                <c:pt idx="7">
                  <c:v>8</c:v>
                </c:pt>
                <c:pt idx="8">
                  <c:v>9</c:v>
                </c:pt>
                <c:pt idx="9">
                  <c:v>0</c:v>
                </c:pt>
                <c:pt idx="10">
                  <c:v>0</c:v>
                </c:pt>
              </c:numCache>
            </c:numRef>
          </c:val>
          <c:extLst>
            <c:ext xmlns:c16="http://schemas.microsoft.com/office/drawing/2014/chart" uri="{C3380CC4-5D6E-409C-BE32-E72D297353CC}">
              <c16:uniqueId val="{00000003-E798-CD49-8741-615820FF0C09}"/>
            </c:ext>
          </c:extLst>
        </c:ser>
        <c:ser>
          <c:idx val="6"/>
          <c:order val="2"/>
          <c:tx>
            <c:strRef>
              <c:f>Graphs!$AC$14</c:f>
              <c:strCache>
                <c:ptCount val="1"/>
                <c:pt idx="0">
                  <c:v>Parks and Rec</c:v>
                </c:pt>
              </c:strCache>
            </c:strRef>
          </c:tx>
          <c:spPr>
            <a:solidFill>
              <a:schemeClr val="accent6"/>
            </a:solidFill>
            <a:ln>
              <a:noFill/>
            </a:ln>
            <a:effectLst/>
          </c:spPr>
          <c:invertIfNegative val="0"/>
          <c:cat>
            <c:strRef>
              <c:f>Graphs!$V$15:$V$26</c:f>
              <c:strCache>
                <c:ptCount val="12"/>
                <c:pt idx="0">
                  <c:v>TV Season</c:v>
                </c:pt>
                <c:pt idx="1">
                  <c:v>2004-05</c:v>
                </c:pt>
                <c:pt idx="2">
                  <c:v>2005-06</c:v>
                </c:pt>
                <c:pt idx="3">
                  <c:v>2006-07</c:v>
                </c:pt>
                <c:pt idx="4">
                  <c:v>2007-08</c:v>
                </c:pt>
                <c:pt idx="5">
                  <c:v>2008-09</c:v>
                </c:pt>
                <c:pt idx="6">
                  <c:v>2009-10</c:v>
                </c:pt>
                <c:pt idx="7">
                  <c:v>2010-11</c:v>
                </c:pt>
                <c:pt idx="8">
                  <c:v>2011-12</c:v>
                </c:pt>
                <c:pt idx="9">
                  <c:v>2012-13</c:v>
                </c:pt>
                <c:pt idx="10">
                  <c:v>2013-14</c:v>
                </c:pt>
                <c:pt idx="11">
                  <c:v>2014-15</c:v>
                </c:pt>
              </c:strCache>
            </c:strRef>
          </c:cat>
          <c:val>
            <c:numRef>
              <c:f>Graphs!$AD$16:$AD$26</c:f>
              <c:numCache>
                <c:formatCode>General</c:formatCode>
                <c:ptCount val="11"/>
                <c:pt idx="0">
                  <c:v>0</c:v>
                </c:pt>
                <c:pt idx="1">
                  <c:v>0</c:v>
                </c:pt>
                <c:pt idx="2">
                  <c:v>0</c:v>
                </c:pt>
                <c:pt idx="3">
                  <c:v>0</c:v>
                </c:pt>
                <c:pt idx="4">
                  <c:v>6</c:v>
                </c:pt>
                <c:pt idx="5">
                  <c:v>4.5999999999999996</c:v>
                </c:pt>
                <c:pt idx="6">
                  <c:v>5.0999999999999996</c:v>
                </c:pt>
                <c:pt idx="7">
                  <c:v>4.4000000000000004</c:v>
                </c:pt>
                <c:pt idx="8">
                  <c:v>4.0599999999999996</c:v>
                </c:pt>
                <c:pt idx="9">
                  <c:v>3.76</c:v>
                </c:pt>
                <c:pt idx="10">
                  <c:v>4.57</c:v>
                </c:pt>
              </c:numCache>
            </c:numRef>
          </c:val>
          <c:extLst>
            <c:ext xmlns:c16="http://schemas.microsoft.com/office/drawing/2014/chart" uri="{C3380CC4-5D6E-409C-BE32-E72D297353CC}">
              <c16:uniqueId val="{00000006-E798-CD49-8741-615820FF0C09}"/>
            </c:ext>
          </c:extLst>
        </c:ser>
        <c:ser>
          <c:idx val="9"/>
          <c:order val="3"/>
          <c:tx>
            <c:strRef>
              <c:f>Graphs!$AF$14</c:f>
              <c:strCache>
                <c:ptCount val="1"/>
                <c:pt idx="0">
                  <c:v>Community</c:v>
                </c:pt>
              </c:strCache>
            </c:strRef>
          </c:tx>
          <c:spPr>
            <a:solidFill>
              <a:schemeClr val="accent2"/>
            </a:solidFill>
            <a:ln>
              <a:noFill/>
            </a:ln>
            <a:effectLst/>
          </c:spPr>
          <c:invertIfNegative val="0"/>
          <c:cat>
            <c:strRef>
              <c:f>Graphs!$V$15:$V$26</c:f>
              <c:strCache>
                <c:ptCount val="12"/>
                <c:pt idx="0">
                  <c:v>TV Season</c:v>
                </c:pt>
                <c:pt idx="1">
                  <c:v>2004-05</c:v>
                </c:pt>
                <c:pt idx="2">
                  <c:v>2005-06</c:v>
                </c:pt>
                <c:pt idx="3">
                  <c:v>2006-07</c:v>
                </c:pt>
                <c:pt idx="4">
                  <c:v>2007-08</c:v>
                </c:pt>
                <c:pt idx="5">
                  <c:v>2008-09</c:v>
                </c:pt>
                <c:pt idx="6">
                  <c:v>2009-10</c:v>
                </c:pt>
                <c:pt idx="7">
                  <c:v>2010-11</c:v>
                </c:pt>
                <c:pt idx="8">
                  <c:v>2011-12</c:v>
                </c:pt>
                <c:pt idx="9">
                  <c:v>2012-13</c:v>
                </c:pt>
                <c:pt idx="10">
                  <c:v>2013-14</c:v>
                </c:pt>
                <c:pt idx="11">
                  <c:v>2014-15</c:v>
                </c:pt>
              </c:strCache>
            </c:strRef>
          </c:cat>
          <c:val>
            <c:numRef>
              <c:f>Graphs!$AG$16:$AG$26</c:f>
              <c:numCache>
                <c:formatCode>General</c:formatCode>
                <c:ptCount val="11"/>
                <c:pt idx="0">
                  <c:v>0</c:v>
                </c:pt>
                <c:pt idx="1">
                  <c:v>0</c:v>
                </c:pt>
                <c:pt idx="2">
                  <c:v>0</c:v>
                </c:pt>
                <c:pt idx="3">
                  <c:v>0</c:v>
                </c:pt>
                <c:pt idx="4">
                  <c:v>0</c:v>
                </c:pt>
                <c:pt idx="5">
                  <c:v>5</c:v>
                </c:pt>
                <c:pt idx="6">
                  <c:v>4.4400000000000004</c:v>
                </c:pt>
                <c:pt idx="7">
                  <c:v>4.03</c:v>
                </c:pt>
                <c:pt idx="8">
                  <c:v>3.58</c:v>
                </c:pt>
                <c:pt idx="9">
                  <c:v>3</c:v>
                </c:pt>
                <c:pt idx="10">
                  <c:v>0</c:v>
                </c:pt>
              </c:numCache>
            </c:numRef>
          </c:val>
          <c:extLst>
            <c:ext xmlns:c16="http://schemas.microsoft.com/office/drawing/2014/chart" uri="{C3380CC4-5D6E-409C-BE32-E72D297353CC}">
              <c16:uniqueId val="{00000009-E798-CD49-8741-615820FF0C09}"/>
            </c:ext>
          </c:extLst>
        </c:ser>
        <c:dLbls>
          <c:showLegendKey val="0"/>
          <c:showVal val="0"/>
          <c:showCatName val="0"/>
          <c:showSerName val="0"/>
          <c:showPercent val="0"/>
          <c:showBubbleSize val="0"/>
        </c:dLbls>
        <c:gapWidth val="150"/>
        <c:overlap val="100"/>
        <c:axId val="948726847"/>
        <c:axId val="849249584"/>
      </c:barChart>
      <c:catAx>
        <c:axId val="948726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9249584"/>
        <c:crosses val="autoZero"/>
        <c:auto val="1"/>
        <c:lblAlgn val="ctr"/>
        <c:lblOffset val="100"/>
        <c:noMultiLvlLbl val="0"/>
      </c:catAx>
      <c:valAx>
        <c:axId val="8492495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872684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Avg. Viewers Per TV Season By Year</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1"/>
          <c:order val="4"/>
          <c:tx>
            <c:strRef>
              <c:f>Graphs!$AI$15</c:f>
              <c:strCache>
                <c:ptCount val="1"/>
                <c:pt idx="0">
                  <c:v>Sum of Viewers</c:v>
                </c:pt>
              </c:strCache>
            </c:strRef>
          </c:tx>
          <c:spPr>
            <a:solidFill>
              <a:schemeClr val="accent4">
                <a:lumMod val="40000"/>
                <a:lumOff val="60000"/>
              </a:schemeClr>
            </a:solidFill>
            <a:ln>
              <a:noFill/>
            </a:ln>
            <a:effectLst/>
          </c:spPr>
          <c:val>
            <c:numRef>
              <c:f>Graphs!$AI$16:$AI$26</c:f>
              <c:numCache>
                <c:formatCode>General</c:formatCode>
                <c:ptCount val="11"/>
                <c:pt idx="0">
                  <c:v>5.4</c:v>
                </c:pt>
                <c:pt idx="1">
                  <c:v>8</c:v>
                </c:pt>
                <c:pt idx="2">
                  <c:v>14.100000000000001</c:v>
                </c:pt>
                <c:pt idx="3">
                  <c:v>14.54</c:v>
                </c:pt>
                <c:pt idx="4">
                  <c:v>22.54</c:v>
                </c:pt>
                <c:pt idx="5">
                  <c:v>24.23</c:v>
                </c:pt>
                <c:pt idx="6">
                  <c:v>22.570000000000004</c:v>
                </c:pt>
                <c:pt idx="7">
                  <c:v>19.54</c:v>
                </c:pt>
                <c:pt idx="8">
                  <c:v>17.299999999999997</c:v>
                </c:pt>
                <c:pt idx="9">
                  <c:v>6.76</c:v>
                </c:pt>
                <c:pt idx="10">
                  <c:v>4.57</c:v>
                </c:pt>
              </c:numCache>
            </c:numRef>
          </c:val>
          <c:extLst>
            <c:ext xmlns:c16="http://schemas.microsoft.com/office/drawing/2014/chart" uri="{C3380CC4-5D6E-409C-BE32-E72D297353CC}">
              <c16:uniqueId val="{00000004-5FB2-E844-A251-B10BC1B8618D}"/>
            </c:ext>
          </c:extLst>
        </c:ser>
        <c:dLbls>
          <c:showLegendKey val="0"/>
          <c:showVal val="0"/>
          <c:showCatName val="0"/>
          <c:showSerName val="0"/>
          <c:showPercent val="0"/>
          <c:showBubbleSize val="0"/>
        </c:dLbls>
        <c:axId val="948726847"/>
        <c:axId val="849249584"/>
      </c:areaChart>
      <c:barChart>
        <c:barDir val="col"/>
        <c:grouping val="clustered"/>
        <c:varyColors val="0"/>
        <c:ser>
          <c:idx val="0"/>
          <c:order val="0"/>
          <c:tx>
            <c:strRef>
              <c:f>Graphs!$W$14</c:f>
              <c:strCache>
                <c:ptCount val="1"/>
                <c:pt idx="0">
                  <c:v>30 Rock</c:v>
                </c:pt>
              </c:strCache>
            </c:strRef>
          </c:tx>
          <c:spPr>
            <a:solidFill>
              <a:srgbClr val="9E4FD7"/>
            </a:solidFill>
            <a:ln>
              <a:noFill/>
            </a:ln>
            <a:effectLst/>
          </c:spPr>
          <c:invertIfNegative val="0"/>
          <c:cat>
            <c:strRef>
              <c:f>Graphs!$V$16:$V$26</c:f>
              <c:strCache>
                <c:ptCount val="11"/>
                <c:pt idx="0">
                  <c:v>2004-05</c:v>
                </c:pt>
                <c:pt idx="1">
                  <c:v>2005-06</c:v>
                </c:pt>
                <c:pt idx="2">
                  <c:v>2006-07</c:v>
                </c:pt>
                <c:pt idx="3">
                  <c:v>2007-08</c:v>
                </c:pt>
                <c:pt idx="4">
                  <c:v>2008-09</c:v>
                </c:pt>
                <c:pt idx="5">
                  <c:v>2009-10</c:v>
                </c:pt>
                <c:pt idx="6">
                  <c:v>2010-11</c:v>
                </c:pt>
                <c:pt idx="7">
                  <c:v>2011-12</c:v>
                </c:pt>
                <c:pt idx="8">
                  <c:v>2012-13</c:v>
                </c:pt>
                <c:pt idx="9">
                  <c:v>2013-14</c:v>
                </c:pt>
                <c:pt idx="10">
                  <c:v>2014-15</c:v>
                </c:pt>
              </c:strCache>
            </c:strRef>
          </c:cat>
          <c:val>
            <c:numRef>
              <c:f>Graphs!$X$16:$X$26</c:f>
              <c:numCache>
                <c:formatCode>General</c:formatCode>
                <c:ptCount val="11"/>
                <c:pt idx="0">
                  <c:v>0</c:v>
                </c:pt>
                <c:pt idx="1">
                  <c:v>0</c:v>
                </c:pt>
                <c:pt idx="2">
                  <c:v>5.8</c:v>
                </c:pt>
                <c:pt idx="3">
                  <c:v>6.5</c:v>
                </c:pt>
                <c:pt idx="4">
                  <c:v>7.5</c:v>
                </c:pt>
                <c:pt idx="5">
                  <c:v>5.9</c:v>
                </c:pt>
                <c:pt idx="6">
                  <c:v>5.3</c:v>
                </c:pt>
                <c:pt idx="7">
                  <c:v>4.5999999999999996</c:v>
                </c:pt>
                <c:pt idx="8">
                  <c:v>4.5999999999999996</c:v>
                </c:pt>
                <c:pt idx="9">
                  <c:v>0</c:v>
                </c:pt>
                <c:pt idx="10">
                  <c:v>0</c:v>
                </c:pt>
              </c:numCache>
            </c:numRef>
          </c:val>
          <c:extLst>
            <c:ext xmlns:c16="http://schemas.microsoft.com/office/drawing/2014/chart" uri="{C3380CC4-5D6E-409C-BE32-E72D297353CC}">
              <c16:uniqueId val="{00000000-5FB2-E844-A251-B10BC1B8618D}"/>
            </c:ext>
          </c:extLst>
        </c:ser>
        <c:ser>
          <c:idx val="3"/>
          <c:order val="1"/>
          <c:tx>
            <c:strRef>
              <c:f>Graphs!$Z$14</c:f>
              <c:strCache>
                <c:ptCount val="1"/>
                <c:pt idx="0">
                  <c:v>The Office</c:v>
                </c:pt>
              </c:strCache>
            </c:strRef>
          </c:tx>
          <c:spPr>
            <a:solidFill>
              <a:schemeClr val="accent5"/>
            </a:solidFill>
            <a:ln>
              <a:noFill/>
            </a:ln>
            <a:effectLst/>
          </c:spPr>
          <c:invertIfNegative val="0"/>
          <c:cat>
            <c:strRef>
              <c:f>Graphs!$V$16:$V$26</c:f>
              <c:strCache>
                <c:ptCount val="11"/>
                <c:pt idx="0">
                  <c:v>2004-05</c:v>
                </c:pt>
                <c:pt idx="1">
                  <c:v>2005-06</c:v>
                </c:pt>
                <c:pt idx="2">
                  <c:v>2006-07</c:v>
                </c:pt>
                <c:pt idx="3">
                  <c:v>2007-08</c:v>
                </c:pt>
                <c:pt idx="4">
                  <c:v>2008-09</c:v>
                </c:pt>
                <c:pt idx="5">
                  <c:v>2009-10</c:v>
                </c:pt>
                <c:pt idx="6">
                  <c:v>2010-11</c:v>
                </c:pt>
                <c:pt idx="7">
                  <c:v>2011-12</c:v>
                </c:pt>
                <c:pt idx="8">
                  <c:v>2012-13</c:v>
                </c:pt>
                <c:pt idx="9">
                  <c:v>2013-14</c:v>
                </c:pt>
                <c:pt idx="10">
                  <c:v>2014-15</c:v>
                </c:pt>
              </c:strCache>
            </c:strRef>
          </c:cat>
          <c:val>
            <c:numRef>
              <c:f>Graphs!$Z$16:$Z$26</c:f>
              <c:numCache>
                <c:formatCode>General</c:formatCode>
                <c:ptCount val="11"/>
                <c:pt idx="0">
                  <c:v>1</c:v>
                </c:pt>
                <c:pt idx="1">
                  <c:v>2</c:v>
                </c:pt>
                <c:pt idx="2">
                  <c:v>3</c:v>
                </c:pt>
                <c:pt idx="3">
                  <c:v>4</c:v>
                </c:pt>
                <c:pt idx="4">
                  <c:v>5</c:v>
                </c:pt>
                <c:pt idx="5">
                  <c:v>6</c:v>
                </c:pt>
                <c:pt idx="6">
                  <c:v>7</c:v>
                </c:pt>
                <c:pt idx="7">
                  <c:v>8</c:v>
                </c:pt>
                <c:pt idx="8">
                  <c:v>9</c:v>
                </c:pt>
                <c:pt idx="9">
                  <c:v>0</c:v>
                </c:pt>
                <c:pt idx="10">
                  <c:v>0</c:v>
                </c:pt>
              </c:numCache>
            </c:numRef>
          </c:val>
          <c:extLst>
            <c:ext xmlns:c16="http://schemas.microsoft.com/office/drawing/2014/chart" uri="{C3380CC4-5D6E-409C-BE32-E72D297353CC}">
              <c16:uniqueId val="{00000001-5FB2-E844-A251-B10BC1B8618D}"/>
            </c:ext>
          </c:extLst>
        </c:ser>
        <c:ser>
          <c:idx val="6"/>
          <c:order val="2"/>
          <c:tx>
            <c:strRef>
              <c:f>Graphs!$AC$14</c:f>
              <c:strCache>
                <c:ptCount val="1"/>
                <c:pt idx="0">
                  <c:v>Parks and Rec</c:v>
                </c:pt>
              </c:strCache>
            </c:strRef>
          </c:tx>
          <c:spPr>
            <a:solidFill>
              <a:schemeClr val="accent6"/>
            </a:solidFill>
            <a:ln>
              <a:noFill/>
            </a:ln>
            <a:effectLst/>
          </c:spPr>
          <c:invertIfNegative val="0"/>
          <c:cat>
            <c:strRef>
              <c:f>Graphs!$V$16:$V$26</c:f>
              <c:strCache>
                <c:ptCount val="11"/>
                <c:pt idx="0">
                  <c:v>2004-05</c:v>
                </c:pt>
                <c:pt idx="1">
                  <c:v>2005-06</c:v>
                </c:pt>
                <c:pt idx="2">
                  <c:v>2006-07</c:v>
                </c:pt>
                <c:pt idx="3">
                  <c:v>2007-08</c:v>
                </c:pt>
                <c:pt idx="4">
                  <c:v>2008-09</c:v>
                </c:pt>
                <c:pt idx="5">
                  <c:v>2009-10</c:v>
                </c:pt>
                <c:pt idx="6">
                  <c:v>2010-11</c:v>
                </c:pt>
                <c:pt idx="7">
                  <c:v>2011-12</c:v>
                </c:pt>
                <c:pt idx="8">
                  <c:v>2012-13</c:v>
                </c:pt>
                <c:pt idx="9">
                  <c:v>2013-14</c:v>
                </c:pt>
                <c:pt idx="10">
                  <c:v>2014-15</c:v>
                </c:pt>
              </c:strCache>
            </c:strRef>
          </c:cat>
          <c:val>
            <c:numRef>
              <c:f>Graphs!$AD$16:$AD$26</c:f>
              <c:numCache>
                <c:formatCode>General</c:formatCode>
                <c:ptCount val="11"/>
                <c:pt idx="0">
                  <c:v>0</c:v>
                </c:pt>
                <c:pt idx="1">
                  <c:v>0</c:v>
                </c:pt>
                <c:pt idx="2">
                  <c:v>0</c:v>
                </c:pt>
                <c:pt idx="3">
                  <c:v>0</c:v>
                </c:pt>
                <c:pt idx="4">
                  <c:v>6</c:v>
                </c:pt>
                <c:pt idx="5">
                  <c:v>4.5999999999999996</c:v>
                </c:pt>
                <c:pt idx="6">
                  <c:v>5.0999999999999996</c:v>
                </c:pt>
                <c:pt idx="7">
                  <c:v>4.4000000000000004</c:v>
                </c:pt>
                <c:pt idx="8">
                  <c:v>4.0599999999999996</c:v>
                </c:pt>
                <c:pt idx="9">
                  <c:v>3.76</c:v>
                </c:pt>
                <c:pt idx="10">
                  <c:v>4.57</c:v>
                </c:pt>
              </c:numCache>
            </c:numRef>
          </c:val>
          <c:extLst>
            <c:ext xmlns:c16="http://schemas.microsoft.com/office/drawing/2014/chart" uri="{C3380CC4-5D6E-409C-BE32-E72D297353CC}">
              <c16:uniqueId val="{00000002-5FB2-E844-A251-B10BC1B8618D}"/>
            </c:ext>
          </c:extLst>
        </c:ser>
        <c:ser>
          <c:idx val="9"/>
          <c:order val="3"/>
          <c:tx>
            <c:strRef>
              <c:f>Graphs!$AF$14</c:f>
              <c:strCache>
                <c:ptCount val="1"/>
                <c:pt idx="0">
                  <c:v>Community</c:v>
                </c:pt>
              </c:strCache>
            </c:strRef>
          </c:tx>
          <c:spPr>
            <a:solidFill>
              <a:schemeClr val="accent2"/>
            </a:solidFill>
            <a:ln>
              <a:noFill/>
            </a:ln>
            <a:effectLst/>
          </c:spPr>
          <c:invertIfNegative val="0"/>
          <c:cat>
            <c:strRef>
              <c:f>Graphs!$V$16:$V$26</c:f>
              <c:strCache>
                <c:ptCount val="11"/>
                <c:pt idx="0">
                  <c:v>2004-05</c:v>
                </c:pt>
                <c:pt idx="1">
                  <c:v>2005-06</c:v>
                </c:pt>
                <c:pt idx="2">
                  <c:v>2006-07</c:v>
                </c:pt>
                <c:pt idx="3">
                  <c:v>2007-08</c:v>
                </c:pt>
                <c:pt idx="4">
                  <c:v>2008-09</c:v>
                </c:pt>
                <c:pt idx="5">
                  <c:v>2009-10</c:v>
                </c:pt>
                <c:pt idx="6">
                  <c:v>2010-11</c:v>
                </c:pt>
                <c:pt idx="7">
                  <c:v>2011-12</c:v>
                </c:pt>
                <c:pt idx="8">
                  <c:v>2012-13</c:v>
                </c:pt>
                <c:pt idx="9">
                  <c:v>2013-14</c:v>
                </c:pt>
                <c:pt idx="10">
                  <c:v>2014-15</c:v>
                </c:pt>
              </c:strCache>
            </c:strRef>
          </c:cat>
          <c:val>
            <c:numRef>
              <c:f>Graphs!$AG$16:$AG$26</c:f>
              <c:numCache>
                <c:formatCode>General</c:formatCode>
                <c:ptCount val="11"/>
                <c:pt idx="0">
                  <c:v>0</c:v>
                </c:pt>
                <c:pt idx="1">
                  <c:v>0</c:v>
                </c:pt>
                <c:pt idx="2">
                  <c:v>0</c:v>
                </c:pt>
                <c:pt idx="3">
                  <c:v>0</c:v>
                </c:pt>
                <c:pt idx="4">
                  <c:v>0</c:v>
                </c:pt>
                <c:pt idx="5">
                  <c:v>5</c:v>
                </c:pt>
                <c:pt idx="6">
                  <c:v>4.4400000000000004</c:v>
                </c:pt>
                <c:pt idx="7">
                  <c:v>4.03</c:v>
                </c:pt>
                <c:pt idx="8">
                  <c:v>3.58</c:v>
                </c:pt>
                <c:pt idx="9">
                  <c:v>3</c:v>
                </c:pt>
                <c:pt idx="10">
                  <c:v>0</c:v>
                </c:pt>
              </c:numCache>
            </c:numRef>
          </c:val>
          <c:extLst>
            <c:ext xmlns:c16="http://schemas.microsoft.com/office/drawing/2014/chart" uri="{C3380CC4-5D6E-409C-BE32-E72D297353CC}">
              <c16:uniqueId val="{00000003-5FB2-E844-A251-B10BC1B8618D}"/>
            </c:ext>
          </c:extLst>
        </c:ser>
        <c:dLbls>
          <c:showLegendKey val="0"/>
          <c:showVal val="0"/>
          <c:showCatName val="0"/>
          <c:showSerName val="0"/>
          <c:showPercent val="0"/>
          <c:showBubbleSize val="0"/>
        </c:dLbls>
        <c:gapWidth val="150"/>
        <c:axId val="948726847"/>
        <c:axId val="849249584"/>
      </c:barChart>
      <c:catAx>
        <c:axId val="948726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9249584"/>
        <c:crosses val="autoZero"/>
        <c:auto val="1"/>
        <c:lblAlgn val="ctr"/>
        <c:lblOffset val="100"/>
        <c:noMultiLvlLbl val="0"/>
      </c:catAx>
      <c:valAx>
        <c:axId val="8492495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a:t>U.S. Viewers</a:t>
                </a:r>
                <a:r>
                  <a:rPr lang="en-US" sz="1200" baseline="0"/>
                  <a:t> (Millions)</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872684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1"/>
              <a:t>Overall</a:t>
            </a:r>
            <a:r>
              <a:rPr lang="en-US" sz="1600" b="1" baseline="0"/>
              <a:t> Ranking Per TV Season</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Graphs!$W$14</c:f>
              <c:strCache>
                <c:ptCount val="1"/>
                <c:pt idx="0">
                  <c:v>30 Rock</c:v>
                </c:pt>
              </c:strCache>
            </c:strRef>
          </c:tx>
          <c:spPr>
            <a:ln w="28575" cap="rnd">
              <a:solidFill>
                <a:srgbClr val="9E4FD7"/>
              </a:solidFill>
              <a:round/>
            </a:ln>
            <a:effectLst/>
          </c:spPr>
          <c:marker>
            <c:symbol val="circle"/>
            <c:size val="5"/>
            <c:spPr>
              <a:solidFill>
                <a:srgbClr val="7030A0"/>
              </a:solidFill>
              <a:ln w="9525">
                <a:solidFill>
                  <a:schemeClr val="accent1"/>
                </a:solidFill>
              </a:ln>
              <a:effectLst/>
            </c:spPr>
          </c:marker>
          <c:cat>
            <c:strRef>
              <c:f>Graphs!$V$16:$V$26</c:f>
              <c:strCache>
                <c:ptCount val="11"/>
                <c:pt idx="0">
                  <c:v>2004-05</c:v>
                </c:pt>
                <c:pt idx="1">
                  <c:v>2005-06</c:v>
                </c:pt>
                <c:pt idx="2">
                  <c:v>2006-07</c:v>
                </c:pt>
                <c:pt idx="3">
                  <c:v>2007-08</c:v>
                </c:pt>
                <c:pt idx="4">
                  <c:v>2008-09</c:v>
                </c:pt>
                <c:pt idx="5">
                  <c:v>2009-10</c:v>
                </c:pt>
                <c:pt idx="6">
                  <c:v>2010-11</c:v>
                </c:pt>
                <c:pt idx="7">
                  <c:v>2011-12</c:v>
                </c:pt>
                <c:pt idx="8">
                  <c:v>2012-13</c:v>
                </c:pt>
                <c:pt idx="9">
                  <c:v>2013-14</c:v>
                </c:pt>
                <c:pt idx="10">
                  <c:v>2014-15</c:v>
                </c:pt>
              </c:strCache>
            </c:strRef>
          </c:cat>
          <c:val>
            <c:numRef>
              <c:f>Graphs!$Y$16:$Y$26</c:f>
              <c:numCache>
                <c:formatCode>General</c:formatCode>
                <c:ptCount val="11"/>
                <c:pt idx="0">
                  <c:v>#N/A</c:v>
                </c:pt>
                <c:pt idx="1">
                  <c:v>#N/A</c:v>
                </c:pt>
                <c:pt idx="2">
                  <c:v>102</c:v>
                </c:pt>
                <c:pt idx="3">
                  <c:v>111</c:v>
                </c:pt>
                <c:pt idx="4">
                  <c:v>69</c:v>
                </c:pt>
                <c:pt idx="5">
                  <c:v>86</c:v>
                </c:pt>
                <c:pt idx="6">
                  <c:v>106</c:v>
                </c:pt>
                <c:pt idx="7">
                  <c:v>130</c:v>
                </c:pt>
                <c:pt idx="8">
                  <c:v>99</c:v>
                </c:pt>
                <c:pt idx="9">
                  <c:v>#N/A</c:v>
                </c:pt>
                <c:pt idx="10">
                  <c:v>#N/A</c:v>
                </c:pt>
              </c:numCache>
            </c:numRef>
          </c:val>
          <c:smooth val="0"/>
          <c:extLst>
            <c:ext xmlns:c16="http://schemas.microsoft.com/office/drawing/2014/chart" uri="{C3380CC4-5D6E-409C-BE32-E72D297353CC}">
              <c16:uniqueId val="{00000000-23D7-0D48-8ECE-BF8ACA02548A}"/>
            </c:ext>
          </c:extLst>
        </c:ser>
        <c:ser>
          <c:idx val="3"/>
          <c:order val="1"/>
          <c:tx>
            <c:strRef>
              <c:f>Graphs!$Z$14</c:f>
              <c:strCache>
                <c:ptCount val="1"/>
                <c:pt idx="0">
                  <c:v>The Office</c:v>
                </c:pt>
              </c:strCache>
            </c:strRef>
          </c:tx>
          <c:spPr>
            <a:ln w="28575" cap="rnd">
              <a:solidFill>
                <a:schemeClr val="accent5"/>
              </a:solidFill>
              <a:round/>
            </a:ln>
            <a:effectLst/>
          </c:spPr>
          <c:marker>
            <c:symbol val="circle"/>
            <c:size val="5"/>
            <c:spPr>
              <a:solidFill>
                <a:schemeClr val="accent5">
                  <a:lumMod val="50000"/>
                </a:schemeClr>
              </a:solidFill>
              <a:ln w="9525">
                <a:solidFill>
                  <a:schemeClr val="accent5"/>
                </a:solidFill>
              </a:ln>
              <a:effectLst/>
            </c:spPr>
          </c:marker>
          <c:cat>
            <c:strRef>
              <c:f>Graphs!$V$16:$V$26</c:f>
              <c:strCache>
                <c:ptCount val="11"/>
                <c:pt idx="0">
                  <c:v>2004-05</c:v>
                </c:pt>
                <c:pt idx="1">
                  <c:v>2005-06</c:v>
                </c:pt>
                <c:pt idx="2">
                  <c:v>2006-07</c:v>
                </c:pt>
                <c:pt idx="3">
                  <c:v>2007-08</c:v>
                </c:pt>
                <c:pt idx="4">
                  <c:v>2008-09</c:v>
                </c:pt>
                <c:pt idx="5">
                  <c:v>2009-10</c:v>
                </c:pt>
                <c:pt idx="6">
                  <c:v>2010-11</c:v>
                </c:pt>
                <c:pt idx="7">
                  <c:v>2011-12</c:v>
                </c:pt>
                <c:pt idx="8">
                  <c:v>2012-13</c:v>
                </c:pt>
                <c:pt idx="9">
                  <c:v>2013-14</c:v>
                </c:pt>
                <c:pt idx="10">
                  <c:v>2014-15</c:v>
                </c:pt>
              </c:strCache>
            </c:strRef>
          </c:cat>
          <c:val>
            <c:numRef>
              <c:f>Graphs!$AB$16:$AB$26</c:f>
              <c:numCache>
                <c:formatCode>General</c:formatCode>
                <c:ptCount val="11"/>
                <c:pt idx="0">
                  <c:v>102</c:v>
                </c:pt>
                <c:pt idx="1">
                  <c:v>67</c:v>
                </c:pt>
                <c:pt idx="2">
                  <c:v>68</c:v>
                </c:pt>
                <c:pt idx="3">
                  <c:v>77</c:v>
                </c:pt>
                <c:pt idx="4">
                  <c:v>52</c:v>
                </c:pt>
                <c:pt idx="5">
                  <c:v>41</c:v>
                </c:pt>
                <c:pt idx="6">
                  <c:v>53</c:v>
                </c:pt>
                <c:pt idx="7">
                  <c:v>78</c:v>
                </c:pt>
                <c:pt idx="8">
                  <c:v>88</c:v>
                </c:pt>
                <c:pt idx="9">
                  <c:v>#N/A</c:v>
                </c:pt>
                <c:pt idx="10">
                  <c:v>#N/A</c:v>
                </c:pt>
              </c:numCache>
            </c:numRef>
          </c:val>
          <c:smooth val="0"/>
          <c:extLst>
            <c:ext xmlns:c16="http://schemas.microsoft.com/office/drawing/2014/chart" uri="{C3380CC4-5D6E-409C-BE32-E72D297353CC}">
              <c16:uniqueId val="{00000001-23D7-0D48-8ECE-BF8ACA02548A}"/>
            </c:ext>
          </c:extLst>
        </c:ser>
        <c:ser>
          <c:idx val="6"/>
          <c:order val="2"/>
          <c:tx>
            <c:strRef>
              <c:f>Graphs!$AC$14</c:f>
              <c:strCache>
                <c:ptCount val="1"/>
                <c:pt idx="0">
                  <c:v>Parks and Rec</c:v>
                </c:pt>
              </c:strCache>
            </c:strRef>
          </c:tx>
          <c:spPr>
            <a:ln w="28575" cap="rnd">
              <a:solidFill>
                <a:schemeClr val="accent6"/>
              </a:solidFill>
              <a:round/>
            </a:ln>
            <a:effectLst/>
          </c:spPr>
          <c:marker>
            <c:symbol val="circle"/>
            <c:size val="5"/>
            <c:spPr>
              <a:solidFill>
                <a:schemeClr val="accent6">
                  <a:lumMod val="50000"/>
                </a:schemeClr>
              </a:solidFill>
              <a:ln w="9525">
                <a:solidFill>
                  <a:schemeClr val="accent1">
                    <a:lumMod val="60000"/>
                  </a:schemeClr>
                </a:solidFill>
              </a:ln>
              <a:effectLst/>
            </c:spPr>
          </c:marker>
          <c:cat>
            <c:strRef>
              <c:f>Graphs!$V$16:$V$26</c:f>
              <c:strCache>
                <c:ptCount val="11"/>
                <c:pt idx="0">
                  <c:v>2004-05</c:v>
                </c:pt>
                <c:pt idx="1">
                  <c:v>2005-06</c:v>
                </c:pt>
                <c:pt idx="2">
                  <c:v>2006-07</c:v>
                </c:pt>
                <c:pt idx="3">
                  <c:v>2007-08</c:v>
                </c:pt>
                <c:pt idx="4">
                  <c:v>2008-09</c:v>
                </c:pt>
                <c:pt idx="5">
                  <c:v>2009-10</c:v>
                </c:pt>
                <c:pt idx="6">
                  <c:v>2010-11</c:v>
                </c:pt>
                <c:pt idx="7">
                  <c:v>2011-12</c:v>
                </c:pt>
                <c:pt idx="8">
                  <c:v>2012-13</c:v>
                </c:pt>
                <c:pt idx="9">
                  <c:v>2013-14</c:v>
                </c:pt>
                <c:pt idx="10">
                  <c:v>2014-15</c:v>
                </c:pt>
              </c:strCache>
            </c:strRef>
          </c:cat>
          <c:val>
            <c:numRef>
              <c:f>Graphs!$AE$16:$AE$26</c:f>
              <c:numCache>
                <c:formatCode>General</c:formatCode>
                <c:ptCount val="11"/>
                <c:pt idx="0">
                  <c:v>#N/A</c:v>
                </c:pt>
                <c:pt idx="1">
                  <c:v>#N/A</c:v>
                </c:pt>
                <c:pt idx="2">
                  <c:v>#N/A</c:v>
                </c:pt>
                <c:pt idx="3">
                  <c:v>#N/A</c:v>
                </c:pt>
                <c:pt idx="4">
                  <c:v>96</c:v>
                </c:pt>
                <c:pt idx="5">
                  <c:v>108</c:v>
                </c:pt>
                <c:pt idx="6">
                  <c:v>116</c:v>
                </c:pt>
                <c:pt idx="7">
                  <c:v>134</c:v>
                </c:pt>
                <c:pt idx="8">
                  <c:v>111</c:v>
                </c:pt>
                <c:pt idx="9">
                  <c:v>115</c:v>
                </c:pt>
                <c:pt idx="10">
                  <c:v>119</c:v>
                </c:pt>
              </c:numCache>
            </c:numRef>
          </c:val>
          <c:smooth val="0"/>
          <c:extLst>
            <c:ext xmlns:c16="http://schemas.microsoft.com/office/drawing/2014/chart" uri="{C3380CC4-5D6E-409C-BE32-E72D297353CC}">
              <c16:uniqueId val="{00000002-23D7-0D48-8ECE-BF8ACA02548A}"/>
            </c:ext>
          </c:extLst>
        </c:ser>
        <c:ser>
          <c:idx val="9"/>
          <c:order val="3"/>
          <c:tx>
            <c:strRef>
              <c:f>Graphs!$AF$14</c:f>
              <c:strCache>
                <c:ptCount val="1"/>
                <c:pt idx="0">
                  <c:v>Community</c:v>
                </c:pt>
              </c:strCache>
            </c:strRef>
          </c:tx>
          <c:spPr>
            <a:ln w="28575" cap="rnd">
              <a:solidFill>
                <a:schemeClr val="accent2"/>
              </a:solidFill>
              <a:round/>
            </a:ln>
            <a:effectLst/>
          </c:spPr>
          <c:marker>
            <c:symbol val="circle"/>
            <c:size val="5"/>
            <c:spPr>
              <a:solidFill>
                <a:schemeClr val="accent2">
                  <a:lumMod val="50000"/>
                </a:schemeClr>
              </a:solidFill>
              <a:ln w="9525">
                <a:solidFill>
                  <a:schemeClr val="accent4">
                    <a:lumMod val="60000"/>
                  </a:schemeClr>
                </a:solidFill>
              </a:ln>
              <a:effectLst/>
            </c:spPr>
          </c:marker>
          <c:cat>
            <c:strRef>
              <c:f>Graphs!$V$16:$V$26</c:f>
              <c:strCache>
                <c:ptCount val="11"/>
                <c:pt idx="0">
                  <c:v>2004-05</c:v>
                </c:pt>
                <c:pt idx="1">
                  <c:v>2005-06</c:v>
                </c:pt>
                <c:pt idx="2">
                  <c:v>2006-07</c:v>
                </c:pt>
                <c:pt idx="3">
                  <c:v>2007-08</c:v>
                </c:pt>
                <c:pt idx="4">
                  <c:v>2008-09</c:v>
                </c:pt>
                <c:pt idx="5">
                  <c:v>2009-10</c:v>
                </c:pt>
                <c:pt idx="6">
                  <c:v>2010-11</c:v>
                </c:pt>
                <c:pt idx="7">
                  <c:v>2011-12</c:v>
                </c:pt>
                <c:pt idx="8">
                  <c:v>2012-13</c:v>
                </c:pt>
                <c:pt idx="9">
                  <c:v>2013-14</c:v>
                </c:pt>
                <c:pt idx="10">
                  <c:v>2014-15</c:v>
                </c:pt>
              </c:strCache>
            </c:strRef>
          </c:cat>
          <c:val>
            <c:numRef>
              <c:f>Graphs!$AH$16:$AH$26</c:f>
              <c:numCache>
                <c:formatCode>General</c:formatCode>
                <c:ptCount val="11"/>
                <c:pt idx="0">
                  <c:v>#N/A</c:v>
                </c:pt>
                <c:pt idx="1">
                  <c:v>#N/A</c:v>
                </c:pt>
                <c:pt idx="2">
                  <c:v>#N/A</c:v>
                </c:pt>
                <c:pt idx="3">
                  <c:v>#N/A</c:v>
                </c:pt>
                <c:pt idx="4">
                  <c:v>#N/A</c:v>
                </c:pt>
                <c:pt idx="5">
                  <c:v>97</c:v>
                </c:pt>
                <c:pt idx="6">
                  <c:v>138</c:v>
                </c:pt>
                <c:pt idx="7">
                  <c:v>144</c:v>
                </c:pt>
                <c:pt idx="8">
                  <c:v>133</c:v>
                </c:pt>
                <c:pt idx="9">
                  <c:v>96</c:v>
                </c:pt>
                <c:pt idx="10">
                  <c:v>#N/A</c:v>
                </c:pt>
              </c:numCache>
            </c:numRef>
          </c:val>
          <c:smooth val="0"/>
          <c:extLst>
            <c:ext xmlns:c16="http://schemas.microsoft.com/office/drawing/2014/chart" uri="{C3380CC4-5D6E-409C-BE32-E72D297353CC}">
              <c16:uniqueId val="{00000003-23D7-0D48-8ECE-BF8ACA02548A}"/>
            </c:ext>
          </c:extLst>
        </c:ser>
        <c:dLbls>
          <c:showLegendKey val="0"/>
          <c:showVal val="0"/>
          <c:showCatName val="0"/>
          <c:showSerName val="0"/>
          <c:showPercent val="0"/>
          <c:showBubbleSize val="0"/>
        </c:dLbls>
        <c:marker val="1"/>
        <c:smooth val="0"/>
        <c:axId val="948726847"/>
        <c:axId val="849249584"/>
      </c:lineChart>
      <c:dateAx>
        <c:axId val="948726847"/>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9249584"/>
        <c:crosses val="autoZero"/>
        <c:auto val="0"/>
        <c:lblOffset val="100"/>
        <c:baseTimeUnit val="days"/>
      </c:dateAx>
      <c:valAx>
        <c:axId val="849249584"/>
        <c:scaling>
          <c:orientation val="maxMin"/>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a:t>Viewership Ranking (of all U.S. TV SHows)</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8726847"/>
        <c:crossesAt val="1"/>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[NBC Thursday Night Line Up - Github.xlsm]Graphs!PivotTable14</c:name>
    <c:fmtId val="0"/>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2009-10 </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1"/>
          <c:showBubbleSize val="0"/>
          <c:extLst>
            <c:ext xmlns:c15="http://schemas.microsoft.com/office/drawing/2012/chart" uri="{CE6537A1-D6FC-4f65-9D91-7224C49458BB}"/>
          </c:extLst>
        </c:dLbl>
      </c:pivotFmt>
      <c:pivotFmt>
        <c:idx val="2"/>
        <c:dLbl>
          <c:idx val="0"/>
          <c:showLegendKey val="0"/>
          <c:showVal val="0"/>
          <c:showCatName val="0"/>
          <c:showSerName val="0"/>
          <c:showPercent val="1"/>
          <c:showBubbleSize val="0"/>
          <c:extLst>
            <c:ext xmlns:c15="http://schemas.microsoft.com/office/drawing/2012/chart" uri="{CE6537A1-D6FC-4f65-9D91-7224C49458BB}"/>
          </c:extLst>
        </c:dLbl>
      </c:pivotFmt>
      <c:pivotFmt>
        <c:idx val="3"/>
        <c:dLbl>
          <c:idx val="0"/>
          <c:layout>
            <c:manualLayout>
              <c:x val="-0.11532183661774893"/>
              <c:y val="0.14211436581371389"/>
            </c:manualLayout>
          </c:layout>
          <c:showLegendKey val="0"/>
          <c:showVal val="0"/>
          <c:showCatName val="0"/>
          <c:showSerName val="0"/>
          <c:showPercent val="1"/>
          <c:showBubbleSize val="0"/>
          <c:extLst>
            <c:ext xmlns:c15="http://schemas.microsoft.com/office/drawing/2012/chart" uri="{CE6537A1-D6FC-4f65-9D91-7224C49458BB}"/>
          </c:extLst>
        </c:dLbl>
      </c:pivotFmt>
      <c:pivotFmt>
        <c:idx val="4"/>
        <c:dLbl>
          <c:idx val="0"/>
          <c:layout>
            <c:manualLayout>
              <c:x val="0.10725928180652106"/>
              <c:y val="0.11518995962304156"/>
            </c:manualLayout>
          </c:layout>
          <c:showLegendKey val="0"/>
          <c:showVal val="0"/>
          <c:showCatName val="0"/>
          <c:showSerName val="0"/>
          <c:showPercent val="1"/>
          <c:showBubbleSize val="0"/>
          <c:extLst>
            <c:ext xmlns:c15="http://schemas.microsoft.com/office/drawing/2012/chart" uri="{CE6537A1-D6FC-4f65-9D91-7224C49458BB}"/>
          </c:extLst>
        </c:dLbl>
      </c:pivotFmt>
      <c:pivotFmt>
        <c:idx val="5"/>
        <c:dLbl>
          <c:idx val="0"/>
          <c:layout>
            <c:manualLayout>
              <c:x val="7.584415595807778E-2"/>
              <c:y val="-0.17186009695277249"/>
            </c:manualLayout>
          </c:layout>
          <c:showLegendKey val="0"/>
          <c:showVal val="0"/>
          <c:showCatName val="0"/>
          <c:showSerName val="0"/>
          <c:showPercent val="1"/>
          <c:showBubbleSize val="0"/>
          <c:extLst>
            <c:ext xmlns:c15="http://schemas.microsoft.com/office/drawing/2012/chart" uri="{CE6537A1-D6FC-4f65-9D91-7224C49458BB}"/>
          </c:extLst>
        </c:dLbl>
      </c:pivotFmt>
      <c:pivotFmt>
        <c:idx val="6"/>
        <c:dLbl>
          <c:idx val="0"/>
          <c:layout>
            <c:manualLayout>
              <c:x val="-9.9574141841753755E-2"/>
              <c:y val="-0.13764511322992723"/>
            </c:manualLayout>
          </c:layout>
          <c:showLegendKey val="0"/>
          <c:showVal val="0"/>
          <c:showCatName val="0"/>
          <c:showSerName val="0"/>
          <c:showPercent val="1"/>
          <c:showBubbleSize val="0"/>
          <c:extLst>
            <c:ext xmlns:c15="http://schemas.microsoft.com/office/drawing/2012/chart" uri="{CE6537A1-D6FC-4f65-9D91-7224C49458BB}"/>
          </c:extLst>
        </c:dLbl>
      </c:pivotFmt>
      <c:pivotFmt>
        <c:idx val="7"/>
        <c:dLbl>
          <c:idx val="0"/>
          <c:showLegendKey val="0"/>
          <c:showVal val="0"/>
          <c:showCatName val="0"/>
          <c:showSerName val="0"/>
          <c:showPercent val="1"/>
          <c:showBubbleSize val="0"/>
          <c:extLst>
            <c:ext xmlns:c15="http://schemas.microsoft.com/office/drawing/2012/chart" uri="{CE6537A1-D6FC-4f65-9D91-7224C49458BB}"/>
          </c:extLst>
        </c:dLbl>
      </c:pivotFmt>
      <c:pivotFmt>
        <c:idx val="8"/>
        <c:dLbl>
          <c:idx val="0"/>
          <c:showLegendKey val="0"/>
          <c:showVal val="0"/>
          <c:showCatName val="0"/>
          <c:showSerName val="0"/>
          <c:showPercent val="1"/>
          <c:showBubbleSize val="0"/>
          <c:extLst>
            <c:ext xmlns:c15="http://schemas.microsoft.com/office/drawing/2012/chart" uri="{CE6537A1-D6FC-4f65-9D91-7224C49458BB}"/>
          </c:extLst>
        </c:dLbl>
      </c:pivotFmt>
      <c:pivotFmt>
        <c:idx val="9"/>
        <c:dLbl>
          <c:idx val="0"/>
          <c:showLegendKey val="0"/>
          <c:showVal val="0"/>
          <c:showCatName val="0"/>
          <c:showSerName val="0"/>
          <c:showPercent val="1"/>
          <c:showBubbleSize val="0"/>
          <c:extLst>
            <c:ext xmlns:c15="http://schemas.microsoft.com/office/drawing/2012/chart" uri="{CE6537A1-D6FC-4f65-9D91-7224C49458BB}"/>
          </c:extLst>
        </c:dLbl>
      </c:pivotFmt>
      <c:pivotFmt>
        <c:idx val="10"/>
        <c:dLbl>
          <c:idx val="0"/>
          <c:showLegendKey val="0"/>
          <c:showVal val="0"/>
          <c:showCatName val="0"/>
          <c:showSerName val="0"/>
          <c:showPercent val="1"/>
          <c:showBubbleSize val="0"/>
          <c:extLst>
            <c:ext xmlns:c15="http://schemas.microsoft.com/office/drawing/2012/chart" uri="{CE6537A1-D6FC-4f65-9D91-7224C49458BB}"/>
          </c:extLst>
        </c:dLbl>
      </c:pivotFmt>
      <c:pivotFmt>
        <c:idx val="11"/>
        <c:dLbl>
          <c:idx val="0"/>
          <c:showLegendKey val="0"/>
          <c:showVal val="0"/>
          <c:showCatName val="0"/>
          <c:showSerName val="0"/>
          <c:showPercent val="1"/>
          <c:showBubbleSize val="0"/>
          <c:extLst>
            <c:ext xmlns:c15="http://schemas.microsoft.com/office/drawing/2012/chart" uri="{CE6537A1-D6FC-4f65-9D91-7224C49458BB}"/>
          </c:extLst>
        </c:dLbl>
      </c:pivotFmt>
      <c:pivotFmt>
        <c:idx val="12"/>
        <c:dLbl>
          <c:idx val="0"/>
          <c:showLegendKey val="0"/>
          <c:showVal val="0"/>
          <c:showCatName val="0"/>
          <c:showSerName val="0"/>
          <c:showPercent val="1"/>
          <c:showBubbleSize val="0"/>
          <c:extLst>
            <c:ext xmlns:c15="http://schemas.microsoft.com/office/drawing/2012/chart" uri="{CE6537A1-D6FC-4f65-9D91-7224C49458BB}"/>
          </c:extLst>
        </c:dLbl>
      </c:pivotFmt>
      <c:pivotFmt>
        <c:idx val="13"/>
        <c:dLbl>
          <c:idx val="0"/>
          <c:showLegendKey val="0"/>
          <c:showVal val="0"/>
          <c:showCatName val="0"/>
          <c:showSerName val="0"/>
          <c:showPercent val="1"/>
          <c:showBubbleSize val="0"/>
          <c:extLst>
            <c:ext xmlns:c15="http://schemas.microsoft.com/office/drawing/2012/chart" uri="{CE6537A1-D6FC-4f65-9D91-7224C49458BB}"/>
          </c:extLst>
        </c:dLbl>
      </c:pivotFmt>
      <c:pivotFmt>
        <c:idx val="14"/>
        <c:dLbl>
          <c:idx val="0"/>
          <c:showLegendKey val="0"/>
          <c:showVal val="0"/>
          <c:showCatName val="0"/>
          <c:showSerName val="0"/>
          <c:showPercent val="1"/>
          <c:showBubbleSize val="0"/>
          <c:extLst>
            <c:ext xmlns:c15="http://schemas.microsoft.com/office/drawing/2012/chart" uri="{CE6537A1-D6FC-4f65-9D91-7224C49458BB}"/>
          </c:extLst>
        </c:dLbl>
      </c:pivotFmt>
      <c:pivotFmt>
        <c:idx val="15"/>
        <c:dLbl>
          <c:idx val="0"/>
          <c:showLegendKey val="0"/>
          <c:showVal val="0"/>
          <c:showCatName val="0"/>
          <c:showSerName val="0"/>
          <c:showPercent val="1"/>
          <c:showBubbleSize val="0"/>
          <c:extLst>
            <c:ext xmlns:c15="http://schemas.microsoft.com/office/drawing/2012/chart" uri="{CE6537A1-D6FC-4f65-9D91-7224C49458BB}"/>
          </c:extLst>
        </c:dLbl>
      </c:pivotFmt>
      <c:pivotFmt>
        <c:idx val="16"/>
        <c:dLbl>
          <c:idx val="0"/>
          <c:showLegendKey val="0"/>
          <c:showVal val="0"/>
          <c:showCatName val="0"/>
          <c:showSerName val="0"/>
          <c:showPercent val="1"/>
          <c:showBubbleSize val="0"/>
          <c:extLst>
            <c:ext xmlns:c15="http://schemas.microsoft.com/office/drawing/2012/chart" uri="{CE6537A1-D6FC-4f65-9D91-7224C49458BB}"/>
          </c:extLst>
        </c:dLbl>
      </c:pivotFmt>
      <c:pivotFmt>
        <c:idx val="17"/>
        <c:dLbl>
          <c:idx val="0"/>
          <c:showLegendKey val="0"/>
          <c:showVal val="0"/>
          <c:showCatName val="0"/>
          <c:showSerName val="0"/>
          <c:showPercent val="1"/>
          <c:showBubbleSize val="0"/>
          <c:extLst>
            <c:ext xmlns:c15="http://schemas.microsoft.com/office/drawing/2012/chart" uri="{CE6537A1-D6FC-4f65-9D91-7224C49458BB}">
              <c15:xForSave val="1"/>
            </c:ext>
          </c:extLst>
        </c:dLbl>
      </c:pivotFmt>
      <c:pivotFmt>
        <c:idx val="18"/>
        <c:dLbl>
          <c:idx val="0"/>
          <c:showLegendKey val="0"/>
          <c:showVal val="0"/>
          <c:showCatName val="0"/>
          <c:showSerName val="0"/>
          <c:showPercent val="1"/>
          <c:showBubbleSize val="0"/>
          <c:extLst>
            <c:ext xmlns:c15="http://schemas.microsoft.com/office/drawing/2012/chart" uri="{CE6537A1-D6FC-4f65-9D91-7224C49458BB}"/>
          </c:extLst>
        </c:dLbl>
      </c:pivotFmt>
      <c:pivotFmt>
        <c:idx val="19"/>
        <c:dLbl>
          <c:idx val="0"/>
          <c:showLegendKey val="0"/>
          <c:showVal val="0"/>
          <c:showCatName val="0"/>
          <c:showSerName val="0"/>
          <c:showPercent val="1"/>
          <c:showBubbleSize val="0"/>
          <c:extLst>
            <c:ext xmlns:c15="http://schemas.microsoft.com/office/drawing/2012/chart" uri="{CE6537A1-D6FC-4f65-9D91-7224C49458BB}"/>
          </c:extLst>
        </c:dLbl>
      </c:pivotFmt>
      <c:pivotFmt>
        <c:idx val="20"/>
        <c:dLbl>
          <c:idx val="0"/>
          <c:showLegendKey val="0"/>
          <c:showVal val="0"/>
          <c:showCatName val="0"/>
          <c:showSerName val="0"/>
          <c:showPercent val="1"/>
          <c:showBubbleSize val="0"/>
          <c:extLst>
            <c:ext xmlns:c15="http://schemas.microsoft.com/office/drawing/2012/chart" uri="{CE6537A1-D6FC-4f65-9D91-7224C49458BB}"/>
          </c:extLst>
        </c:dLbl>
      </c:pivotFmt>
      <c:pivotFmt>
        <c:idx val="21"/>
        <c:dLbl>
          <c:idx val="0"/>
          <c:showLegendKey val="0"/>
          <c:showVal val="0"/>
          <c:showCatName val="0"/>
          <c:showSerName val="0"/>
          <c:showPercent val="1"/>
          <c:showBubbleSize val="0"/>
          <c:extLst>
            <c:ext xmlns:c15="http://schemas.microsoft.com/office/drawing/2012/chart" uri="{CE6537A1-D6FC-4f65-9D91-7224C49458BB}"/>
          </c:extLst>
        </c:dLbl>
      </c:pivotFmt>
      <c:pivotFmt>
        <c:idx val="22"/>
        <c:dLbl>
          <c:idx val="0"/>
          <c:showLegendKey val="0"/>
          <c:showVal val="0"/>
          <c:showCatName val="0"/>
          <c:showSerName val="0"/>
          <c:showPercent val="1"/>
          <c:showBubbleSize val="0"/>
          <c:extLst>
            <c:ext xmlns:c15="http://schemas.microsoft.com/office/drawing/2012/chart" uri="{CE6537A1-D6FC-4f65-9D91-7224C49458BB}">
              <c15:xForSave val="1"/>
            </c:ext>
          </c:extLst>
        </c:dLbl>
      </c:pivotFmt>
      <c:pivotFmt>
        <c:idx val="23"/>
        <c:dLbl>
          <c:idx val="0"/>
          <c:showLegendKey val="0"/>
          <c:showVal val="0"/>
          <c:showCatName val="0"/>
          <c:showSerName val="0"/>
          <c:showPercent val="1"/>
          <c:showBubbleSize val="0"/>
          <c:extLst>
            <c:ext xmlns:c15="http://schemas.microsoft.com/office/drawing/2012/chart" uri="{CE6537A1-D6FC-4f65-9D91-7224C49458BB}"/>
          </c:extLst>
        </c:dLbl>
      </c:pivotFmt>
      <c:pivotFmt>
        <c:idx val="24"/>
        <c:dLbl>
          <c:idx val="0"/>
          <c:showLegendKey val="0"/>
          <c:showVal val="0"/>
          <c:showCatName val="0"/>
          <c:showSerName val="0"/>
          <c:showPercent val="1"/>
          <c:showBubbleSize val="0"/>
          <c:extLst>
            <c:ext xmlns:c15="http://schemas.microsoft.com/office/drawing/2012/chart" uri="{CE6537A1-D6FC-4f65-9D91-7224C49458BB}"/>
          </c:extLst>
        </c:dLbl>
      </c:pivotFmt>
      <c:pivotFmt>
        <c:idx val="25"/>
        <c:dLbl>
          <c:idx val="0"/>
          <c:showLegendKey val="0"/>
          <c:showVal val="0"/>
          <c:showCatName val="0"/>
          <c:showSerName val="0"/>
          <c:showPercent val="1"/>
          <c:showBubbleSize val="0"/>
          <c:extLst>
            <c:ext xmlns:c15="http://schemas.microsoft.com/office/drawing/2012/chart" uri="{CE6537A1-D6FC-4f65-9D91-7224C49458BB}"/>
          </c:extLst>
        </c:dLbl>
      </c:pivotFmt>
      <c:pivotFmt>
        <c:idx val="26"/>
        <c:dLbl>
          <c:idx val="0"/>
          <c:showLegendKey val="0"/>
          <c:showVal val="0"/>
          <c:showCatName val="0"/>
          <c:showSerName val="0"/>
          <c:showPercent val="1"/>
          <c:showBubbleSize val="0"/>
          <c:extLst>
            <c:ext xmlns:c15="http://schemas.microsoft.com/office/drawing/2012/chart" uri="{CE6537A1-D6FC-4f65-9D91-7224C49458BB}">
              <c15:xForSave val="1"/>
            </c:ext>
          </c:extLst>
        </c:dLbl>
      </c:pivotFmt>
      <c:pivotFmt>
        <c:idx val="27"/>
        <c:dLbl>
          <c:idx val="0"/>
          <c:showLegendKey val="0"/>
          <c:showVal val="0"/>
          <c:showCatName val="0"/>
          <c:showSerName val="0"/>
          <c:showPercent val="1"/>
          <c:showBubbleSize val="0"/>
          <c:extLst>
            <c:ext xmlns:c15="http://schemas.microsoft.com/office/drawing/2012/chart" uri="{CE6537A1-D6FC-4f65-9D91-7224C49458BB}"/>
          </c:extLst>
        </c:dLbl>
      </c:pivotFmt>
      <c:pivotFmt>
        <c:idx val="28"/>
        <c:dLbl>
          <c:idx val="0"/>
          <c:showLegendKey val="0"/>
          <c:showVal val="0"/>
          <c:showCatName val="0"/>
          <c:showSerName val="0"/>
          <c:showPercent val="1"/>
          <c:showBubbleSize val="0"/>
          <c:extLst>
            <c:ext xmlns:c15="http://schemas.microsoft.com/office/drawing/2012/chart" uri="{CE6537A1-D6FC-4f65-9D91-7224C49458BB}"/>
          </c:extLst>
        </c:dLbl>
      </c:pivotFmt>
      <c:pivotFmt>
        <c:idx val="29"/>
        <c:dLbl>
          <c:idx val="0"/>
          <c:showLegendKey val="0"/>
          <c:showVal val="0"/>
          <c:showCatName val="0"/>
          <c:showSerName val="0"/>
          <c:showPercent val="1"/>
          <c:showBubbleSize val="0"/>
          <c:extLst>
            <c:ext xmlns:c15="http://schemas.microsoft.com/office/drawing/2012/chart" uri="{CE6537A1-D6FC-4f65-9D91-7224C49458BB}"/>
          </c:extLst>
        </c:dLbl>
      </c:pivotFmt>
      <c:pivotFmt>
        <c:idx val="30"/>
        <c:dLbl>
          <c:idx val="0"/>
          <c:showLegendKey val="0"/>
          <c:showVal val="0"/>
          <c:showCatName val="0"/>
          <c:showSerName val="0"/>
          <c:showPercent val="1"/>
          <c:showBubbleSize val="0"/>
          <c:extLst>
            <c:ext xmlns:c15="http://schemas.microsoft.com/office/drawing/2012/chart" uri="{CE6537A1-D6FC-4f65-9D91-7224C49458BB}"/>
          </c:extLst>
        </c:dLbl>
      </c:pivotFmt>
      <c:pivotFmt>
        <c:idx val="31"/>
        <c:dLbl>
          <c:idx val="0"/>
          <c:showLegendKey val="0"/>
          <c:showVal val="0"/>
          <c:showCatName val="0"/>
          <c:showSerName val="0"/>
          <c:showPercent val="1"/>
          <c:showBubbleSize val="0"/>
          <c:extLst>
            <c:ext xmlns:c15="http://schemas.microsoft.com/office/drawing/2012/chart" uri="{CE6537A1-D6FC-4f65-9D91-7224C49458BB}">
              <c15:xForSave val="1"/>
            </c:ext>
          </c:extLst>
        </c:dLbl>
      </c:pivotFmt>
      <c:pivotFmt>
        <c:idx val="32"/>
        <c:dLbl>
          <c:idx val="0"/>
          <c:showLegendKey val="0"/>
          <c:showVal val="0"/>
          <c:showCatName val="0"/>
          <c:showSerName val="0"/>
          <c:showPercent val="1"/>
          <c:showBubbleSize val="0"/>
          <c:extLst>
            <c:ext xmlns:c15="http://schemas.microsoft.com/office/drawing/2012/chart" uri="{CE6537A1-D6FC-4f65-9D91-7224C49458BB}"/>
          </c:extLst>
        </c:dLbl>
      </c:pivotFmt>
      <c:pivotFmt>
        <c:idx val="33"/>
        <c:dLbl>
          <c:idx val="0"/>
          <c:showLegendKey val="0"/>
          <c:showVal val="0"/>
          <c:showCatName val="0"/>
          <c:showSerName val="0"/>
          <c:showPercent val="1"/>
          <c:showBubbleSize val="0"/>
          <c:extLst>
            <c:ext xmlns:c15="http://schemas.microsoft.com/office/drawing/2012/chart" uri="{CE6537A1-D6FC-4f65-9D91-7224C49458BB}"/>
          </c:extLst>
        </c:dLbl>
      </c:pivotFmt>
      <c:pivotFmt>
        <c:idx val="34"/>
        <c:dLbl>
          <c:idx val="0"/>
          <c:showLegendKey val="0"/>
          <c:showVal val="0"/>
          <c:showCatName val="0"/>
          <c:showSerName val="0"/>
          <c:showPercent val="1"/>
          <c:showBubbleSize val="0"/>
          <c:extLst>
            <c:ext xmlns:c15="http://schemas.microsoft.com/office/drawing/2012/chart" uri="{CE6537A1-D6FC-4f65-9D91-7224C49458BB}"/>
          </c:extLst>
        </c:dLbl>
      </c:pivotFmt>
      <c:pivotFmt>
        <c:idx val="35"/>
        <c:dLbl>
          <c:idx val="0"/>
          <c:showLegendKey val="0"/>
          <c:showVal val="0"/>
          <c:showCatName val="0"/>
          <c:showSerName val="0"/>
          <c:showPercent val="1"/>
          <c:showBubbleSize val="0"/>
          <c:extLst>
            <c:ext xmlns:c15="http://schemas.microsoft.com/office/drawing/2012/chart" uri="{CE6537A1-D6FC-4f65-9D91-7224C49458BB}"/>
          </c:extLst>
        </c:dLbl>
      </c:pivotFmt>
      <c:pivotFmt>
        <c:idx val="36"/>
        <c:dLbl>
          <c:idx val="0"/>
          <c:showLegendKey val="0"/>
          <c:showVal val="0"/>
          <c:showCatName val="0"/>
          <c:showSerName val="0"/>
          <c:showPercent val="1"/>
          <c:showBubbleSize val="0"/>
          <c:extLst>
            <c:ext xmlns:c15="http://schemas.microsoft.com/office/drawing/2012/chart" uri="{CE6537A1-D6FC-4f65-9D91-7224C49458BB}"/>
          </c:extLst>
        </c:dLbl>
      </c:pivotFmt>
      <c:pivotFmt>
        <c:idx val="37"/>
        <c:dLbl>
          <c:idx val="0"/>
          <c:layout>
            <c:manualLayout>
              <c:x val="-0.11532183661774893"/>
              <c:y val="0.14211436581371389"/>
            </c:manualLayout>
          </c:layout>
          <c:showLegendKey val="0"/>
          <c:showVal val="0"/>
          <c:showCatName val="0"/>
          <c:showSerName val="0"/>
          <c:showPercent val="1"/>
          <c:showBubbleSize val="0"/>
          <c:extLst>
            <c:ext xmlns:c15="http://schemas.microsoft.com/office/drawing/2012/chart" uri="{CE6537A1-D6FC-4f65-9D91-7224C49458BB}"/>
          </c:extLst>
        </c:dLbl>
      </c:pivotFmt>
      <c:pivotFmt>
        <c:idx val="38"/>
        <c:dLbl>
          <c:idx val="0"/>
          <c:layout>
            <c:manualLayout>
              <c:x val="-9.9574141841753755E-2"/>
              <c:y val="-0.13764511322992723"/>
            </c:manualLayout>
          </c:layout>
          <c:showLegendKey val="0"/>
          <c:showVal val="0"/>
          <c:showCatName val="0"/>
          <c:showSerName val="0"/>
          <c:showPercent val="1"/>
          <c:showBubbleSize val="0"/>
          <c:extLst>
            <c:ext xmlns:c15="http://schemas.microsoft.com/office/drawing/2012/chart" uri="{CE6537A1-D6FC-4f65-9D91-7224C49458BB}"/>
          </c:extLst>
        </c:dLbl>
      </c:pivotFmt>
      <c:pivotFmt>
        <c:idx val="39"/>
        <c:dLbl>
          <c:idx val="0"/>
          <c:layout>
            <c:manualLayout>
              <c:x val="7.584415595807778E-2"/>
              <c:y val="-0.17186009695277249"/>
            </c:manualLayout>
          </c:layout>
          <c:showLegendKey val="0"/>
          <c:showVal val="0"/>
          <c:showCatName val="0"/>
          <c:showSerName val="0"/>
          <c:showPercent val="1"/>
          <c:showBubbleSize val="0"/>
          <c:extLst>
            <c:ext xmlns:c15="http://schemas.microsoft.com/office/drawing/2012/chart" uri="{CE6537A1-D6FC-4f65-9D91-7224C49458BB}"/>
          </c:extLst>
        </c:dLbl>
      </c:pivotFmt>
      <c:pivotFmt>
        <c:idx val="40"/>
        <c:dLbl>
          <c:idx val="0"/>
          <c:layout>
            <c:manualLayout>
              <c:x val="0.10725928180652106"/>
              <c:y val="0.11518995962304156"/>
            </c:manualLayout>
          </c:layout>
          <c:showLegendKey val="0"/>
          <c:showVal val="0"/>
          <c:showCatName val="0"/>
          <c:showSerName val="0"/>
          <c:showPercent val="1"/>
          <c:showBubbleSize val="0"/>
          <c:extLst>
            <c:ext xmlns:c15="http://schemas.microsoft.com/office/drawing/2012/chart" uri="{CE6537A1-D6FC-4f65-9D91-7224C49458BB}"/>
          </c:extLst>
        </c:dLbl>
      </c:pivotFmt>
      <c:pivotFmt>
        <c:idx val="41"/>
        <c:dLbl>
          <c:idx val="0"/>
          <c:showLegendKey val="0"/>
          <c:showVal val="0"/>
          <c:showCatName val="0"/>
          <c:showSerName val="0"/>
          <c:showPercent val="1"/>
          <c:showBubbleSize val="0"/>
          <c:extLst>
            <c:ext xmlns:c15="http://schemas.microsoft.com/office/drawing/2012/chart" uri="{CE6537A1-D6FC-4f65-9D91-7224C49458BB}"/>
          </c:extLst>
        </c:dLbl>
      </c:pivotFmt>
      <c:pivotFmt>
        <c:idx val="42"/>
        <c:dLbl>
          <c:idx val="0"/>
          <c:showLegendKey val="0"/>
          <c:showVal val="0"/>
          <c:showCatName val="0"/>
          <c:showSerName val="0"/>
          <c:showPercent val="1"/>
          <c:showBubbleSize val="0"/>
          <c:extLst>
            <c:ext xmlns:c15="http://schemas.microsoft.com/office/drawing/2012/chart" uri="{CE6537A1-D6FC-4f65-9D91-7224C49458BB}">
              <c15:xForSave val="1"/>
            </c:ext>
          </c:extLst>
        </c:dLbl>
      </c:pivotFmt>
      <c:pivotFmt>
        <c:idx val="43"/>
        <c:dLbl>
          <c:idx val="0"/>
          <c:showLegendKey val="0"/>
          <c:showVal val="0"/>
          <c:showCatName val="0"/>
          <c:showSerName val="0"/>
          <c:showPercent val="1"/>
          <c:showBubbleSize val="0"/>
          <c:extLst>
            <c:ext xmlns:c15="http://schemas.microsoft.com/office/drawing/2012/chart" uri="{CE6537A1-D6FC-4f65-9D91-7224C49458BB}">
              <c15:xForSave val="1"/>
            </c:ext>
          </c:extLst>
        </c:dLbl>
      </c:pivotFmt>
      <c:pivotFmt>
        <c:idx val="44"/>
        <c:dLbl>
          <c:idx val="0"/>
          <c:showLegendKey val="0"/>
          <c:showVal val="0"/>
          <c:showCatName val="0"/>
          <c:showSerName val="0"/>
          <c:showPercent val="1"/>
          <c:showBubbleSize val="0"/>
          <c:extLst>
            <c:ext xmlns:c15="http://schemas.microsoft.com/office/drawing/2012/chart" uri="{CE6537A1-D6FC-4f65-9D91-7224C49458BB}">
              <c15:xForSave val="1"/>
            </c:ext>
          </c:extLst>
        </c:dLbl>
      </c:pivotFmt>
      <c:pivotFmt>
        <c:idx val="45"/>
        <c:dLbl>
          <c:idx val="0"/>
          <c:showLegendKey val="0"/>
          <c:showVal val="0"/>
          <c:showCatName val="0"/>
          <c:showSerName val="0"/>
          <c:showPercent val="1"/>
          <c:showBubbleSize val="0"/>
          <c:extLst>
            <c:ext xmlns:c15="http://schemas.microsoft.com/office/drawing/2012/chart" uri="{CE6537A1-D6FC-4f65-9D91-7224C49458BB}">
              <c15:xForSave val="1"/>
            </c:ext>
          </c:extLst>
        </c:dLbl>
      </c:pivotFmt>
      <c:pivotFmt>
        <c:idx val="46"/>
        <c:dLbl>
          <c:idx val="0"/>
          <c:showLegendKey val="0"/>
          <c:showVal val="0"/>
          <c:showCatName val="0"/>
          <c:showSerName val="0"/>
          <c:showPercent val="1"/>
          <c:showBubbleSize val="0"/>
          <c:extLst>
            <c:ext xmlns:c15="http://schemas.microsoft.com/office/drawing/2012/chart" uri="{CE6537A1-D6FC-4f65-9D91-7224C49458BB}"/>
          </c:extLst>
        </c:dLbl>
      </c:pivotFmt>
      <c:pivotFmt>
        <c:idx val="47"/>
        <c:dLbl>
          <c:idx val="0"/>
          <c:showLegendKey val="0"/>
          <c:showVal val="0"/>
          <c:showCatName val="0"/>
          <c:showSerName val="0"/>
          <c:showPercent val="1"/>
          <c:showBubbleSize val="0"/>
          <c:extLst>
            <c:ext xmlns:c15="http://schemas.microsoft.com/office/drawing/2012/chart" uri="{CE6537A1-D6FC-4f65-9D91-7224C49458BB}">
              <c15:xForSave val="1"/>
            </c:ext>
          </c:extLst>
        </c:dLbl>
      </c:pivotFmt>
      <c:pivotFmt>
        <c:idx val="48"/>
        <c:dLbl>
          <c:idx val="0"/>
          <c:showLegendKey val="0"/>
          <c:showVal val="0"/>
          <c:showCatName val="0"/>
          <c:showSerName val="0"/>
          <c:showPercent val="1"/>
          <c:showBubbleSize val="0"/>
          <c:extLst>
            <c:ext xmlns:c15="http://schemas.microsoft.com/office/drawing/2012/chart" uri="{CE6537A1-D6FC-4f65-9D91-7224C49458BB}">
              <c15:xForSave val="1"/>
            </c:ext>
          </c:extLst>
        </c:dLbl>
      </c:pivotFmt>
      <c:pivotFmt>
        <c:idx val="49"/>
        <c:dLbl>
          <c:idx val="0"/>
          <c:showLegendKey val="0"/>
          <c:showVal val="0"/>
          <c:showCatName val="0"/>
          <c:showSerName val="0"/>
          <c:showPercent val="1"/>
          <c:showBubbleSize val="0"/>
          <c:extLst>
            <c:ext xmlns:c15="http://schemas.microsoft.com/office/drawing/2012/chart" uri="{CE6537A1-D6FC-4f65-9D91-7224C49458BB}">
              <c15:xForSave val="1"/>
            </c:ext>
          </c:extLst>
        </c:dLbl>
      </c:pivotFmt>
      <c:pivotFmt>
        <c:idx val="50"/>
        <c:dLbl>
          <c:idx val="0"/>
          <c:showLegendKey val="0"/>
          <c:showVal val="0"/>
          <c:showCatName val="0"/>
          <c:showSerName val="0"/>
          <c:showPercent val="1"/>
          <c:showBubbleSize val="0"/>
          <c:extLst>
            <c:ext xmlns:c15="http://schemas.microsoft.com/office/drawing/2012/chart" uri="{CE6537A1-D6FC-4f65-9D91-7224C49458BB}">
              <c15:xForSave val="1"/>
            </c:ext>
          </c:extLst>
        </c:dLbl>
      </c:pivotFmt>
      <c:pivotFmt>
        <c:idx val="51"/>
        <c:dLbl>
          <c:idx val="0"/>
          <c:showLegendKey val="0"/>
          <c:showVal val="0"/>
          <c:showCatName val="0"/>
          <c:showSerName val="0"/>
          <c:showPercent val="1"/>
          <c:showBubbleSize val="0"/>
          <c:extLst>
            <c:ext xmlns:c15="http://schemas.microsoft.com/office/drawing/2012/chart" uri="{CE6537A1-D6FC-4f65-9D91-7224C49458BB}"/>
          </c:extLst>
        </c:dLbl>
      </c:pivotFmt>
      <c:pivotFmt>
        <c:idx val="52"/>
        <c:dLbl>
          <c:idx val="0"/>
          <c:layout>
            <c:manualLayout>
              <c:x val="-0.11532183661774893"/>
              <c:y val="0.14211436581371389"/>
            </c:manualLayout>
          </c:layout>
          <c:showLegendKey val="0"/>
          <c:showVal val="0"/>
          <c:showCatName val="0"/>
          <c:showSerName val="0"/>
          <c:showPercent val="1"/>
          <c:showBubbleSize val="0"/>
          <c:extLst>
            <c:ext xmlns:c15="http://schemas.microsoft.com/office/drawing/2012/chart" uri="{CE6537A1-D6FC-4f65-9D91-7224C49458BB}"/>
          </c:extLst>
        </c:dLbl>
      </c:pivotFmt>
      <c:pivotFmt>
        <c:idx val="53"/>
        <c:dLbl>
          <c:idx val="0"/>
          <c:layout>
            <c:manualLayout>
              <c:x val="-9.9574141841753755E-2"/>
              <c:y val="-0.13764511322992723"/>
            </c:manualLayout>
          </c:layout>
          <c:showLegendKey val="0"/>
          <c:showVal val="0"/>
          <c:showCatName val="0"/>
          <c:showSerName val="0"/>
          <c:showPercent val="1"/>
          <c:showBubbleSize val="0"/>
          <c:extLst>
            <c:ext xmlns:c15="http://schemas.microsoft.com/office/drawing/2012/chart" uri="{CE6537A1-D6FC-4f65-9D91-7224C49458BB}"/>
          </c:extLst>
        </c:dLbl>
      </c:pivotFmt>
      <c:pivotFmt>
        <c:idx val="54"/>
        <c:dLbl>
          <c:idx val="0"/>
          <c:layout>
            <c:manualLayout>
              <c:x val="7.584415595807778E-2"/>
              <c:y val="-0.17186009695277249"/>
            </c:manualLayout>
          </c:layout>
          <c:showLegendKey val="0"/>
          <c:showVal val="0"/>
          <c:showCatName val="0"/>
          <c:showSerName val="0"/>
          <c:showPercent val="1"/>
          <c:showBubbleSize val="0"/>
          <c:extLst>
            <c:ext xmlns:c15="http://schemas.microsoft.com/office/drawing/2012/chart" uri="{CE6537A1-D6FC-4f65-9D91-7224C49458BB}"/>
          </c:extLst>
        </c:dLbl>
      </c:pivotFmt>
      <c:pivotFmt>
        <c:idx val="55"/>
        <c:dLbl>
          <c:idx val="0"/>
          <c:layout>
            <c:manualLayout>
              <c:x val="0.10725928180652106"/>
              <c:y val="0.11518995962304156"/>
            </c:manualLayout>
          </c:layout>
          <c:showLegendKey val="0"/>
          <c:showVal val="0"/>
          <c:showCatName val="0"/>
          <c:showSerName val="0"/>
          <c:showPercent val="1"/>
          <c:showBubbleSize val="0"/>
          <c:extLst>
            <c:ext xmlns:c15="http://schemas.microsoft.com/office/drawing/2012/chart" uri="{CE6537A1-D6FC-4f65-9D91-7224C49458BB}"/>
          </c:extLst>
        </c:dLbl>
      </c:pivotFmt>
      <c:pivotFmt>
        <c:idx val="56"/>
        <c:dLbl>
          <c:idx val="0"/>
          <c:showLegendKey val="0"/>
          <c:showVal val="0"/>
          <c:showCatName val="0"/>
          <c:showSerName val="0"/>
          <c:showPercent val="1"/>
          <c:showBubbleSize val="0"/>
          <c:extLst>
            <c:ext xmlns:c15="http://schemas.microsoft.com/office/drawing/2012/chart" uri="{CE6537A1-D6FC-4f65-9D91-7224C49458BB}"/>
          </c:extLst>
        </c:dLbl>
      </c:pivotFmt>
      <c:pivotFmt>
        <c:idx val="57"/>
        <c:dLbl>
          <c:idx val="0"/>
          <c:showLegendKey val="0"/>
          <c:showVal val="0"/>
          <c:showCatName val="0"/>
          <c:showSerName val="0"/>
          <c:showPercent val="1"/>
          <c:showBubbleSize val="0"/>
          <c:extLst>
            <c:ext xmlns:c15="http://schemas.microsoft.com/office/drawing/2012/chart" uri="{CE6537A1-D6FC-4f65-9D91-7224C49458BB}"/>
          </c:extLst>
        </c:dLbl>
      </c:pivotFmt>
      <c:pivotFmt>
        <c:idx val="58"/>
        <c:dLbl>
          <c:idx val="0"/>
          <c:showLegendKey val="0"/>
          <c:showVal val="0"/>
          <c:showCatName val="0"/>
          <c:showSerName val="0"/>
          <c:showPercent val="1"/>
          <c:showBubbleSize val="0"/>
          <c:extLst>
            <c:ext xmlns:c15="http://schemas.microsoft.com/office/drawing/2012/chart" uri="{CE6537A1-D6FC-4f65-9D91-7224C49458BB}"/>
          </c:extLst>
        </c:dLbl>
      </c:pivotFmt>
      <c:pivotFmt>
        <c:idx val="59"/>
        <c:dLbl>
          <c:idx val="0"/>
          <c:showLegendKey val="0"/>
          <c:showVal val="0"/>
          <c:showCatName val="0"/>
          <c:showSerName val="0"/>
          <c:showPercent val="1"/>
          <c:showBubbleSize val="0"/>
          <c:extLst>
            <c:ext xmlns:c15="http://schemas.microsoft.com/office/drawing/2012/chart" uri="{CE6537A1-D6FC-4f65-9D91-7224C49458BB}"/>
          </c:extLst>
        </c:dLbl>
      </c:pivotFmt>
      <c:pivotFmt>
        <c:idx val="60"/>
        <c:dLbl>
          <c:idx val="0"/>
          <c:showLegendKey val="0"/>
          <c:showVal val="0"/>
          <c:showCatName val="0"/>
          <c:showSerName val="0"/>
          <c:showPercent val="1"/>
          <c:showBubbleSize val="0"/>
          <c:extLst>
            <c:ext xmlns:c15="http://schemas.microsoft.com/office/drawing/2012/chart" uri="{CE6537A1-D6FC-4f65-9D91-7224C49458BB}"/>
          </c:extLst>
        </c:dLbl>
      </c:pivotFmt>
      <c:pivotFmt>
        <c:idx val="61"/>
        <c:dLbl>
          <c:idx val="0"/>
          <c:showLegendKey val="0"/>
          <c:showVal val="0"/>
          <c:showCatName val="0"/>
          <c:showSerName val="0"/>
          <c:showPercent val="1"/>
          <c:showBubbleSize val="0"/>
          <c:extLst>
            <c:ext xmlns:c15="http://schemas.microsoft.com/office/drawing/2012/chart" uri="{CE6537A1-D6FC-4f65-9D91-7224C49458BB}"/>
          </c:extLst>
        </c:dLbl>
      </c:pivotFmt>
      <c:pivotFmt>
        <c:idx val="62"/>
        <c:dLbl>
          <c:idx val="0"/>
          <c:showLegendKey val="0"/>
          <c:showVal val="0"/>
          <c:showCatName val="0"/>
          <c:showSerName val="0"/>
          <c:showPercent val="1"/>
          <c:showBubbleSize val="0"/>
          <c:extLst>
            <c:ext xmlns:c15="http://schemas.microsoft.com/office/drawing/2012/chart" uri="{CE6537A1-D6FC-4f65-9D91-7224C49458BB}"/>
          </c:extLst>
        </c:dLbl>
      </c:pivotFmt>
      <c:pivotFmt>
        <c:idx val="63"/>
        <c:dLbl>
          <c:idx val="0"/>
          <c:showLegendKey val="0"/>
          <c:showVal val="0"/>
          <c:showCatName val="0"/>
          <c:showSerName val="0"/>
          <c:showPercent val="1"/>
          <c:showBubbleSize val="0"/>
          <c:extLst>
            <c:ext xmlns:c15="http://schemas.microsoft.com/office/drawing/2012/chart" uri="{CE6537A1-D6FC-4f65-9D91-7224C49458BB}"/>
          </c:extLst>
        </c:dLbl>
      </c:pivotFmt>
      <c:pivotFmt>
        <c:idx val="64"/>
        <c:dLbl>
          <c:idx val="0"/>
          <c:showLegendKey val="0"/>
          <c:showVal val="0"/>
          <c:showCatName val="0"/>
          <c:showSerName val="0"/>
          <c:showPercent val="1"/>
          <c:showBubbleSize val="0"/>
          <c:extLst>
            <c:ext xmlns:c15="http://schemas.microsoft.com/office/drawing/2012/chart" uri="{CE6537A1-D6FC-4f65-9D91-7224C49458BB}"/>
          </c:extLst>
        </c:dLbl>
      </c:pivotFmt>
      <c:pivotFmt>
        <c:idx val="65"/>
        <c:dLbl>
          <c:idx val="0"/>
          <c:showLegendKey val="0"/>
          <c:showVal val="0"/>
          <c:showCatName val="0"/>
          <c:showSerName val="0"/>
          <c:showPercent val="1"/>
          <c:showBubbleSize val="0"/>
          <c:extLst>
            <c:ext xmlns:c15="http://schemas.microsoft.com/office/drawing/2012/chart" uri="{CE6537A1-D6FC-4f65-9D91-7224C49458BB}"/>
          </c:extLst>
        </c:dLbl>
      </c:pivotFmt>
      <c:pivotFmt>
        <c:idx val="66"/>
        <c:dLbl>
          <c:idx val="0"/>
          <c:showLegendKey val="0"/>
          <c:showVal val="0"/>
          <c:showCatName val="0"/>
          <c:showSerName val="0"/>
          <c:showPercent val="1"/>
          <c:showBubbleSize val="0"/>
          <c:extLst>
            <c:ext xmlns:c15="http://schemas.microsoft.com/office/drawing/2012/chart" uri="{CE6537A1-D6FC-4f65-9D91-7224C49458BB}"/>
          </c:extLst>
        </c:dLbl>
      </c:pivotFmt>
      <c:pivotFmt>
        <c:idx val="67"/>
        <c:dLbl>
          <c:idx val="0"/>
          <c:layout>
            <c:manualLayout>
              <c:x val="-0.2215029465852332"/>
              <c:y val="0.17427983114741813"/>
            </c:manualLayout>
          </c:layout>
          <c:showLegendKey val="0"/>
          <c:showVal val="0"/>
          <c:showCatName val="0"/>
          <c:showSerName val="0"/>
          <c:showPercent val="1"/>
          <c:showBubbleSize val="0"/>
          <c:extLst>
            <c:ext xmlns:c15="http://schemas.microsoft.com/office/drawing/2012/chart" uri="{CE6537A1-D6FC-4f65-9D91-7224C49458BB}"/>
          </c:extLst>
        </c:dLbl>
      </c:pivotFmt>
      <c:pivotFmt>
        <c:idx val="68"/>
        <c:dLbl>
          <c:idx val="0"/>
          <c:layout>
            <c:manualLayout>
              <c:x val="-0.20575552254336271"/>
              <c:y val="-0.15602545886488717"/>
            </c:manualLayout>
          </c:layout>
          <c:showLegendKey val="0"/>
          <c:showVal val="0"/>
          <c:showCatName val="0"/>
          <c:showSerName val="0"/>
          <c:showPercent val="1"/>
          <c:showBubbleSize val="0"/>
          <c:extLst>
            <c:ext xmlns:c15="http://schemas.microsoft.com/office/drawing/2012/chart" uri="{CE6537A1-D6FC-4f65-9D91-7224C49458BB}"/>
          </c:extLst>
        </c:dLbl>
      </c:pivotFmt>
      <c:pivotFmt>
        <c:idx val="69"/>
        <c:dLbl>
          <c:idx val="0"/>
          <c:layout>
            <c:manualLayout>
              <c:x val="0.13376132640609326"/>
              <c:y val="-0.16726493045341773"/>
            </c:manualLayout>
          </c:layout>
          <c:showLegendKey val="0"/>
          <c:showVal val="0"/>
          <c:showCatName val="0"/>
          <c:showSerName val="0"/>
          <c:showPercent val="1"/>
          <c:showBubbleSize val="0"/>
          <c:extLst>
            <c:ext xmlns:c15="http://schemas.microsoft.com/office/drawing/2012/chart" uri="{CE6537A1-D6FC-4f65-9D91-7224C49458BB}"/>
          </c:extLst>
        </c:dLbl>
      </c:pivotFmt>
      <c:pivotFmt>
        <c:idx val="70"/>
        <c:dLbl>
          <c:idx val="0"/>
          <c:layout>
            <c:manualLayout>
              <c:x val="0.23757263854195046"/>
              <c:y val="0.12897532446810242"/>
            </c:manualLayout>
          </c:layout>
          <c:showLegendKey val="0"/>
          <c:showVal val="0"/>
          <c:showCatName val="0"/>
          <c:showSerName val="0"/>
          <c:showPercent val="1"/>
          <c:showBubbleSize val="0"/>
          <c:extLst>
            <c:ext xmlns:c15="http://schemas.microsoft.com/office/drawing/2012/chart" uri="{CE6537A1-D6FC-4f65-9D91-7224C49458BB}"/>
          </c:extLst>
        </c:dLbl>
      </c:pivotFmt>
      <c:pivotFmt>
        <c:idx val="71"/>
        <c:dLbl>
          <c:idx val="0"/>
          <c:showLegendKey val="0"/>
          <c:showVal val="0"/>
          <c:showCatName val="0"/>
          <c:showSerName val="0"/>
          <c:showPercent val="1"/>
          <c:showBubbleSize val="0"/>
          <c:extLst>
            <c:ext xmlns:c15="http://schemas.microsoft.com/office/drawing/2012/chart" uri="{CE6537A1-D6FC-4f65-9D91-7224C49458BB}"/>
          </c:extLst>
        </c:dLbl>
      </c:pivotFmt>
      <c:pivotFmt>
        <c:idx val="72"/>
        <c:dLbl>
          <c:idx val="0"/>
          <c:showLegendKey val="0"/>
          <c:showVal val="0"/>
          <c:showCatName val="0"/>
          <c:showSerName val="0"/>
          <c:showPercent val="1"/>
          <c:showBubbleSize val="0"/>
          <c:extLst>
            <c:ext xmlns:c15="http://schemas.microsoft.com/office/drawing/2012/chart" uri="{CE6537A1-D6FC-4f65-9D91-7224C49458BB}"/>
          </c:extLst>
        </c:dLbl>
      </c:pivotFmt>
      <c:pivotFmt>
        <c:idx val="73"/>
        <c:dLbl>
          <c:idx val="0"/>
          <c:showLegendKey val="0"/>
          <c:showVal val="0"/>
          <c:showCatName val="0"/>
          <c:showSerName val="0"/>
          <c:showPercent val="1"/>
          <c:showBubbleSize val="0"/>
          <c:extLst>
            <c:ext xmlns:c15="http://schemas.microsoft.com/office/drawing/2012/chart" uri="{CE6537A1-D6FC-4f65-9D91-7224C49458BB}"/>
          </c:extLst>
        </c:dLbl>
      </c:pivotFmt>
      <c:pivotFmt>
        <c:idx val="74"/>
        <c:dLbl>
          <c:idx val="0"/>
          <c:showLegendKey val="0"/>
          <c:showVal val="0"/>
          <c:showCatName val="0"/>
          <c:showSerName val="0"/>
          <c:showPercent val="1"/>
          <c:showBubbleSize val="0"/>
          <c:extLst>
            <c:ext xmlns:c15="http://schemas.microsoft.com/office/drawing/2012/chart" uri="{CE6537A1-D6FC-4f65-9D91-7224C49458BB}"/>
          </c:extLst>
        </c:dLbl>
      </c:pivotFmt>
      <c:pivotFmt>
        <c:idx val="75"/>
        <c:dLbl>
          <c:idx val="0"/>
          <c:showLegendKey val="0"/>
          <c:showVal val="0"/>
          <c:showCatName val="0"/>
          <c:showSerName val="0"/>
          <c:showPercent val="1"/>
          <c:showBubbleSize val="0"/>
          <c:extLst>
            <c:ext xmlns:c15="http://schemas.microsoft.com/office/drawing/2012/chart" uri="{CE6537A1-D6FC-4f65-9D91-7224C49458BB}"/>
          </c:extLst>
        </c:dLbl>
      </c:pivotFmt>
      <c:pivotFmt>
        <c:idx val="76"/>
        <c:dLbl>
          <c:idx val="0"/>
          <c:showLegendKey val="0"/>
          <c:showVal val="0"/>
          <c:showCatName val="0"/>
          <c:showSerName val="0"/>
          <c:showPercent val="1"/>
          <c:showBubbleSize val="0"/>
          <c:extLst>
            <c:ext xmlns:c15="http://schemas.microsoft.com/office/drawing/2012/chart" uri="{CE6537A1-D6FC-4f65-9D91-7224C49458BB}"/>
          </c:extLst>
        </c:dLbl>
      </c:pivotFmt>
      <c:pivotFmt>
        <c:idx val="77"/>
        <c:dLbl>
          <c:idx val="0"/>
          <c:showLegendKey val="0"/>
          <c:showVal val="0"/>
          <c:showCatName val="0"/>
          <c:showSerName val="0"/>
          <c:showPercent val="1"/>
          <c:showBubbleSize val="0"/>
          <c:extLst>
            <c:ext xmlns:c15="http://schemas.microsoft.com/office/drawing/2012/chart" uri="{CE6537A1-D6FC-4f65-9D91-7224C49458BB}"/>
          </c:extLst>
        </c:dLbl>
      </c:pivotFmt>
      <c:pivotFmt>
        <c:idx val="78"/>
        <c:dLbl>
          <c:idx val="0"/>
          <c:showLegendKey val="0"/>
          <c:showVal val="0"/>
          <c:showCatName val="0"/>
          <c:showSerName val="0"/>
          <c:showPercent val="1"/>
          <c:showBubbleSize val="0"/>
          <c:extLst>
            <c:ext xmlns:c15="http://schemas.microsoft.com/office/drawing/2012/chart" uri="{CE6537A1-D6FC-4f65-9D91-7224C49458BB}"/>
          </c:extLst>
        </c:dLbl>
      </c:pivotFmt>
      <c:pivotFmt>
        <c:idx val="79"/>
        <c:dLbl>
          <c:idx val="0"/>
          <c:showLegendKey val="0"/>
          <c:showVal val="0"/>
          <c:showCatName val="0"/>
          <c:showSerName val="0"/>
          <c:showPercent val="1"/>
          <c:showBubbleSize val="0"/>
          <c:extLst>
            <c:ext xmlns:c15="http://schemas.microsoft.com/office/drawing/2012/chart" uri="{CE6537A1-D6FC-4f65-9D91-7224C49458BB}"/>
          </c:extLst>
        </c:dLbl>
      </c:pivotFmt>
      <c:pivotFmt>
        <c:idx val="80"/>
        <c:dLbl>
          <c:idx val="0"/>
          <c:showLegendKey val="0"/>
          <c:showVal val="0"/>
          <c:showCatName val="0"/>
          <c:showSerName val="0"/>
          <c:showPercent val="1"/>
          <c:showBubbleSize val="0"/>
          <c:extLst>
            <c:ext xmlns:c15="http://schemas.microsoft.com/office/drawing/2012/chart" uri="{CE6537A1-D6FC-4f65-9D91-7224C49458BB}"/>
          </c:extLst>
        </c:dLbl>
      </c:pivotFmt>
      <c:pivotFmt>
        <c:idx val="81"/>
        <c:dLbl>
          <c:idx val="0"/>
          <c:showLegendKey val="0"/>
          <c:showVal val="0"/>
          <c:showCatName val="0"/>
          <c:showSerName val="0"/>
          <c:showPercent val="1"/>
          <c:showBubbleSize val="0"/>
          <c:extLst>
            <c:ext xmlns:c15="http://schemas.microsoft.com/office/drawing/2012/chart" uri="{CE6537A1-D6FC-4f65-9D91-7224C49458BB}"/>
          </c:extLst>
        </c:dLbl>
      </c:pivotFmt>
      <c:pivotFmt>
        <c:idx val="82"/>
        <c:dLbl>
          <c:idx val="0"/>
          <c:layout>
            <c:manualLayout>
              <c:x val="-0.2215029465852332"/>
              <c:y val="0.17427983114741813"/>
            </c:manualLayout>
          </c:layout>
          <c:showLegendKey val="0"/>
          <c:showVal val="0"/>
          <c:showCatName val="0"/>
          <c:showSerName val="0"/>
          <c:showPercent val="1"/>
          <c:showBubbleSize val="0"/>
          <c:extLst>
            <c:ext xmlns:c15="http://schemas.microsoft.com/office/drawing/2012/chart" uri="{CE6537A1-D6FC-4f65-9D91-7224C49458BB}"/>
          </c:extLst>
        </c:dLbl>
      </c:pivotFmt>
      <c:pivotFmt>
        <c:idx val="83"/>
        <c:dLbl>
          <c:idx val="0"/>
          <c:layout>
            <c:manualLayout>
              <c:x val="-0.20575552254336271"/>
              <c:y val="-0.15602545886488717"/>
            </c:manualLayout>
          </c:layout>
          <c:showLegendKey val="0"/>
          <c:showVal val="0"/>
          <c:showCatName val="0"/>
          <c:showSerName val="0"/>
          <c:showPercent val="1"/>
          <c:showBubbleSize val="0"/>
          <c:extLst>
            <c:ext xmlns:c15="http://schemas.microsoft.com/office/drawing/2012/chart" uri="{CE6537A1-D6FC-4f65-9D91-7224C49458BB}"/>
          </c:extLst>
        </c:dLbl>
      </c:pivotFmt>
      <c:pivotFmt>
        <c:idx val="84"/>
        <c:dLbl>
          <c:idx val="0"/>
          <c:layout>
            <c:manualLayout>
              <c:x val="0.13376132640609326"/>
              <c:y val="-0.16726493045341773"/>
            </c:manualLayout>
          </c:layout>
          <c:showLegendKey val="0"/>
          <c:showVal val="0"/>
          <c:showCatName val="0"/>
          <c:showSerName val="0"/>
          <c:showPercent val="1"/>
          <c:showBubbleSize val="0"/>
          <c:extLst>
            <c:ext xmlns:c15="http://schemas.microsoft.com/office/drawing/2012/chart" uri="{CE6537A1-D6FC-4f65-9D91-7224C49458BB}"/>
          </c:extLst>
        </c:dLbl>
      </c:pivotFmt>
      <c:pivotFmt>
        <c:idx val="85"/>
        <c:dLbl>
          <c:idx val="0"/>
          <c:layout>
            <c:manualLayout>
              <c:x val="0.23757263854195046"/>
              <c:y val="0.12897532446810242"/>
            </c:manualLayout>
          </c:layout>
          <c:showLegendKey val="0"/>
          <c:showVal val="0"/>
          <c:showCatName val="0"/>
          <c:showSerName val="0"/>
          <c:showPercent val="1"/>
          <c:showBubbleSize val="0"/>
          <c:extLst>
            <c:ext xmlns:c15="http://schemas.microsoft.com/office/drawing/2012/chart" uri="{CE6537A1-D6FC-4f65-9D91-7224C49458BB}"/>
          </c:extLst>
        </c:dLbl>
      </c:pivotFmt>
      <c:pivotFmt>
        <c:idx val="86"/>
        <c:dLbl>
          <c:idx val="0"/>
          <c:showLegendKey val="0"/>
          <c:showVal val="0"/>
          <c:showCatName val="0"/>
          <c:showSerName val="0"/>
          <c:showPercent val="1"/>
          <c:showBubbleSize val="0"/>
          <c:extLst>
            <c:ext xmlns:c15="http://schemas.microsoft.com/office/drawing/2012/chart" uri="{CE6537A1-D6FC-4f65-9D91-7224C49458BB}"/>
          </c:extLst>
        </c:dLbl>
      </c:pivotFmt>
      <c:pivotFmt>
        <c:idx val="87"/>
      </c:pivotFmt>
      <c:pivotFmt>
        <c:idx val="88"/>
      </c:pivotFmt>
      <c:pivotFmt>
        <c:idx val="89"/>
      </c:pivotFmt>
      <c:pivotFmt>
        <c:idx val="90"/>
      </c:pivotFmt>
      <c:pivotFmt>
        <c:idx val="91"/>
        <c:dLbl>
          <c:idx val="0"/>
          <c:showLegendKey val="0"/>
          <c:showVal val="0"/>
          <c:showCatName val="0"/>
          <c:showSerName val="0"/>
          <c:showPercent val="1"/>
          <c:showBubbleSize val="0"/>
          <c:extLst>
            <c:ext xmlns:c15="http://schemas.microsoft.com/office/drawing/2012/chart" uri="{CE6537A1-D6FC-4f65-9D91-7224C49458BB}"/>
          </c:extLst>
        </c:dLbl>
      </c:pivotFmt>
      <c:pivotFmt>
        <c:idx val="92"/>
      </c:pivotFmt>
      <c:pivotFmt>
        <c:idx val="93"/>
      </c:pivotFmt>
      <c:pivotFmt>
        <c:idx val="94"/>
      </c:pivotFmt>
      <c:pivotFmt>
        <c:idx val="95"/>
      </c:pivotFmt>
      <c:pivotFmt>
        <c:idx val="96"/>
        <c:dLbl>
          <c:idx val="0"/>
          <c:showLegendKey val="0"/>
          <c:showVal val="0"/>
          <c:showCatName val="0"/>
          <c:showSerName val="0"/>
          <c:showPercent val="1"/>
          <c:showBubbleSize val="0"/>
          <c:extLst>
            <c:ext xmlns:c15="http://schemas.microsoft.com/office/drawing/2012/chart" uri="{CE6537A1-D6FC-4f65-9D91-7224C49458BB}"/>
          </c:extLst>
        </c:dLbl>
      </c:pivotFmt>
      <c:pivotFmt>
        <c:idx val="97"/>
        <c:dLbl>
          <c:idx val="0"/>
          <c:layout>
            <c:manualLayout>
              <c:x val="-0.2215029465852332"/>
              <c:y val="0.17427983114741813"/>
            </c:manualLayout>
          </c:layout>
          <c:showLegendKey val="0"/>
          <c:showVal val="0"/>
          <c:showCatName val="0"/>
          <c:showSerName val="0"/>
          <c:showPercent val="1"/>
          <c:showBubbleSize val="0"/>
          <c:extLst>
            <c:ext xmlns:c15="http://schemas.microsoft.com/office/drawing/2012/chart" uri="{CE6537A1-D6FC-4f65-9D91-7224C49458BB}"/>
          </c:extLst>
        </c:dLbl>
      </c:pivotFmt>
      <c:pivotFmt>
        <c:idx val="98"/>
        <c:dLbl>
          <c:idx val="0"/>
          <c:layout>
            <c:manualLayout>
              <c:x val="-0.20575552254336271"/>
              <c:y val="-0.15602545886488717"/>
            </c:manualLayout>
          </c:layout>
          <c:showLegendKey val="0"/>
          <c:showVal val="0"/>
          <c:showCatName val="0"/>
          <c:showSerName val="0"/>
          <c:showPercent val="1"/>
          <c:showBubbleSize val="0"/>
          <c:extLst>
            <c:ext xmlns:c15="http://schemas.microsoft.com/office/drawing/2012/chart" uri="{CE6537A1-D6FC-4f65-9D91-7224C49458BB}"/>
          </c:extLst>
        </c:dLbl>
      </c:pivotFmt>
      <c:pivotFmt>
        <c:idx val="99"/>
        <c:dLbl>
          <c:idx val="0"/>
          <c:layout>
            <c:manualLayout>
              <c:x val="0.13376132640609326"/>
              <c:y val="-0.16726493045341773"/>
            </c:manualLayout>
          </c:layout>
          <c:showLegendKey val="0"/>
          <c:showVal val="0"/>
          <c:showCatName val="0"/>
          <c:showSerName val="0"/>
          <c:showPercent val="1"/>
          <c:showBubbleSize val="0"/>
          <c:extLst>
            <c:ext xmlns:c15="http://schemas.microsoft.com/office/drawing/2012/chart" uri="{CE6537A1-D6FC-4f65-9D91-7224C49458BB}"/>
          </c:extLst>
        </c:dLbl>
      </c:pivotFmt>
      <c:pivotFmt>
        <c:idx val="100"/>
        <c:dLbl>
          <c:idx val="0"/>
          <c:layout>
            <c:manualLayout>
              <c:x val="0.23757263854195046"/>
              <c:y val="0.12897532446810242"/>
            </c:manualLayout>
          </c:layout>
          <c:showLegendKey val="0"/>
          <c:showVal val="0"/>
          <c:showCatName val="0"/>
          <c:showSerName val="0"/>
          <c:showPercent val="1"/>
          <c:showBubbleSize val="0"/>
          <c:extLst>
            <c:ext xmlns:c15="http://schemas.microsoft.com/office/drawing/2012/chart" uri="{CE6537A1-D6FC-4f65-9D91-7224C49458BB}"/>
          </c:extLst>
        </c:dLbl>
      </c:pivotFmt>
      <c:pivotFmt>
        <c:idx val="101"/>
        <c:dLbl>
          <c:idx val="0"/>
          <c:showLegendKey val="0"/>
          <c:showVal val="0"/>
          <c:showCatName val="0"/>
          <c:showSerName val="0"/>
          <c:showPercent val="1"/>
          <c:showBubbleSize val="0"/>
          <c:extLst>
            <c:ext xmlns:c15="http://schemas.microsoft.com/office/drawing/2012/chart" uri="{CE6537A1-D6FC-4f65-9D91-7224C49458BB}"/>
          </c:extLst>
        </c:dLbl>
      </c:pivotFmt>
      <c:pivotFmt>
        <c:idx val="102"/>
      </c:pivotFmt>
      <c:pivotFmt>
        <c:idx val="103"/>
      </c:pivotFmt>
      <c:pivotFmt>
        <c:idx val="104"/>
      </c:pivotFmt>
      <c:pivotFmt>
        <c:idx val="105"/>
      </c:pivotFmt>
      <c:pivotFmt>
        <c:idx val="106"/>
        <c:dLbl>
          <c:idx val="0"/>
          <c:showLegendKey val="0"/>
          <c:showVal val="0"/>
          <c:showCatName val="0"/>
          <c:showSerName val="0"/>
          <c:showPercent val="1"/>
          <c:showBubbleSize val="0"/>
          <c:extLst>
            <c:ext xmlns:c15="http://schemas.microsoft.com/office/drawing/2012/chart" uri="{CE6537A1-D6FC-4f65-9D91-7224C49458BB}"/>
          </c:extLst>
        </c:dLbl>
      </c:pivotFmt>
      <c:pivotFmt>
        <c:idx val="107"/>
      </c:pivotFmt>
      <c:pivotFmt>
        <c:idx val="108"/>
      </c:pivotFmt>
      <c:pivotFmt>
        <c:idx val="109"/>
      </c:pivotFmt>
      <c:pivotFmt>
        <c:idx val="110"/>
      </c:pivotFmt>
      <c:pivotFmt>
        <c:idx val="111"/>
        <c:spPr>
          <a:solidFill>
            <a:schemeClr val="accent1"/>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2"/>
        <c:spPr>
          <a:solidFill>
            <a:srgbClr val="9E4FD7"/>
          </a:solidFill>
          <a:ln w="19050">
            <a:solidFill>
              <a:schemeClr val="lt1"/>
            </a:solidFill>
          </a:ln>
          <a:effectLst/>
        </c:spPr>
        <c:dLbl>
          <c:idx val="0"/>
          <c:layout>
            <c:manualLayout>
              <c:x val="-0.2215029465852332"/>
              <c:y val="0.1742798311474181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3"/>
        <c:spPr>
          <a:solidFill>
            <a:schemeClr val="accent2"/>
          </a:solidFill>
          <a:ln w="19050">
            <a:solidFill>
              <a:schemeClr val="lt1"/>
            </a:solidFill>
          </a:ln>
          <a:effectLst/>
        </c:spPr>
        <c:dLbl>
          <c:idx val="0"/>
          <c:layout>
            <c:manualLayout>
              <c:x val="-0.20575552254336271"/>
              <c:y val="-0.156025458864887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4"/>
        <c:spPr>
          <a:solidFill>
            <a:schemeClr val="accent6"/>
          </a:solidFill>
          <a:ln w="19050">
            <a:solidFill>
              <a:schemeClr val="lt1"/>
            </a:solidFill>
          </a:ln>
          <a:effectLst/>
        </c:spPr>
        <c:dLbl>
          <c:idx val="0"/>
          <c:layout>
            <c:manualLayout>
              <c:x val="0.13376132640609326"/>
              <c:y val="-0.1672649304534177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5"/>
        <c:spPr>
          <a:solidFill>
            <a:schemeClr val="accent5"/>
          </a:solidFill>
          <a:ln w="19050">
            <a:solidFill>
              <a:schemeClr val="lt1"/>
            </a:solidFill>
          </a:ln>
          <a:effectLst/>
        </c:spPr>
        <c:dLbl>
          <c:idx val="0"/>
          <c:layout>
            <c:manualLayout>
              <c:x val="0.23757263854195046"/>
              <c:y val="0.1289753244681024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6"/>
        <c:dLbl>
          <c:idx val="0"/>
          <c:showLegendKey val="0"/>
          <c:showVal val="0"/>
          <c:showCatName val="0"/>
          <c:showSerName val="0"/>
          <c:showPercent val="1"/>
          <c:showBubbleSize val="0"/>
          <c:extLst>
            <c:ext xmlns:c15="http://schemas.microsoft.com/office/drawing/2012/chart" uri="{CE6537A1-D6FC-4f65-9D91-7224C49458BB}"/>
          </c:extLst>
        </c:dLbl>
      </c:pivotFmt>
      <c:pivotFmt>
        <c:idx val="117"/>
      </c:pivotFmt>
      <c:pivotFmt>
        <c:idx val="118"/>
      </c:pivotFmt>
      <c:pivotFmt>
        <c:idx val="119"/>
      </c:pivotFmt>
      <c:pivotFmt>
        <c:idx val="120"/>
      </c:pivotFmt>
      <c:pivotFmt>
        <c:idx val="121"/>
        <c:dLbl>
          <c:idx val="0"/>
          <c:showLegendKey val="0"/>
          <c:showVal val="0"/>
          <c:showCatName val="0"/>
          <c:showSerName val="0"/>
          <c:showPercent val="1"/>
          <c:showBubbleSize val="0"/>
          <c:extLst>
            <c:ext xmlns:c15="http://schemas.microsoft.com/office/drawing/2012/chart" uri="{CE6537A1-D6FC-4f65-9D91-7224C49458BB}"/>
          </c:extLst>
        </c:dLbl>
      </c:pivotFmt>
      <c:pivotFmt>
        <c:idx val="122"/>
      </c:pivotFmt>
      <c:pivotFmt>
        <c:idx val="123"/>
      </c:pivotFmt>
      <c:pivotFmt>
        <c:idx val="124"/>
      </c:pivotFmt>
      <c:pivotFmt>
        <c:idx val="125"/>
      </c:pivotFmt>
      <c:pivotFmt>
        <c:idx val="126"/>
        <c:dLbl>
          <c:idx val="0"/>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15327659448058698"/>
          <c:y val="0.1930228750786171"/>
          <c:w val="0.74532164394141931"/>
          <c:h val="0.74345709339305144"/>
        </c:manualLayout>
      </c:layout>
      <c:pieChart>
        <c:varyColors val="1"/>
        <c:ser>
          <c:idx val="0"/>
          <c:order val="0"/>
          <c:tx>
            <c:strRef>
              <c:f>Graphs!$P$27:$P$28</c:f>
              <c:strCache>
                <c:ptCount val="1"/>
                <c:pt idx="0">
                  <c:v>2009-10</c:v>
                </c:pt>
              </c:strCache>
            </c:strRef>
          </c:tx>
          <c:dPt>
            <c:idx val="0"/>
            <c:bubble3D val="0"/>
            <c:spPr>
              <a:solidFill>
                <a:srgbClr val="9E4FD7"/>
              </a:solidFill>
              <a:ln w="19050">
                <a:solidFill>
                  <a:schemeClr val="lt1"/>
                </a:solidFill>
              </a:ln>
              <a:effectLst/>
            </c:spPr>
            <c:extLst>
              <c:ext xmlns:c16="http://schemas.microsoft.com/office/drawing/2014/chart" uri="{C3380CC4-5D6E-409C-BE32-E72D297353CC}">
                <c16:uniqueId val="{00000059-3319-A442-A1FE-9B6140B3895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5B-3319-A442-A1FE-9B6140B38950}"/>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5D-3319-A442-A1FE-9B6140B38950}"/>
              </c:ext>
            </c:extLst>
          </c:dPt>
          <c:dPt>
            <c:idx val="3"/>
            <c:bubble3D val="0"/>
            <c:spPr>
              <a:solidFill>
                <a:schemeClr val="accent5"/>
              </a:solidFill>
              <a:ln w="19050">
                <a:solidFill>
                  <a:schemeClr val="lt1"/>
                </a:solidFill>
              </a:ln>
              <a:effectLst/>
            </c:spPr>
            <c:extLst>
              <c:ext xmlns:c16="http://schemas.microsoft.com/office/drawing/2014/chart" uri="{C3380CC4-5D6E-409C-BE32-E72D297353CC}">
                <c16:uniqueId val="{0000005F-3319-A442-A1FE-9B6140B38950}"/>
              </c:ext>
            </c:extLst>
          </c:dPt>
          <c:dLbls>
            <c:dLbl>
              <c:idx val="0"/>
              <c:layout>
                <c:manualLayout>
                  <c:x val="-0.2215029465852332"/>
                  <c:y val="0.1742798311474181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59-3319-A442-A1FE-9B6140B38950}"/>
                </c:ext>
              </c:extLst>
            </c:dLbl>
            <c:dLbl>
              <c:idx val="1"/>
              <c:layout>
                <c:manualLayout>
                  <c:x val="-0.20575552254336271"/>
                  <c:y val="-0.15602545886488717"/>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5B-3319-A442-A1FE-9B6140B38950}"/>
                </c:ext>
              </c:extLst>
            </c:dLbl>
            <c:dLbl>
              <c:idx val="2"/>
              <c:layout>
                <c:manualLayout>
                  <c:x val="0.13376132640609326"/>
                  <c:y val="-0.1672649304534177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5D-3319-A442-A1FE-9B6140B38950}"/>
                </c:ext>
              </c:extLst>
            </c:dLbl>
            <c:dLbl>
              <c:idx val="3"/>
              <c:layout>
                <c:manualLayout>
                  <c:x val="0.23757263854195046"/>
                  <c:y val="0.1289753244681024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5F-3319-A442-A1FE-9B6140B3895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Graphs!$O$29:$O$33</c:f>
              <c:strCache>
                <c:ptCount val="4"/>
                <c:pt idx="0">
                  <c:v>30 Rock</c:v>
                </c:pt>
                <c:pt idx="1">
                  <c:v>Community</c:v>
                </c:pt>
                <c:pt idx="2">
                  <c:v>Parks and Rec</c:v>
                </c:pt>
                <c:pt idx="3">
                  <c:v>The Office</c:v>
                </c:pt>
              </c:strCache>
            </c:strRef>
          </c:cat>
          <c:val>
            <c:numRef>
              <c:f>Graphs!$P$29:$P$33</c:f>
              <c:numCache>
                <c:formatCode>General</c:formatCode>
                <c:ptCount val="4"/>
                <c:pt idx="0">
                  <c:v>107.3</c:v>
                </c:pt>
                <c:pt idx="1">
                  <c:v>89.54</c:v>
                </c:pt>
                <c:pt idx="2">
                  <c:v>83.47</c:v>
                </c:pt>
                <c:pt idx="3">
                  <c:v>135.97000000000003</c:v>
                </c:pt>
              </c:numCache>
            </c:numRef>
          </c:val>
          <c:extLst>
            <c:ext xmlns:c16="http://schemas.microsoft.com/office/drawing/2014/chart" uri="{C3380CC4-5D6E-409C-BE32-E72D297353CC}">
              <c16:uniqueId val="{00000060-3319-A442-A1FE-9B6140B38950}"/>
            </c:ext>
          </c:extLst>
        </c:ser>
        <c:dLbls>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[NBC Thursday Night Line Up - Github.xlsm]Graphs!PivotTable15</c:name>
    <c:fmtId val="17"/>
  </c:pivotSource>
  <c:chart>
    <c:title>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rgbClr val="9E4FD7"/>
          </a:solidFill>
          <a:ln w="19050">
            <a:solidFill>
              <a:schemeClr val="lt1"/>
            </a:solidFill>
          </a:ln>
          <a:effectLst/>
        </c:spPr>
        <c:dLbl>
          <c:idx val="0"/>
          <c:layout>
            <c:manualLayout>
              <c:x val="-0.21660600096191326"/>
              <c:y val="0.21336049124926043"/>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6"/>
          </a:solidFill>
          <a:ln w="19050">
            <a:solidFill>
              <a:schemeClr val="lt1"/>
            </a:solidFill>
          </a:ln>
          <a:effectLst/>
        </c:spPr>
        <c:dLbl>
          <c:idx val="0"/>
          <c:layout>
            <c:manualLayout>
              <c:x val="3.1463291250604798E-2"/>
              <c:y val="-0.20350721784776904"/>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5"/>
          </a:solidFill>
          <a:ln w="19050">
            <a:solidFill>
              <a:schemeClr val="lt1"/>
            </a:solidFill>
          </a:ln>
          <a:effectLst/>
        </c:spPr>
        <c:dLbl>
          <c:idx val="0"/>
          <c:layout>
            <c:manualLayout>
              <c:x val="0.24591547825198354"/>
              <c:y val="0.13731201258653522"/>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accent2"/>
          </a:solidFill>
          <a:ln w="19050">
            <a:solidFill>
              <a:schemeClr val="lt1"/>
            </a:solidFill>
          </a:ln>
          <a:effectLst/>
        </c:spPr>
        <c:dLbl>
          <c:idx val="0"/>
          <c:layout>
            <c:manualLayout>
              <c:x val="-0.20138200066867426"/>
              <c:y val="-0.10369443481858757"/>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13456036745406824"/>
          <c:y val="0.18611111111111112"/>
          <c:w val="0.72624999999999995"/>
          <c:h val="0.73855932203389829"/>
        </c:manualLayout>
      </c:layout>
      <c:pieChart>
        <c:varyColors val="1"/>
        <c:ser>
          <c:idx val="0"/>
          <c:order val="0"/>
          <c:tx>
            <c:strRef>
              <c:f>Graphs!$P$38:$P$39</c:f>
              <c:strCache>
                <c:ptCount val="1"/>
                <c:pt idx="0">
                  <c:v>2010-11</c:v>
                </c:pt>
              </c:strCache>
            </c:strRef>
          </c:tx>
          <c:dPt>
            <c:idx val="0"/>
            <c:bubble3D val="0"/>
            <c:spPr>
              <a:solidFill>
                <a:srgbClr val="9E4FD7"/>
              </a:solidFill>
              <a:ln w="19050">
                <a:solidFill>
                  <a:schemeClr val="lt1"/>
                </a:solidFill>
              </a:ln>
              <a:effectLst/>
            </c:spPr>
            <c:extLst>
              <c:ext xmlns:c16="http://schemas.microsoft.com/office/drawing/2014/chart" uri="{C3380CC4-5D6E-409C-BE32-E72D297353CC}">
                <c16:uniqueId val="{00000002-D612-C746-B3B9-066D94CD9AA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5-D612-C746-B3B9-066D94CD9AA3}"/>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03-D612-C746-B3B9-066D94CD9AA3}"/>
              </c:ext>
            </c:extLst>
          </c:dPt>
          <c:dPt>
            <c:idx val="3"/>
            <c:bubble3D val="0"/>
            <c:spPr>
              <a:solidFill>
                <a:schemeClr val="accent5"/>
              </a:solidFill>
              <a:ln w="19050">
                <a:solidFill>
                  <a:schemeClr val="lt1"/>
                </a:solidFill>
              </a:ln>
              <a:effectLst/>
            </c:spPr>
            <c:extLst>
              <c:ext xmlns:c16="http://schemas.microsoft.com/office/drawing/2014/chart" uri="{C3380CC4-5D6E-409C-BE32-E72D297353CC}">
                <c16:uniqueId val="{00000004-D612-C746-B3B9-066D94CD9AA3}"/>
              </c:ext>
            </c:extLst>
          </c:dPt>
          <c:dLbls>
            <c:dLbl>
              <c:idx val="0"/>
              <c:layout>
                <c:manualLayout>
                  <c:x val="-0.21660600096191326"/>
                  <c:y val="0.21336049124926043"/>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D612-C746-B3B9-066D94CD9AA3}"/>
                </c:ext>
              </c:extLst>
            </c:dLbl>
            <c:dLbl>
              <c:idx val="1"/>
              <c:layout>
                <c:manualLayout>
                  <c:x val="-0.20138200066867426"/>
                  <c:y val="-0.10369443481858757"/>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D612-C746-B3B9-066D94CD9AA3}"/>
                </c:ext>
              </c:extLst>
            </c:dLbl>
            <c:dLbl>
              <c:idx val="2"/>
              <c:layout>
                <c:manualLayout>
                  <c:x val="3.1463291250604798E-2"/>
                  <c:y val="-0.20350721784776904"/>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D612-C746-B3B9-066D94CD9AA3}"/>
                </c:ext>
              </c:extLst>
            </c:dLbl>
            <c:dLbl>
              <c:idx val="3"/>
              <c:layout>
                <c:manualLayout>
                  <c:x val="0.24591547825198354"/>
                  <c:y val="0.13731201258653522"/>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4-D612-C746-B3B9-066D94CD9AA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Graphs!$O$40:$O$44</c:f>
              <c:strCache>
                <c:ptCount val="4"/>
                <c:pt idx="0">
                  <c:v>30 Rock</c:v>
                </c:pt>
                <c:pt idx="1">
                  <c:v>Community</c:v>
                </c:pt>
                <c:pt idx="2">
                  <c:v>Parks and Rec</c:v>
                </c:pt>
                <c:pt idx="3">
                  <c:v>The Office</c:v>
                </c:pt>
              </c:strCache>
            </c:strRef>
          </c:cat>
          <c:val>
            <c:numRef>
              <c:f>Graphs!$P$40:$P$44</c:f>
              <c:numCache>
                <c:formatCode>General</c:formatCode>
                <c:ptCount val="4"/>
                <c:pt idx="0">
                  <c:v>45.81</c:v>
                </c:pt>
                <c:pt idx="1">
                  <c:v>40.010000000000005</c:v>
                </c:pt>
                <c:pt idx="2">
                  <c:v>51.120000000000005</c:v>
                </c:pt>
                <c:pt idx="3">
                  <c:v>71.599999999999994</c:v>
                </c:pt>
              </c:numCache>
            </c:numRef>
          </c:val>
          <c:extLst>
            <c:ext xmlns:c16="http://schemas.microsoft.com/office/drawing/2014/chart" uri="{C3380CC4-5D6E-409C-BE32-E72D297353CC}">
              <c16:uniqueId val="{00000000-D612-C746-B3B9-066D94CD9AA3}"/>
            </c:ext>
          </c:extLst>
        </c:ser>
        <c:dLbls>
          <c:dLblPos val="inEnd"/>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[NBC Thursday Night Line Up - Github.xlsm]Graphs!PivotTable15</c:name>
    <c:fmtId val="20"/>
  </c:pivotSource>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5"/>
          </a:solidFill>
          <a:ln w="19050">
            <a:solidFill>
              <a:schemeClr val="lt1"/>
            </a:solidFill>
          </a:ln>
          <a:effectLst/>
        </c:spPr>
      </c:pivotFmt>
      <c:pivotFmt>
        <c:idx val="2"/>
        <c:spPr>
          <a:solidFill>
            <a:srgbClr val="9E4FD7"/>
          </a:solidFill>
          <a:ln w="19050">
            <a:solidFill>
              <a:schemeClr val="lt1"/>
            </a:solidFill>
          </a:ln>
          <a:effectLst/>
        </c:spPr>
      </c:pivotFmt>
      <c:pivotFmt>
        <c:idx val="3"/>
        <c:spPr>
          <a:solidFill>
            <a:schemeClr val="accent6"/>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dLbl>
      </c:pivotFmt>
    </c:pivotFmts>
    <c:plotArea>
      <c:layout/>
      <c:pieChart>
        <c:varyColors val="1"/>
        <c:ser>
          <c:idx val="0"/>
          <c:order val="0"/>
          <c:tx>
            <c:strRef>
              <c:f>Graphs!$P$38:$P$39</c:f>
              <c:strCache>
                <c:ptCount val="1"/>
                <c:pt idx="0">
                  <c:v>2010-11</c:v>
                </c:pt>
              </c:strCache>
            </c:strRef>
          </c:tx>
          <c:dPt>
            <c:idx val="0"/>
            <c:bubble3D val="0"/>
            <c:spPr>
              <a:solidFill>
                <a:srgbClr val="9E4FD7"/>
              </a:solidFill>
              <a:ln w="19050">
                <a:solidFill>
                  <a:schemeClr val="lt1"/>
                </a:solidFill>
              </a:ln>
              <a:effectLst/>
            </c:spPr>
            <c:extLst>
              <c:ext xmlns:c16="http://schemas.microsoft.com/office/drawing/2014/chart" uri="{C3380CC4-5D6E-409C-BE32-E72D297353CC}">
                <c16:uniqueId val="{00000003-0903-B941-A4A4-C393BDE4ED71}"/>
              </c:ext>
            </c:extLst>
          </c:dPt>
          <c:dPt>
            <c:idx val="1"/>
            <c:bubble3D val="0"/>
            <c:spPr>
              <a:solidFill>
                <a:schemeClr val="accent2"/>
              </a:solidFill>
              <a:ln w="19050">
                <a:solidFill>
                  <a:schemeClr val="lt1"/>
                </a:solidFill>
              </a:ln>
              <a:effectLst/>
            </c:spPr>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04-0903-B941-A4A4-C393BDE4ED71}"/>
              </c:ext>
            </c:extLst>
          </c:dPt>
          <c:dPt>
            <c:idx val="3"/>
            <c:bubble3D val="0"/>
            <c:spPr>
              <a:solidFill>
                <a:schemeClr val="accent5"/>
              </a:solidFill>
              <a:ln w="19050">
                <a:solidFill>
                  <a:schemeClr val="lt1"/>
                </a:solidFill>
              </a:ln>
              <a:effectLst/>
            </c:spPr>
            <c:extLst>
              <c:ext xmlns:c16="http://schemas.microsoft.com/office/drawing/2014/chart" uri="{C3380CC4-5D6E-409C-BE32-E72D297353CC}">
                <c16:uniqueId val="{00000002-0903-B941-A4A4-C393BDE4ED71}"/>
              </c:ext>
            </c:extLst>
          </c:dPt>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Graphs!$O$40:$O$44</c:f>
              <c:strCache>
                <c:ptCount val="4"/>
                <c:pt idx="0">
                  <c:v>30 Rock</c:v>
                </c:pt>
                <c:pt idx="1">
                  <c:v>Community</c:v>
                </c:pt>
                <c:pt idx="2">
                  <c:v>Parks and Rec</c:v>
                </c:pt>
                <c:pt idx="3">
                  <c:v>The Office</c:v>
                </c:pt>
              </c:strCache>
            </c:strRef>
          </c:cat>
          <c:val>
            <c:numRef>
              <c:f>Graphs!$P$40:$P$44</c:f>
              <c:numCache>
                <c:formatCode>General</c:formatCode>
                <c:ptCount val="4"/>
                <c:pt idx="0">
                  <c:v>45.81</c:v>
                </c:pt>
                <c:pt idx="1">
                  <c:v>40.010000000000005</c:v>
                </c:pt>
                <c:pt idx="2">
                  <c:v>51.120000000000005</c:v>
                </c:pt>
                <c:pt idx="3">
                  <c:v>71.599999999999994</c:v>
                </c:pt>
              </c:numCache>
            </c:numRef>
          </c:val>
          <c:extLst>
            <c:ext xmlns:c16="http://schemas.microsoft.com/office/drawing/2014/chart" uri="{C3380CC4-5D6E-409C-BE32-E72D297353CC}">
              <c16:uniqueId val="{00000000-0903-B941-A4A4-C393BDE4ED71}"/>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9.xml"/><Relationship Id="rId4" Type="http://schemas.openxmlformats.org/officeDocument/2006/relationships/chart" Target="../charts/chart4.xml"/><Relationship Id="rId9"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10</xdr:col>
      <xdr:colOff>118533</xdr:colOff>
      <xdr:row>11</xdr:row>
      <xdr:rowOff>50800</xdr:rowOff>
    </xdr:from>
    <xdr:to>
      <xdr:col>11</xdr:col>
      <xdr:colOff>287866</xdr:colOff>
      <xdr:row>11</xdr:row>
      <xdr:rowOff>50800</xdr:rowOff>
    </xdr:to>
    <xdr:cxnSp macro="">
      <xdr:nvCxnSpPr>
        <xdr:cNvPr id="3" name="Straight Arrow Connector 2">
          <a:extLst>
            <a:ext uri="{FF2B5EF4-FFF2-40B4-BE49-F238E27FC236}">
              <a16:creationId xmlns:a16="http://schemas.microsoft.com/office/drawing/2014/main" id="{BC667C4D-F607-6287-FC13-ACC6A900785A}"/>
            </a:ext>
          </a:extLst>
        </xdr:cNvPr>
        <xdr:cNvCxnSpPr/>
      </xdr:nvCxnSpPr>
      <xdr:spPr>
        <a:xfrm>
          <a:off x="9448800" y="2912533"/>
          <a:ext cx="524933" cy="0"/>
        </a:xfrm>
        <a:prstGeom prst="straightConnector1">
          <a:avLst/>
        </a:prstGeom>
        <a:ln w="3810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101599</xdr:colOff>
      <xdr:row>13</xdr:row>
      <xdr:rowOff>26504</xdr:rowOff>
    </xdr:from>
    <xdr:to>
      <xdr:col>11</xdr:col>
      <xdr:colOff>270932</xdr:colOff>
      <xdr:row>13</xdr:row>
      <xdr:rowOff>26504</xdr:rowOff>
    </xdr:to>
    <xdr:cxnSp macro="">
      <xdr:nvCxnSpPr>
        <xdr:cNvPr id="4" name="Straight Arrow Connector 3">
          <a:extLst>
            <a:ext uri="{FF2B5EF4-FFF2-40B4-BE49-F238E27FC236}">
              <a16:creationId xmlns:a16="http://schemas.microsoft.com/office/drawing/2014/main" id="{76B44219-4F47-B248-A1F7-4E3EE36F9267}"/>
            </a:ext>
          </a:extLst>
        </xdr:cNvPr>
        <xdr:cNvCxnSpPr/>
      </xdr:nvCxnSpPr>
      <xdr:spPr>
        <a:xfrm>
          <a:off x="9414932" y="3357953"/>
          <a:ext cx="519043" cy="0"/>
        </a:xfrm>
        <a:prstGeom prst="straightConnector1">
          <a:avLst/>
        </a:prstGeom>
        <a:ln w="3810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67732</xdr:colOff>
      <xdr:row>24</xdr:row>
      <xdr:rowOff>186266</xdr:rowOff>
    </xdr:from>
    <xdr:to>
      <xdr:col>11</xdr:col>
      <xdr:colOff>237065</xdr:colOff>
      <xdr:row>24</xdr:row>
      <xdr:rowOff>186266</xdr:rowOff>
    </xdr:to>
    <xdr:cxnSp macro="">
      <xdr:nvCxnSpPr>
        <xdr:cNvPr id="5" name="Straight Arrow Connector 4">
          <a:extLst>
            <a:ext uri="{FF2B5EF4-FFF2-40B4-BE49-F238E27FC236}">
              <a16:creationId xmlns:a16="http://schemas.microsoft.com/office/drawing/2014/main" id="{BAE9D518-BCA8-0744-97B8-8AC20FC4B42C}"/>
            </a:ext>
          </a:extLst>
        </xdr:cNvPr>
        <xdr:cNvCxnSpPr/>
      </xdr:nvCxnSpPr>
      <xdr:spPr>
        <a:xfrm>
          <a:off x="9397999" y="6214533"/>
          <a:ext cx="524933" cy="0"/>
        </a:xfrm>
        <a:prstGeom prst="straightConnector1">
          <a:avLst/>
        </a:prstGeom>
        <a:ln w="3810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86138</xdr:colOff>
      <xdr:row>47</xdr:row>
      <xdr:rowOff>143750</xdr:rowOff>
    </xdr:from>
    <xdr:to>
      <xdr:col>11</xdr:col>
      <xdr:colOff>255471</xdr:colOff>
      <xdr:row>47</xdr:row>
      <xdr:rowOff>143750</xdr:rowOff>
    </xdr:to>
    <xdr:cxnSp macro="">
      <xdr:nvCxnSpPr>
        <xdr:cNvPr id="6" name="Straight Arrow Connector 5">
          <a:extLst>
            <a:ext uri="{FF2B5EF4-FFF2-40B4-BE49-F238E27FC236}">
              <a16:creationId xmlns:a16="http://schemas.microsoft.com/office/drawing/2014/main" id="{ADF0E5E0-454D-9145-B585-E61D882DFCF9}"/>
            </a:ext>
          </a:extLst>
        </xdr:cNvPr>
        <xdr:cNvCxnSpPr/>
      </xdr:nvCxnSpPr>
      <xdr:spPr>
        <a:xfrm>
          <a:off x="9399471" y="11168822"/>
          <a:ext cx="519043" cy="0"/>
        </a:xfrm>
        <a:prstGeom prst="straightConnector1">
          <a:avLst/>
        </a:prstGeom>
        <a:ln w="3810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67732</xdr:colOff>
      <xdr:row>30</xdr:row>
      <xdr:rowOff>135467</xdr:rowOff>
    </xdr:from>
    <xdr:to>
      <xdr:col>11</xdr:col>
      <xdr:colOff>237065</xdr:colOff>
      <xdr:row>30</xdr:row>
      <xdr:rowOff>135467</xdr:rowOff>
    </xdr:to>
    <xdr:cxnSp macro="">
      <xdr:nvCxnSpPr>
        <xdr:cNvPr id="7" name="Straight Arrow Connector 6">
          <a:extLst>
            <a:ext uri="{FF2B5EF4-FFF2-40B4-BE49-F238E27FC236}">
              <a16:creationId xmlns:a16="http://schemas.microsoft.com/office/drawing/2014/main" id="{1C4A1857-1E7C-2D45-931F-38C59D0E8168}"/>
            </a:ext>
          </a:extLst>
        </xdr:cNvPr>
        <xdr:cNvCxnSpPr/>
      </xdr:nvCxnSpPr>
      <xdr:spPr>
        <a:xfrm>
          <a:off x="9397999" y="7704667"/>
          <a:ext cx="524933" cy="0"/>
        </a:xfrm>
        <a:prstGeom prst="straightConnector1">
          <a:avLst/>
        </a:prstGeom>
        <a:ln w="3810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387389</xdr:colOff>
      <xdr:row>28</xdr:row>
      <xdr:rowOff>3</xdr:rowOff>
    </xdr:from>
    <xdr:to>
      <xdr:col>9</xdr:col>
      <xdr:colOff>975359</xdr:colOff>
      <xdr:row>35</xdr:row>
      <xdr:rowOff>209090</xdr:rowOff>
    </xdr:to>
    <xdr:pic>
      <xdr:nvPicPr>
        <xdr:cNvPr id="8" name="Picture 7">
          <a:extLst>
            <a:ext uri="{FF2B5EF4-FFF2-40B4-BE49-F238E27FC236}">
              <a16:creationId xmlns:a16="http://schemas.microsoft.com/office/drawing/2014/main" id="{8C6E0EF5-E5CD-49E3-8AC9-F52BC0E97931}"/>
            </a:ext>
          </a:extLst>
        </xdr:cNvPr>
        <xdr:cNvPicPr>
          <a:picLocks noChangeAspect="1"/>
        </xdr:cNvPicPr>
      </xdr:nvPicPr>
      <xdr:blipFill>
        <a:blip xmlns:r="http://schemas.openxmlformats.org/officeDocument/2006/relationships" r:embed="rId1"/>
        <a:stretch>
          <a:fillRect/>
        </a:stretch>
      </xdr:blipFill>
      <xdr:spPr>
        <a:xfrm>
          <a:off x="2774989" y="7078136"/>
          <a:ext cx="6396103" cy="1811865"/>
        </a:xfrm>
        <a:prstGeom prst="rect">
          <a:avLst/>
        </a:prstGeom>
      </xdr:spPr>
    </xdr:pic>
    <xdr:clientData/>
  </xdr:twoCellAnchor>
  <xdr:twoCellAnchor editAs="oneCell">
    <xdr:from>
      <xdr:col>2</xdr:col>
      <xdr:colOff>376733</xdr:colOff>
      <xdr:row>48</xdr:row>
      <xdr:rowOff>81905</xdr:rowOff>
    </xdr:from>
    <xdr:to>
      <xdr:col>6</xdr:col>
      <xdr:colOff>155914</xdr:colOff>
      <xdr:row>56</xdr:row>
      <xdr:rowOff>135284</xdr:rowOff>
    </xdr:to>
    <xdr:pic>
      <xdr:nvPicPr>
        <xdr:cNvPr id="9" name="Picture 8">
          <a:extLst>
            <a:ext uri="{FF2B5EF4-FFF2-40B4-BE49-F238E27FC236}">
              <a16:creationId xmlns:a16="http://schemas.microsoft.com/office/drawing/2014/main" id="{ECC52283-1BB9-B62C-FCDC-7947151DBD51}"/>
            </a:ext>
          </a:extLst>
        </xdr:cNvPr>
        <xdr:cNvPicPr>
          <a:picLocks noChangeAspect="1"/>
        </xdr:cNvPicPr>
      </xdr:nvPicPr>
      <xdr:blipFill>
        <a:blip xmlns:r="http://schemas.openxmlformats.org/officeDocument/2006/relationships" r:embed="rId2"/>
        <a:stretch>
          <a:fillRect/>
        </a:stretch>
      </xdr:blipFill>
      <xdr:spPr>
        <a:xfrm>
          <a:off x="2769487" y="11291035"/>
          <a:ext cx="3092224" cy="1765118"/>
        </a:xfrm>
        <a:prstGeom prst="rect">
          <a:avLst/>
        </a:prstGeom>
      </xdr:spPr>
    </xdr:pic>
    <xdr:clientData/>
  </xdr:twoCellAnchor>
  <xdr:twoCellAnchor editAs="oneCell">
    <xdr:from>
      <xdr:col>2</xdr:col>
      <xdr:colOff>345109</xdr:colOff>
      <xdr:row>37</xdr:row>
      <xdr:rowOff>126999</xdr:rowOff>
    </xdr:from>
    <xdr:to>
      <xdr:col>9</xdr:col>
      <xdr:colOff>776909</xdr:colOff>
      <xdr:row>47</xdr:row>
      <xdr:rowOff>146583</xdr:rowOff>
    </xdr:to>
    <xdr:pic>
      <xdr:nvPicPr>
        <xdr:cNvPr id="11" name="Picture 10">
          <a:extLst>
            <a:ext uri="{FF2B5EF4-FFF2-40B4-BE49-F238E27FC236}">
              <a16:creationId xmlns:a16="http://schemas.microsoft.com/office/drawing/2014/main" id="{70ED1E6C-03AA-0069-1A1C-64CBD99CC600}"/>
            </a:ext>
          </a:extLst>
        </xdr:cNvPr>
        <xdr:cNvPicPr>
          <a:picLocks noChangeAspect="1"/>
        </xdr:cNvPicPr>
      </xdr:nvPicPr>
      <xdr:blipFill>
        <a:blip xmlns:r="http://schemas.openxmlformats.org/officeDocument/2006/relationships" r:embed="rId3"/>
        <a:stretch>
          <a:fillRect/>
        </a:stretch>
      </xdr:blipFill>
      <xdr:spPr>
        <a:xfrm>
          <a:off x="2737863" y="9109028"/>
          <a:ext cx="6229626" cy="2117844"/>
        </a:xfrm>
        <a:prstGeom prst="rect">
          <a:avLst/>
        </a:prstGeom>
      </xdr:spPr>
    </xdr:pic>
    <xdr:clientData/>
  </xdr:twoCellAnchor>
  <xdr:twoCellAnchor editAs="oneCell">
    <xdr:from>
      <xdr:col>6</xdr:col>
      <xdr:colOff>346642</xdr:colOff>
      <xdr:row>48</xdr:row>
      <xdr:rowOff>39573</xdr:rowOff>
    </xdr:from>
    <xdr:to>
      <xdr:col>9</xdr:col>
      <xdr:colOff>1016935</xdr:colOff>
      <xdr:row>56</xdr:row>
      <xdr:rowOff>73624</xdr:rowOff>
    </xdr:to>
    <xdr:pic>
      <xdr:nvPicPr>
        <xdr:cNvPr id="12" name="Picture 11">
          <a:extLst>
            <a:ext uri="{FF2B5EF4-FFF2-40B4-BE49-F238E27FC236}">
              <a16:creationId xmlns:a16="http://schemas.microsoft.com/office/drawing/2014/main" id="{7D8CD9B4-4E16-A4BA-B74A-AE8BC4F342FC}"/>
            </a:ext>
          </a:extLst>
        </xdr:cNvPr>
        <xdr:cNvPicPr>
          <a:picLocks noChangeAspect="1"/>
        </xdr:cNvPicPr>
      </xdr:nvPicPr>
      <xdr:blipFill>
        <a:blip xmlns:r="http://schemas.openxmlformats.org/officeDocument/2006/relationships" r:embed="rId4"/>
        <a:stretch>
          <a:fillRect/>
        </a:stretch>
      </xdr:blipFill>
      <xdr:spPr>
        <a:xfrm>
          <a:off x="6052439" y="11248703"/>
          <a:ext cx="3155076" cy="174579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16</xdr:col>
      <xdr:colOff>373529</xdr:colOff>
      <xdr:row>6</xdr:row>
      <xdr:rowOff>54955</xdr:rowOff>
    </xdr:from>
    <xdr:to>
      <xdr:col>19</xdr:col>
      <xdr:colOff>37353</xdr:colOff>
      <xdr:row>6</xdr:row>
      <xdr:rowOff>760089</xdr:rowOff>
    </xdr:to>
    <xdr:sp macro="[0]!GenerateColorGradient" textlink="">
      <xdr:nvSpPr>
        <xdr:cNvPr id="2" name="Rounded Rectangle 1">
          <a:extLst>
            <a:ext uri="{FF2B5EF4-FFF2-40B4-BE49-F238E27FC236}">
              <a16:creationId xmlns:a16="http://schemas.microsoft.com/office/drawing/2014/main" id="{DA3F814F-3D68-D815-EE08-2C968CE6F448}"/>
            </a:ext>
          </a:extLst>
        </xdr:cNvPr>
        <xdr:cNvSpPr/>
      </xdr:nvSpPr>
      <xdr:spPr>
        <a:xfrm>
          <a:off x="8852647" y="3173926"/>
          <a:ext cx="2166471" cy="705134"/>
        </a:xfrm>
        <a:prstGeom prst="roundRect">
          <a:avLst>
            <a:gd name="adj" fmla="val 3952"/>
          </a:avLst>
        </a:prstGeom>
        <a:gradFill flip="none" rotWithShape="1">
          <a:gsLst>
            <a:gs pos="32000">
              <a:schemeClr val="accent4">
                <a:lumMod val="40000"/>
                <a:lumOff val="60000"/>
              </a:schemeClr>
            </a:gs>
            <a:gs pos="0">
              <a:srgbClr val="FF5857"/>
            </a:gs>
            <a:gs pos="93000">
              <a:schemeClr val="accent6">
                <a:lumMod val="40000"/>
                <a:lumOff val="60000"/>
              </a:schemeClr>
            </a:gs>
          </a:gsLst>
          <a:lin ang="0" scaled="0"/>
          <a:tileRect/>
        </a:gradFill>
        <a:ln>
          <a:solidFill>
            <a:schemeClr val="bg1">
              <a:lumMod val="50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400" b="0">
              <a:solidFill>
                <a:schemeClr val="tx1"/>
              </a:solidFill>
              <a:effectLst>
                <a:outerShdw blurRad="50800" dist="38100" dir="2700000" algn="tl" rotWithShape="0">
                  <a:prstClr val="black">
                    <a:alpha val="40000"/>
                  </a:prstClr>
                </a:outerShdw>
              </a:effectLst>
            </a:rPr>
            <a:t>Generate Gradient</a:t>
          </a:r>
        </a:p>
      </xdr:txBody>
    </xdr:sp>
    <xdr:clientData/>
  </xdr:twoCellAnchor>
  <xdr:twoCellAnchor>
    <xdr:from>
      <xdr:col>19</xdr:col>
      <xdr:colOff>784411</xdr:colOff>
      <xdr:row>6</xdr:row>
      <xdr:rowOff>74704</xdr:rowOff>
    </xdr:from>
    <xdr:to>
      <xdr:col>22</xdr:col>
      <xdr:colOff>709706</xdr:colOff>
      <xdr:row>6</xdr:row>
      <xdr:rowOff>747057</xdr:rowOff>
    </xdr:to>
    <xdr:sp macro="[0]!ApplyEpisodeColors" textlink="">
      <xdr:nvSpPr>
        <xdr:cNvPr id="3" name="Rounded Rectangle 2">
          <a:extLst>
            <a:ext uri="{FF2B5EF4-FFF2-40B4-BE49-F238E27FC236}">
              <a16:creationId xmlns:a16="http://schemas.microsoft.com/office/drawing/2014/main" id="{EF47DBC1-5163-974E-B3DE-5B52DEC4A337}"/>
            </a:ext>
          </a:extLst>
        </xdr:cNvPr>
        <xdr:cNvSpPr/>
      </xdr:nvSpPr>
      <xdr:spPr>
        <a:xfrm>
          <a:off x="11766176" y="2745439"/>
          <a:ext cx="2390589" cy="672353"/>
        </a:xfrm>
        <a:prstGeom prst="roundRect">
          <a:avLst>
            <a:gd name="adj" fmla="val 3952"/>
          </a:avLst>
        </a:prstGeom>
        <a:gradFill flip="none" rotWithShape="1">
          <a:gsLst>
            <a:gs pos="95000">
              <a:srgbClr val="CFBAFB"/>
            </a:gs>
            <a:gs pos="45000">
              <a:schemeClr val="accent5">
                <a:lumMod val="40000"/>
                <a:lumOff val="60000"/>
              </a:schemeClr>
            </a:gs>
            <a:gs pos="3000">
              <a:schemeClr val="accent6">
                <a:lumMod val="40000"/>
                <a:lumOff val="60000"/>
              </a:schemeClr>
            </a:gs>
          </a:gsLst>
          <a:lin ang="0" scaled="0"/>
          <a:tileRect/>
        </a:gradFill>
        <a:ln>
          <a:solidFill>
            <a:schemeClr val="bg1">
              <a:lumMod val="50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400" b="0">
              <a:solidFill>
                <a:schemeClr val="tx1"/>
              </a:solidFill>
              <a:effectLst>
                <a:outerShdw blurRad="50800" dist="38100" dir="2700000" algn="tl" rotWithShape="0">
                  <a:prstClr val="black">
                    <a:alpha val="40000"/>
                  </a:prstClr>
                </a:outerShdw>
              </a:effectLst>
            </a:rPr>
            <a:t>Apply to Episode</a:t>
          </a:r>
          <a:r>
            <a:rPr lang="en-US" sz="1400" b="0" baseline="0">
              <a:solidFill>
                <a:schemeClr val="tx1"/>
              </a:solidFill>
              <a:effectLst>
                <a:outerShdw blurRad="50800" dist="38100" dir="2700000" algn="tl" rotWithShape="0">
                  <a:prstClr val="black">
                    <a:alpha val="40000"/>
                  </a:prstClr>
                </a:outerShdw>
              </a:effectLst>
            </a:rPr>
            <a:t> List</a:t>
          </a:r>
          <a:endParaRPr lang="en-US" sz="1400" b="0">
            <a:solidFill>
              <a:schemeClr val="tx1"/>
            </a:solidFill>
            <a:effectLst>
              <a:outerShdw blurRad="50800" dist="38100" dir="2700000" algn="tl" rotWithShape="0">
                <a:prstClr val="black">
                  <a:alpha val="40000"/>
                </a:prstClr>
              </a:outerShdw>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408693</xdr:colOff>
      <xdr:row>3</xdr:row>
      <xdr:rowOff>155965</xdr:rowOff>
    </xdr:from>
    <xdr:to>
      <xdr:col>6</xdr:col>
      <xdr:colOff>673253</xdr:colOff>
      <xdr:row>3</xdr:row>
      <xdr:rowOff>4567544</xdr:rowOff>
    </xdr:to>
    <xdr:graphicFrame macro="">
      <xdr:nvGraphicFramePr>
        <xdr:cNvPr id="2" name="Chart 1">
          <a:extLst>
            <a:ext uri="{FF2B5EF4-FFF2-40B4-BE49-F238E27FC236}">
              <a16:creationId xmlns:a16="http://schemas.microsoft.com/office/drawing/2014/main" id="{FE146873-EADD-B716-56F9-EBD73365CE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115189</xdr:colOff>
      <xdr:row>6</xdr:row>
      <xdr:rowOff>275678</xdr:rowOff>
    </xdr:from>
    <xdr:to>
      <xdr:col>12</xdr:col>
      <xdr:colOff>745956</xdr:colOff>
      <xdr:row>6</xdr:row>
      <xdr:rowOff>4899703</xdr:rowOff>
    </xdr:to>
    <xdr:graphicFrame macro="">
      <xdr:nvGraphicFramePr>
        <xdr:cNvPr id="5" name="Chart 4">
          <a:extLst>
            <a:ext uri="{FF2B5EF4-FFF2-40B4-BE49-F238E27FC236}">
              <a16:creationId xmlns:a16="http://schemas.microsoft.com/office/drawing/2014/main" id="{D12EB06E-DA75-5F29-D960-1B24006E26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311930</xdr:colOff>
      <xdr:row>3</xdr:row>
      <xdr:rowOff>155965</xdr:rowOff>
    </xdr:from>
    <xdr:to>
      <xdr:col>12</xdr:col>
      <xdr:colOff>601579</xdr:colOff>
      <xdr:row>3</xdr:row>
      <xdr:rowOff>4701228</xdr:rowOff>
    </xdr:to>
    <xdr:graphicFrame macro="">
      <xdr:nvGraphicFramePr>
        <xdr:cNvPr id="6" name="Chart 5">
          <a:extLst>
            <a:ext uri="{FF2B5EF4-FFF2-40B4-BE49-F238E27FC236}">
              <a16:creationId xmlns:a16="http://schemas.microsoft.com/office/drawing/2014/main" id="{B40A3D12-70D7-9C29-3024-0F0F02BEF7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539764</xdr:colOff>
      <xdr:row>6</xdr:row>
      <xdr:rowOff>46749</xdr:rowOff>
    </xdr:from>
    <xdr:to>
      <xdr:col>33</xdr:col>
      <xdr:colOff>647364</xdr:colOff>
      <xdr:row>6</xdr:row>
      <xdr:rowOff>4793507</xdr:rowOff>
    </xdr:to>
    <xdr:graphicFrame macro="">
      <xdr:nvGraphicFramePr>
        <xdr:cNvPr id="7" name="Chart 6">
          <a:extLst>
            <a:ext uri="{FF2B5EF4-FFF2-40B4-BE49-F238E27FC236}">
              <a16:creationId xmlns:a16="http://schemas.microsoft.com/office/drawing/2014/main" id="{D40CC1A4-877F-74C5-2439-3F2792D92D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58761</xdr:colOff>
      <xdr:row>3</xdr:row>
      <xdr:rowOff>285759</xdr:rowOff>
    </xdr:from>
    <xdr:to>
      <xdr:col>33</xdr:col>
      <xdr:colOff>394823</xdr:colOff>
      <xdr:row>3</xdr:row>
      <xdr:rowOff>4698321</xdr:rowOff>
    </xdr:to>
    <xdr:graphicFrame macro="">
      <xdr:nvGraphicFramePr>
        <xdr:cNvPr id="8" name="Chart 7">
          <a:extLst>
            <a:ext uri="{FF2B5EF4-FFF2-40B4-BE49-F238E27FC236}">
              <a16:creationId xmlns:a16="http://schemas.microsoft.com/office/drawing/2014/main" id="{EE542A97-FD48-DB4C-9FF3-FFF3F4B1D1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220516</xdr:colOff>
      <xdr:row>6</xdr:row>
      <xdr:rowOff>203200</xdr:rowOff>
    </xdr:from>
    <xdr:to>
      <xdr:col>22</xdr:col>
      <xdr:colOff>304800</xdr:colOff>
      <xdr:row>6</xdr:row>
      <xdr:rowOff>5011884</xdr:rowOff>
    </xdr:to>
    <xdr:graphicFrame macro="">
      <xdr:nvGraphicFramePr>
        <xdr:cNvPr id="9" name="Chart 8">
          <a:extLst>
            <a:ext uri="{FF2B5EF4-FFF2-40B4-BE49-F238E27FC236}">
              <a16:creationId xmlns:a16="http://schemas.microsoft.com/office/drawing/2014/main" id="{30B9201C-AA7A-EA40-B0A5-31464C691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253360</xdr:colOff>
      <xdr:row>3</xdr:row>
      <xdr:rowOff>711200</xdr:rowOff>
    </xdr:from>
    <xdr:to>
      <xdr:col>15</xdr:col>
      <xdr:colOff>965200</xdr:colOff>
      <xdr:row>3</xdr:row>
      <xdr:rowOff>3410994</xdr:rowOff>
    </xdr:to>
    <xdr:graphicFrame macro="">
      <xdr:nvGraphicFramePr>
        <xdr:cNvPr id="10" name="Chart 9">
          <a:extLst>
            <a:ext uri="{FF2B5EF4-FFF2-40B4-BE49-F238E27FC236}">
              <a16:creationId xmlns:a16="http://schemas.microsoft.com/office/drawing/2014/main" id="{C432D661-3AA4-8D82-F56F-B42FAE05EB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22</xdr:col>
      <xdr:colOff>426203</xdr:colOff>
      <xdr:row>3</xdr:row>
      <xdr:rowOff>1351223</xdr:rowOff>
    </xdr:from>
    <xdr:to>
      <xdr:col>24</xdr:col>
      <xdr:colOff>474133</xdr:colOff>
      <xdr:row>3</xdr:row>
      <xdr:rowOff>2695583</xdr:rowOff>
    </xdr:to>
    <xdr:pic>
      <xdr:nvPicPr>
        <xdr:cNvPr id="12" name="Picture 11">
          <a:extLst>
            <a:ext uri="{FF2B5EF4-FFF2-40B4-BE49-F238E27FC236}">
              <a16:creationId xmlns:a16="http://schemas.microsoft.com/office/drawing/2014/main" id="{563022FB-79BA-0DDA-4F9A-EB51E2202759}"/>
            </a:ext>
          </a:extLst>
        </xdr:cNvPr>
        <xdr:cNvPicPr>
          <a:picLocks noChangeAspect="1"/>
        </xdr:cNvPicPr>
      </xdr:nvPicPr>
      <xdr:blipFill>
        <a:blip xmlns:r="http://schemas.openxmlformats.org/officeDocument/2006/relationships" r:embed="rId8"/>
        <a:stretch>
          <a:fillRect/>
        </a:stretch>
      </xdr:blipFill>
      <xdr:spPr>
        <a:xfrm>
          <a:off x="24879084" y="1932409"/>
          <a:ext cx="1490134" cy="1344360"/>
        </a:xfrm>
        <a:prstGeom prst="rect">
          <a:avLst/>
        </a:prstGeom>
      </xdr:spPr>
    </xdr:pic>
    <xdr:clientData/>
  </xdr:twoCellAnchor>
  <xdr:twoCellAnchor>
    <xdr:from>
      <xdr:col>15</xdr:col>
      <xdr:colOff>1066799</xdr:colOff>
      <xdr:row>3</xdr:row>
      <xdr:rowOff>716720</xdr:rowOff>
    </xdr:from>
    <xdr:to>
      <xdr:col>19</xdr:col>
      <xdr:colOff>330199</xdr:colOff>
      <xdr:row>3</xdr:row>
      <xdr:rowOff>3414200</xdr:rowOff>
    </xdr:to>
    <xdr:graphicFrame macro="">
      <xdr:nvGraphicFramePr>
        <xdr:cNvPr id="16" name="Chart 15">
          <a:extLst>
            <a:ext uri="{FF2B5EF4-FFF2-40B4-BE49-F238E27FC236}">
              <a16:creationId xmlns:a16="http://schemas.microsoft.com/office/drawing/2014/main" id="{CBA521C9-D462-5E5A-D2F1-B650450913B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19</xdr:col>
      <xdr:colOff>414866</xdr:colOff>
      <xdr:row>3</xdr:row>
      <xdr:rowOff>708255</xdr:rowOff>
    </xdr:from>
    <xdr:to>
      <xdr:col>22</xdr:col>
      <xdr:colOff>115146</xdr:colOff>
      <xdr:row>3</xdr:row>
      <xdr:rowOff>3405735</xdr:rowOff>
    </xdr:to>
    <xdr:graphicFrame macro="">
      <xdr:nvGraphicFramePr>
        <xdr:cNvPr id="17" name="Chart 16">
          <a:extLst>
            <a:ext uri="{FF2B5EF4-FFF2-40B4-BE49-F238E27FC236}">
              <a16:creationId xmlns:a16="http://schemas.microsoft.com/office/drawing/2014/main" id="{0B19B652-B797-454E-2E5E-382AD6459F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a Burdick" refreshedDate="45709.465478356484" createdVersion="8" refreshedVersion="8" minRefreshableVersion="3" recordCount="574" xr:uid="{7CDF756C-77B2-DD47-8A06-3821F0A1525C}">
  <cacheSource type="worksheet">
    <worksheetSource name="EpisodeList"/>
  </cacheSource>
  <cacheFields count="20">
    <cacheField name="Show" numFmtId="0">
      <sharedItems count="4">
        <s v="The Office"/>
        <s v="30 Rock"/>
        <s v="Parks and Rec"/>
        <s v="Community"/>
      </sharedItems>
    </cacheField>
    <cacheField name="Season" numFmtId="0">
      <sharedItems count="9">
        <s v="Season 1"/>
        <s v="Season 2"/>
        <s v="Season 3"/>
        <s v="Season 4"/>
        <s v="Season 5"/>
        <s v="Season 6"/>
        <s v="Season 7"/>
        <s v="Season 8"/>
        <s v="Season 9"/>
      </sharedItems>
    </cacheField>
    <cacheField name="Season Number" numFmtId="0">
      <sharedItems containsSemiMixedTypes="0" containsString="0" containsNumber="1" containsInteger="1" minValue="1" maxValue="9"/>
    </cacheField>
    <cacheField name="Season Title" numFmtId="0">
      <sharedItems/>
    </cacheField>
    <cacheField name="No.overall" numFmtId="0">
      <sharedItems containsSemiMixedTypes="0" containsString="0" containsNumber="1" containsInteger="1" minValue="1" maxValue="201"/>
    </cacheField>
    <cacheField name="No. inseason" numFmtId="0">
      <sharedItems containsSemiMixedTypes="0" containsString="0" containsNumber="1" containsInteger="1" minValue="1" maxValue="28" count="28">
        <n v="1"/>
        <n v="2"/>
        <n v="3"/>
        <n v="4"/>
        <n v="5"/>
        <n v="6"/>
        <n v="7"/>
        <n v="8"/>
        <n v="9"/>
        <n v="10"/>
        <n v="11"/>
        <n v="12"/>
        <n v="13"/>
        <n v="14"/>
        <n v="15"/>
        <n v="16"/>
        <n v="17"/>
        <n v="18"/>
        <n v="19"/>
        <n v="20"/>
        <n v="21"/>
        <n v="22"/>
        <n v="23"/>
        <n v="24"/>
        <n v="25"/>
        <n v="26"/>
        <n v="27"/>
        <n v="28"/>
      </sharedItems>
    </cacheField>
    <cacheField name="Title" numFmtId="0">
      <sharedItems/>
    </cacheField>
    <cacheField name="Directed by" numFmtId="0">
      <sharedItems/>
    </cacheField>
    <cacheField name="Written by" numFmtId="0">
      <sharedItems/>
    </cacheField>
    <cacheField name="Originally Aired" numFmtId="0">
      <sharedItems containsSemiMixedTypes="0" containsNonDate="0" containsDate="1" containsString="0" minDate="2005-03-24T00:00:00" maxDate="2015-06-03T00:00:00" count="250">
        <d v="2005-03-24T00:00:00"/>
        <d v="2005-03-29T00:00:00"/>
        <d v="2005-04-05T00:00:00"/>
        <d v="2005-04-12T00:00:00"/>
        <d v="2005-04-19T00:00:00"/>
        <d v="2005-04-26T00:00:00"/>
        <d v="2005-09-20T00:00:00"/>
        <d v="2005-09-27T00:00:00"/>
        <d v="2005-10-04T00:00:00"/>
        <d v="2005-10-11T00:00:00"/>
        <d v="2005-10-18T00:00:00"/>
        <d v="2005-11-01T00:00:00"/>
        <d v="2005-11-08T00:00:00"/>
        <d v="2005-11-15T00:00:00"/>
        <d v="2005-11-22T00:00:00"/>
        <d v="2005-12-06T00:00:00"/>
        <d v="2006-01-05T00:00:00"/>
        <d v="2006-01-12T00:00:00"/>
        <d v="2006-01-19T00:00:00"/>
        <d v="2006-01-26T00:00:00"/>
        <d v="2006-02-02T00:00:00"/>
        <d v="2006-02-09T00:00:00"/>
        <d v="2006-03-02T00:00:00"/>
        <d v="2006-03-16T00:00:00"/>
        <d v="2006-03-30T00:00:00"/>
        <d v="2006-04-27T00:00:00"/>
        <d v="2006-05-04T00:00:00"/>
        <d v="2006-05-11T00:00:00"/>
        <d v="2006-09-21T00:00:00"/>
        <d v="2006-09-28T00:00:00"/>
        <d v="2006-10-05T00:00:00"/>
        <d v="2006-10-11T00:00:00"/>
        <d v="2006-10-12T00:00:00"/>
        <d v="2006-10-18T00:00:00"/>
        <d v="2006-10-19T00:00:00"/>
        <d v="2006-10-25T00:00:00"/>
        <d v="2006-11-01T00:00:00"/>
        <d v="2006-11-02T00:00:00"/>
        <d v="2006-11-09T00:00:00"/>
        <d v="2006-11-16T00:00:00"/>
        <d v="2006-11-30T00:00:00"/>
        <d v="2006-12-07T00:00:00"/>
        <d v="2006-12-14T00:00:00"/>
        <d v="2007-01-04T00:00:00"/>
        <d v="2007-01-11T00:00:00"/>
        <d v="2007-01-18T00:00:00"/>
        <d v="2007-02-01T00:00:00"/>
        <d v="2007-02-08T00:00:00"/>
        <d v="2007-02-15T00:00:00"/>
        <d v="2007-02-22T00:00:00"/>
        <d v="2007-03-01T00:00:00"/>
        <d v="2007-03-08T00:00:00"/>
        <d v="2007-04-05T00:00:00"/>
        <d v="2007-04-12T00:00:00"/>
        <d v="2007-04-19T00:00:00"/>
        <d v="2007-04-26T00:00:00"/>
        <d v="2007-05-03T00:00:00"/>
        <d v="2007-05-10T00:00:00"/>
        <d v="2007-05-17T00:00:00"/>
        <d v="2007-09-27T00:00:00"/>
        <d v="2007-10-04T00:00:00"/>
        <d v="2007-10-11T00:00:00"/>
        <d v="2007-10-18T00:00:00"/>
        <d v="2007-10-25T00:00:00"/>
        <d v="2007-11-01T00:00:00"/>
        <d v="2007-11-08T00:00:00"/>
        <d v="2007-11-15T00:00:00"/>
        <d v="2007-11-29T00:00:00"/>
        <d v="2007-12-06T00:00:00"/>
        <d v="2007-12-13T00:00:00"/>
        <d v="2008-01-10T00:00:00"/>
        <d v="2008-04-10T00:00:00"/>
        <d v="2008-04-17T00:00:00"/>
        <d v="2008-04-24T00:00:00"/>
        <d v="2008-05-01T00:00:00"/>
        <d v="2008-05-08T00:00:00"/>
        <d v="2008-05-15T00:00:00"/>
        <d v="2008-09-25T00:00:00"/>
        <d v="2008-10-09T00:00:00"/>
        <d v="2008-10-16T00:00:00"/>
        <d v="2008-10-23T00:00:00"/>
        <d v="2008-10-30T00:00:00"/>
        <d v="2008-11-06T00:00:00"/>
        <d v="2008-11-13T00:00:00"/>
        <d v="2008-11-20T00:00:00"/>
        <d v="2008-12-04T00:00:00"/>
        <d v="2008-12-11T00:00:00"/>
        <d v="2009-01-08T00:00:00"/>
        <d v="2009-01-15T00:00:00"/>
        <d v="2009-01-22T00:00:00"/>
        <d v="2009-02-01T00:00:00"/>
        <d v="2009-02-05T00:00:00"/>
        <d v="2009-02-12T00:00:00"/>
        <d v="2009-02-26T00:00:00"/>
        <d v="2009-03-05T00:00:00"/>
        <d v="2009-03-12T00:00:00"/>
        <d v="2009-03-19T00:00:00"/>
        <d v="2009-03-26T00:00:00"/>
        <d v="2009-04-09T00:00:00"/>
        <d v="2009-04-16T00:00:00"/>
        <d v="2009-04-23T00:00:00"/>
        <d v="2009-04-30T00:00:00"/>
        <d v="2009-05-07T00:00:00"/>
        <d v="2009-05-14T00:00:00"/>
        <d v="2009-09-17T00:00:00"/>
        <d v="2009-09-24T00:00:00"/>
        <d v="2009-10-01T00:00:00"/>
        <d v="2009-10-08T00:00:00"/>
        <d v="2009-10-15T00:00:00"/>
        <d v="2009-10-22T00:00:00"/>
        <d v="2009-10-29T00:00:00"/>
        <d v="2009-11-05T00:00:00"/>
        <d v="2009-11-12T00:00:00"/>
        <d v="2009-11-19T00:00:00"/>
        <d v="2009-12-03T00:00:00"/>
        <d v="2009-12-10T00:00:00"/>
        <d v="2010-01-14T00:00:00"/>
        <d v="2010-01-21T00:00:00"/>
        <d v="2010-02-04T00:00:00"/>
        <d v="2010-02-11T00:00:00"/>
        <d v="2010-03-04T00:00:00"/>
        <d v="2010-03-11T00:00:00"/>
        <d v="2010-03-18T00:00:00"/>
        <d v="2010-03-25T00:00:00"/>
        <d v="2010-04-22T00:00:00"/>
        <d v="2010-04-29T00:00:00"/>
        <d v="2010-05-06T00:00:00"/>
        <d v="2010-05-13T00:00:00"/>
        <d v="2010-05-20T00:00:00"/>
        <d v="2010-09-23T00:00:00"/>
        <d v="2010-09-30T00:00:00"/>
        <d v="2010-10-07T00:00:00"/>
        <d v="2010-10-14T00:00:00"/>
        <d v="2010-10-21T00:00:00"/>
        <d v="2010-10-28T00:00:00"/>
        <d v="2010-11-04T00:00:00"/>
        <d v="2010-11-11T00:00:00"/>
        <d v="2010-11-18T00:00:00"/>
        <d v="2010-12-02T00:00:00"/>
        <d v="2010-12-09T00:00:00"/>
        <d v="2011-01-20T00:00:00"/>
        <d v="2011-01-27T00:00:00"/>
        <d v="2011-02-03T00:00:00"/>
        <d v="2011-02-10T00:00:00"/>
        <d v="2011-02-17T00:00:00"/>
        <d v="2011-02-24T00:00:00"/>
        <d v="2011-03-17T00:00:00"/>
        <d v="2011-03-24T00:00:00"/>
        <d v="2011-04-14T00:00:00"/>
        <d v="2011-04-21T00:00:00"/>
        <d v="2011-04-28T00:00:00"/>
        <d v="2011-05-05T00:00:00"/>
        <d v="2011-05-12T00:00:00"/>
        <d v="2011-05-19T00:00:00"/>
        <d v="2011-09-22T00:00:00"/>
        <d v="2011-09-29T00:00:00"/>
        <d v="2011-10-06T00:00:00"/>
        <d v="2011-10-13T00:00:00"/>
        <d v="2011-10-27T00:00:00"/>
        <d v="2011-11-03T00:00:00"/>
        <d v="2011-11-10T00:00:00"/>
        <d v="2011-11-17T00:00:00"/>
        <d v="2011-12-01T00:00:00"/>
        <d v="2011-12-08T00:00:00"/>
        <d v="2012-01-12T00:00:00"/>
        <d v="2012-01-19T00:00:00"/>
        <d v="2012-01-26T00:00:00"/>
        <d v="2012-02-02T00:00:00"/>
        <d v="2012-02-09T00:00:00"/>
        <d v="2012-02-16T00:00:00"/>
        <d v="2012-02-23T00:00:00"/>
        <d v="2012-03-01T00:00:00"/>
        <d v="2012-03-08T00:00:00"/>
        <d v="2012-03-15T00:00:00"/>
        <d v="2012-03-22T00:00:00"/>
        <d v="2012-03-29T00:00:00"/>
        <d v="2012-04-05T00:00:00"/>
        <d v="2012-04-12T00:00:00"/>
        <d v="2012-04-19T00:00:00"/>
        <d v="2012-04-26T00:00:00"/>
        <d v="2012-05-03T00:00:00"/>
        <d v="2012-05-10T00:00:00"/>
        <d v="2012-05-17T00:00:00"/>
        <d v="2012-09-20T00:00:00"/>
        <d v="2012-09-27T00:00:00"/>
        <d v="2012-10-04T00:00:00"/>
        <d v="2012-10-11T00:00:00"/>
        <d v="2012-10-18T00:00:00"/>
        <d v="2012-10-25T00:00:00"/>
        <d v="2012-10-31T00:00:00"/>
        <d v="2012-11-08T00:00:00"/>
        <d v="2012-11-15T00:00:00"/>
        <d v="2012-11-29T00:00:00"/>
        <d v="2012-12-06T00:00:00"/>
        <d v="2013-01-10T00:00:00"/>
        <d v="2013-01-17T00:00:00"/>
        <d v="2013-01-24T00:00:00"/>
        <d v="2013-01-31T00:00:00"/>
        <d v="2013-02-07T00:00:00"/>
        <d v="2013-02-14T00:00:00"/>
        <d v="2013-02-21T00:00:00"/>
        <d v="2013-02-28T00:00:00"/>
        <d v="2013-03-07T00:00:00"/>
        <d v="2013-03-14T00:00:00"/>
        <d v="2013-03-21T00:00:00"/>
        <d v="2013-04-04T00:00:00"/>
        <d v="2013-04-11T00:00:00"/>
        <d v="2013-04-18T00:00:00"/>
        <d v="2013-04-25T00:00:00"/>
        <d v="2013-05-02T00:00:00"/>
        <d v="2013-05-09T00:00:00"/>
        <d v="2013-05-16T00:00:00"/>
        <d v="2013-09-26T00:00:00"/>
        <d v="2013-10-03T00:00:00"/>
        <d v="2013-10-10T00:00:00"/>
        <d v="2013-10-17T00:00:00"/>
        <d v="2013-11-14T00:00:00"/>
        <d v="2013-11-21T00:00:00"/>
        <d v="2014-01-02T00:00:00"/>
        <d v="2014-01-09T00:00:00"/>
        <d v="2014-01-16T00:00:00"/>
        <d v="2014-01-23T00:00:00"/>
        <d v="2014-01-30T00:00:00"/>
        <d v="2014-02-27T00:00:00"/>
        <d v="2014-03-06T00:00:00"/>
        <d v="2014-03-13T00:00:00"/>
        <d v="2014-03-20T00:00:00"/>
        <d v="2014-04-03T00:00:00"/>
        <d v="2014-04-10T00:00:00"/>
        <d v="2014-04-17T00:00:00"/>
        <d v="2014-04-24T00:00:00"/>
        <d v="2015-01-13T00:00:00"/>
        <d v="2015-01-20T00:00:00"/>
        <d v="2015-01-27T00:00:00"/>
        <d v="2015-02-03T00:00:00"/>
        <d v="2015-02-10T00:00:00"/>
        <d v="2015-02-17T00:00:00"/>
        <d v="2015-02-24T00:00:00"/>
        <d v="2015-03-17T00:00:00"/>
        <d v="2015-03-24T00:00:00"/>
        <d v="2015-03-31T00:00:00"/>
        <d v="2015-04-07T00:00:00"/>
        <d v="2015-04-14T00:00:00"/>
        <d v="2015-04-21T00:00:00"/>
        <d v="2015-04-28T00:00:00"/>
        <d v="2015-05-05T00:00:00"/>
        <d v="2015-05-12T00:00:00"/>
        <d v="2015-05-19T00:00:00"/>
        <d v="2015-05-26T00:00:00"/>
        <d v="2015-06-02T00:00:00"/>
      </sharedItems>
      <fieldGroup par="19"/>
    </cacheField>
    <cacheField name="Day" numFmtId="0">
      <sharedItems count="4">
        <s v="Thu"/>
        <s v="Tue"/>
        <s v="Wed"/>
        <s v="Sun"/>
      </sharedItems>
    </cacheField>
    <cacheField name="Timeslot" numFmtId="165">
      <sharedItems containsDate="1" containsMixedTypes="1" minDate="1899-12-30T20:00:00" maxDate="1899-12-30T23:00:00" count="9">
        <d v="1899-12-30T21:30:00"/>
        <d v="1899-12-30T20:30:00"/>
        <d v="1899-12-30T20:00:00"/>
        <d v="1899-12-30T21:00:00"/>
        <s v="N/A"/>
        <d v="1899-12-30T22:00:00"/>
        <d v="1899-12-30T22:30:00"/>
        <d v="1899-12-30T23:00:00"/>
        <e v="#VALUE!"/>
      </sharedItems>
    </cacheField>
    <cacheField name="Prod.code" numFmtId="0">
      <sharedItems containsString="0" containsBlank="1" containsNumber="1" containsInteger="1" minValue="100" maxValue="9025"/>
    </cacheField>
    <cacheField name="U.S. viewers(millions)" numFmtId="0">
      <sharedItems containsString="0" containsBlank="1" containsNumber="1" minValue="2.3199999999999998" maxValue="22.91"/>
    </cacheField>
    <cacheField name="Running Order" numFmtId="0">
      <sharedItems containsSemiMixedTypes="0" containsString="0" containsNumber="1" containsInteger="1" minValue="1" maxValue="574"/>
    </cacheField>
    <cacheField name="Full Lineup?" numFmtId="0">
      <sharedItems count="2">
        <s v=""/>
        <s v="Yes"/>
      </sharedItems>
    </cacheField>
    <cacheField name="TV Season" numFmtId="0">
      <sharedItems count="11">
        <s v="2004-05"/>
        <s v="2005-06"/>
        <s v="2006-07"/>
        <s v="2007-08"/>
        <s v="2008-09"/>
        <s v="2009-10"/>
        <s v="2010-11"/>
        <s v="2011-12"/>
        <s v="2012-13"/>
        <s v="2013-14"/>
        <s v="2014-15"/>
      </sharedItems>
    </cacheField>
    <cacheField name="Months (Originally Aired)" numFmtId="0" databaseField="0">
      <fieldGroup base="9">
        <rangePr groupBy="months" startDate="2005-03-24T00:00:00" endDate="2015-06-03T00:00:00"/>
        <groupItems count="14">
          <s v="&lt;3/24/05"/>
          <s v="Jan"/>
          <s v="Feb"/>
          <s v="Mar"/>
          <s v="Apr"/>
          <s v="May"/>
          <s v="Jun"/>
          <s v="Jul"/>
          <s v="Aug"/>
          <s v="Sep"/>
          <s v="Oct"/>
          <s v="Nov"/>
          <s v="Dec"/>
          <s v="&gt;6/3/15"/>
        </groupItems>
      </fieldGroup>
    </cacheField>
    <cacheField name="Quarters (Originally Aired)" numFmtId="0" databaseField="0">
      <fieldGroup base="9">
        <rangePr groupBy="quarters" startDate="2005-03-24T00:00:00" endDate="2015-06-03T00:00:00"/>
        <groupItems count="6">
          <s v="&lt;3/24/05"/>
          <s v="Qtr1"/>
          <s v="Qtr2"/>
          <s v="Qtr3"/>
          <s v="Qtr4"/>
          <s v="&gt;6/3/15"/>
        </groupItems>
      </fieldGroup>
    </cacheField>
    <cacheField name="Years (Originally Aired)" numFmtId="0" databaseField="0">
      <fieldGroup base="9">
        <rangePr groupBy="years" startDate="2005-03-24T00:00:00" endDate="2015-06-03T00:00:00"/>
        <groupItems count="13">
          <s v="&lt;3/24/05"/>
          <s v="2005"/>
          <s v="2006"/>
          <s v="2007"/>
          <s v="2008"/>
          <s v="2009"/>
          <s v="2010"/>
          <s v="2011"/>
          <s v="2012"/>
          <s v="2013"/>
          <s v="2014"/>
          <s v="2015"/>
          <s v="&gt;6/3/1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4">
  <r>
    <x v="0"/>
    <x v="0"/>
    <n v="1"/>
    <s v="The Office S1"/>
    <n v="1"/>
    <x v="0"/>
    <s v="&quot;Pilot&quot;"/>
    <s v="Ken Kwapis"/>
    <s v="Ricky Gervais &amp; Stephen Merchant and Greg Daniels"/>
    <x v="0"/>
    <x v="0"/>
    <x v="0"/>
    <n v="1001"/>
    <n v="11.2"/>
    <n v="1"/>
    <x v="0"/>
    <x v="0"/>
  </r>
  <r>
    <x v="0"/>
    <x v="0"/>
    <n v="1"/>
    <s v="The Office S1"/>
    <n v="2"/>
    <x v="1"/>
    <s v="&quot;Diversity Day&quot;"/>
    <s v="Ken Kwapis"/>
    <s v="B. J. Novak"/>
    <x v="1"/>
    <x v="1"/>
    <x v="0"/>
    <n v="1002"/>
    <n v="6"/>
    <n v="2"/>
    <x v="0"/>
    <x v="0"/>
  </r>
  <r>
    <x v="0"/>
    <x v="0"/>
    <n v="1"/>
    <s v="The Office S1"/>
    <n v="3"/>
    <x v="2"/>
    <s v="&quot;Health Care&quot;"/>
    <s v="Ken Whittingham"/>
    <s v="Paul Lieberstein"/>
    <x v="2"/>
    <x v="1"/>
    <x v="0"/>
    <n v="1006"/>
    <n v="5.8"/>
    <n v="3"/>
    <x v="0"/>
    <x v="0"/>
  </r>
  <r>
    <x v="0"/>
    <x v="0"/>
    <n v="1"/>
    <s v="The Office S1"/>
    <n v="4"/>
    <x v="3"/>
    <s v="&quot;The Alliance&quot;"/>
    <s v="Bryan Gordon"/>
    <s v="Michael Schur"/>
    <x v="3"/>
    <x v="1"/>
    <x v="0"/>
    <n v="1004"/>
    <n v="5.4"/>
    <n v="4"/>
    <x v="0"/>
    <x v="0"/>
  </r>
  <r>
    <x v="0"/>
    <x v="0"/>
    <n v="1"/>
    <s v="The Office S1"/>
    <n v="5"/>
    <x v="4"/>
    <s v="&quot;Basketball&quot;"/>
    <s v="Greg Daniels"/>
    <s v="Greg Daniels"/>
    <x v="4"/>
    <x v="1"/>
    <x v="0"/>
    <n v="1005"/>
    <n v="5"/>
    <n v="5"/>
    <x v="0"/>
    <x v="0"/>
  </r>
  <r>
    <x v="0"/>
    <x v="0"/>
    <n v="1"/>
    <s v="The Office S1"/>
    <n v="6"/>
    <x v="5"/>
    <s v="&quot;Hot Girl&quot;"/>
    <s v="Amy Heckerling"/>
    <s v="Mindy Kaling"/>
    <x v="5"/>
    <x v="1"/>
    <x v="0"/>
    <n v="1003"/>
    <n v="4.8"/>
    <n v="6"/>
    <x v="0"/>
    <x v="0"/>
  </r>
  <r>
    <x v="0"/>
    <x v="1"/>
    <n v="2"/>
    <s v="The Office S2"/>
    <n v="7"/>
    <x v="0"/>
    <s v="&quot;The Dundies&quot;"/>
    <s v="Greg Daniels"/>
    <s v="Mindy Kaling"/>
    <x v="6"/>
    <x v="1"/>
    <x v="0"/>
    <n v="2003"/>
    <n v="9"/>
    <n v="7"/>
    <x v="0"/>
    <x v="1"/>
  </r>
  <r>
    <x v="0"/>
    <x v="1"/>
    <n v="2"/>
    <s v="The Office S2"/>
    <n v="8"/>
    <x v="1"/>
    <s v="&quot;Sexual Harassment&quot;"/>
    <s v="Ken Kwapis"/>
    <s v="B. J. Novak"/>
    <x v="7"/>
    <x v="1"/>
    <x v="0"/>
    <n v="2002"/>
    <n v="7.13"/>
    <n v="8"/>
    <x v="0"/>
    <x v="1"/>
  </r>
  <r>
    <x v="0"/>
    <x v="1"/>
    <n v="2"/>
    <s v="The Office S2"/>
    <n v="9"/>
    <x v="2"/>
    <s v="&quot;Office Olympics&quot;"/>
    <s v="Paul Feig"/>
    <s v="Michael Schur"/>
    <x v="8"/>
    <x v="1"/>
    <x v="0"/>
    <n v="2004"/>
    <n v="8.3000000000000007"/>
    <n v="9"/>
    <x v="0"/>
    <x v="1"/>
  </r>
  <r>
    <x v="0"/>
    <x v="1"/>
    <n v="2"/>
    <s v="The Office S2"/>
    <n v="10"/>
    <x v="3"/>
    <s v="&quot;The Fire&quot;"/>
    <s v="Ken Kwapis"/>
    <s v="B. J. Novak"/>
    <x v="9"/>
    <x v="1"/>
    <x v="0"/>
    <n v="2001"/>
    <n v="7.6"/>
    <n v="10"/>
    <x v="0"/>
    <x v="1"/>
  </r>
  <r>
    <x v="0"/>
    <x v="1"/>
    <n v="2"/>
    <s v="The Office S2"/>
    <n v="11"/>
    <x v="4"/>
    <s v="&quot;Halloween&quot;"/>
    <s v="Paul Feig"/>
    <s v="Greg Daniels"/>
    <x v="10"/>
    <x v="1"/>
    <x v="0"/>
    <n v="2006"/>
    <n v="8"/>
    <n v="11"/>
    <x v="0"/>
    <x v="1"/>
  </r>
  <r>
    <x v="0"/>
    <x v="1"/>
    <n v="2"/>
    <s v="The Office S2"/>
    <n v="12"/>
    <x v="5"/>
    <s v="&quot;The Fight&quot;"/>
    <s v="Ken Kwapis"/>
    <s v="Gene Stupnitsky &amp; Lee Eisenberg"/>
    <x v="11"/>
    <x v="1"/>
    <x v="0"/>
    <n v="2007"/>
    <n v="7.9"/>
    <n v="12"/>
    <x v="0"/>
    <x v="1"/>
  </r>
  <r>
    <x v="0"/>
    <x v="1"/>
    <n v="2"/>
    <s v="The Office S2"/>
    <n v="13"/>
    <x v="6"/>
    <s v="&quot;The Client&quot;"/>
    <s v="Greg Daniels"/>
    <s v="Paul Lieberstein"/>
    <x v="12"/>
    <x v="1"/>
    <x v="0"/>
    <n v="2005"/>
    <n v="7.5"/>
    <n v="13"/>
    <x v="0"/>
    <x v="1"/>
  </r>
  <r>
    <x v="0"/>
    <x v="1"/>
    <n v="2"/>
    <s v="The Office S2"/>
    <n v="14"/>
    <x v="7"/>
    <s v="&quot;Performance Review&quot;"/>
    <s v="Paul Feig"/>
    <s v="Larry Wilmore"/>
    <x v="13"/>
    <x v="1"/>
    <x v="0"/>
    <n v="2009"/>
    <n v="8"/>
    <n v="14"/>
    <x v="0"/>
    <x v="1"/>
  </r>
  <r>
    <x v="0"/>
    <x v="1"/>
    <n v="2"/>
    <s v="The Office S2"/>
    <n v="15"/>
    <x v="8"/>
    <s v="&quot;Email Surveillance&quot;"/>
    <s v="Paul Feig"/>
    <s v="Jennifer Celotta"/>
    <x v="14"/>
    <x v="1"/>
    <x v="0"/>
    <n v="2008"/>
    <n v="8.1"/>
    <n v="15"/>
    <x v="0"/>
    <x v="1"/>
  </r>
  <r>
    <x v="0"/>
    <x v="1"/>
    <n v="2"/>
    <s v="The Office S2"/>
    <n v="16"/>
    <x v="9"/>
    <s v="&quot;Christmas Party&quot;"/>
    <s v="Charles McDougall"/>
    <s v="Michael Schur"/>
    <x v="15"/>
    <x v="1"/>
    <x v="0"/>
    <n v="2010"/>
    <n v="9.6999999999999993"/>
    <n v="16"/>
    <x v="0"/>
    <x v="1"/>
  </r>
  <r>
    <x v="0"/>
    <x v="1"/>
    <n v="2"/>
    <s v="The Office S2"/>
    <n v="17"/>
    <x v="10"/>
    <s v="&quot;Booze Cruise&quot;"/>
    <s v="Ken Kwapis"/>
    <s v="Greg Daniels"/>
    <x v="16"/>
    <x v="0"/>
    <x v="0"/>
    <n v="2013"/>
    <n v="8.6999999999999993"/>
    <n v="17"/>
    <x v="0"/>
    <x v="1"/>
  </r>
  <r>
    <x v="0"/>
    <x v="1"/>
    <n v="2"/>
    <s v="The Office S2"/>
    <n v="18"/>
    <x v="11"/>
    <s v="&quot;The Injury&quot;"/>
    <s v="Bryan Gordon"/>
    <s v="Mindy Kaling"/>
    <x v="17"/>
    <x v="0"/>
    <x v="0"/>
    <n v="2011"/>
    <n v="10.3"/>
    <n v="18"/>
    <x v="0"/>
    <x v="1"/>
  </r>
  <r>
    <x v="0"/>
    <x v="1"/>
    <n v="2"/>
    <s v="The Office S2"/>
    <n v="19"/>
    <x v="12"/>
    <s v="&quot;The Secret&quot;"/>
    <s v="Dennie Gordon"/>
    <s v="Lee Eisenberg &amp; Gene Stupnitsky"/>
    <x v="18"/>
    <x v="0"/>
    <x v="0"/>
    <n v="2014"/>
    <n v="8.6999999999999993"/>
    <n v="19"/>
    <x v="0"/>
    <x v="1"/>
  </r>
  <r>
    <x v="0"/>
    <x v="1"/>
    <n v="2"/>
    <s v="The Office S2"/>
    <n v="20"/>
    <x v="13"/>
    <s v="&quot;The Carpet&quot;"/>
    <s v="Victor Nelli, Jr."/>
    <s v="Paul Lieberstein"/>
    <x v="19"/>
    <x v="0"/>
    <x v="0"/>
    <n v="2012"/>
    <n v="8.6"/>
    <n v="20"/>
    <x v="0"/>
    <x v="1"/>
  </r>
  <r>
    <x v="0"/>
    <x v="1"/>
    <n v="2"/>
    <s v="The Office S2"/>
    <n v="21"/>
    <x v="14"/>
    <s v="&quot;Boys and Girls&quot;"/>
    <s v="Dennie Gordon"/>
    <s v="B. J. Novak"/>
    <x v="20"/>
    <x v="0"/>
    <x v="0"/>
    <n v="2015"/>
    <n v="5.42"/>
    <n v="21"/>
    <x v="0"/>
    <x v="1"/>
  </r>
  <r>
    <x v="0"/>
    <x v="1"/>
    <n v="2"/>
    <s v="The Office S2"/>
    <n v="22"/>
    <x v="15"/>
    <s v="&quot;Valentine's Day&quot;"/>
    <s v="Greg Daniels"/>
    <s v="Michael Schur"/>
    <x v="21"/>
    <x v="0"/>
    <x v="0"/>
    <n v="2016"/>
    <n v="8.9499999999999993"/>
    <n v="22"/>
    <x v="0"/>
    <x v="1"/>
  </r>
  <r>
    <x v="0"/>
    <x v="1"/>
    <n v="2"/>
    <s v="The Office S2"/>
    <n v="23"/>
    <x v="16"/>
    <s v="&quot;Dwight's Speech&quot;"/>
    <s v="Charles McDougall"/>
    <s v="Paul Lieberstein"/>
    <x v="22"/>
    <x v="0"/>
    <x v="0"/>
    <n v="2017"/>
    <n v="8.4"/>
    <n v="23"/>
    <x v="0"/>
    <x v="1"/>
  </r>
  <r>
    <x v="0"/>
    <x v="1"/>
    <n v="2"/>
    <s v="The Office S2"/>
    <n v="24"/>
    <x v="17"/>
    <s v="&quot;Take Your Daughter to Work Day&quot;"/>
    <s v="Victor Nelli, Jr."/>
    <s v="Mindy Kaling"/>
    <x v="23"/>
    <x v="0"/>
    <x v="0"/>
    <n v="2018"/>
    <n v="8.8000000000000007"/>
    <n v="24"/>
    <x v="0"/>
    <x v="1"/>
  </r>
  <r>
    <x v="0"/>
    <x v="1"/>
    <n v="2"/>
    <s v="The Office S2"/>
    <n v="25"/>
    <x v="18"/>
    <s v="&quot;Michael's Birthday&quot;"/>
    <s v="Ken Whittingham"/>
    <s v="Gene Stupnitsky &amp; Lee Eisenberg"/>
    <x v="24"/>
    <x v="0"/>
    <x v="0"/>
    <n v="2019"/>
    <n v="7.8"/>
    <n v="25"/>
    <x v="0"/>
    <x v="1"/>
  </r>
  <r>
    <x v="0"/>
    <x v="1"/>
    <n v="2"/>
    <s v="The Office S2"/>
    <n v="26"/>
    <x v="19"/>
    <s v="&quot;Drug Testing&quot;"/>
    <s v="Greg Daniels"/>
    <s v="Jennifer Celotta"/>
    <x v="25"/>
    <x v="0"/>
    <x v="0"/>
    <n v="2022"/>
    <n v="7.8"/>
    <n v="26"/>
    <x v="0"/>
    <x v="1"/>
  </r>
  <r>
    <x v="0"/>
    <x v="1"/>
    <n v="2"/>
    <s v="The Office S2"/>
    <n v="27"/>
    <x v="20"/>
    <s v="&quot;Conflict Resolution&quot;"/>
    <s v="Charles McDougall"/>
    <s v="Greg Daniels"/>
    <x v="26"/>
    <x v="0"/>
    <x v="0"/>
    <n v="2020"/>
    <n v="7.4"/>
    <n v="27"/>
    <x v="0"/>
    <x v="1"/>
  </r>
  <r>
    <x v="0"/>
    <x v="1"/>
    <n v="2"/>
    <s v="The Office S2"/>
    <n v="28"/>
    <x v="21"/>
    <s v="&quot;Casino Night&quot;"/>
    <s v="Ken Kwapis"/>
    <s v="Steve Carell"/>
    <x v="27"/>
    <x v="0"/>
    <x v="0"/>
    <n v="2021"/>
    <n v="7.6"/>
    <n v="28"/>
    <x v="0"/>
    <x v="1"/>
  </r>
  <r>
    <x v="0"/>
    <x v="2"/>
    <n v="3"/>
    <s v="The Office S3"/>
    <n v="29"/>
    <x v="0"/>
    <s v="&quot;Gay Witch Hunt&quot;"/>
    <s v="Ken Kwapis"/>
    <s v="Greg Daniels"/>
    <x v="28"/>
    <x v="0"/>
    <x v="1"/>
    <n v="3001"/>
    <n v="9.11"/>
    <n v="29"/>
    <x v="0"/>
    <x v="2"/>
  </r>
  <r>
    <x v="0"/>
    <x v="2"/>
    <n v="3"/>
    <s v="The Office S3"/>
    <n v="30"/>
    <x v="1"/>
    <s v="&quot;The Convention&quot;"/>
    <s v="Ken Whittingham"/>
    <s v="Gene Stupnitsky &amp; Lee Eisenberg"/>
    <x v="29"/>
    <x v="0"/>
    <x v="1"/>
    <n v="3006"/>
    <n v="7.78"/>
    <n v="30"/>
    <x v="0"/>
    <x v="2"/>
  </r>
  <r>
    <x v="0"/>
    <x v="2"/>
    <n v="3"/>
    <s v="The Office S3"/>
    <n v="31"/>
    <x v="2"/>
    <s v="&quot;The Coup&quot;"/>
    <s v="Greg Daniels"/>
    <s v="Paul Lieberstein"/>
    <x v="30"/>
    <x v="0"/>
    <x v="1"/>
    <n v="3002"/>
    <n v="8.89"/>
    <n v="31"/>
    <x v="0"/>
    <x v="2"/>
  </r>
  <r>
    <x v="1"/>
    <x v="0"/>
    <n v="1"/>
    <s v="30 Rock S1"/>
    <n v="1"/>
    <x v="0"/>
    <s v="&quot;Pilot&quot;"/>
    <s v="Adam Bernstein"/>
    <s v="Tina Fey"/>
    <x v="31"/>
    <x v="2"/>
    <x v="2"/>
    <n v="101"/>
    <n v="8.1"/>
    <n v="32"/>
    <x v="0"/>
    <x v="2"/>
  </r>
  <r>
    <x v="0"/>
    <x v="2"/>
    <n v="3"/>
    <s v="The Office S3"/>
    <n v="32"/>
    <x v="3"/>
    <s v="&quot;Grief Counseling&quot;"/>
    <s v="Roger Nygard"/>
    <s v="Jennifer Celotta"/>
    <x v="32"/>
    <x v="0"/>
    <x v="1"/>
    <n v="3003"/>
    <n v="8.83"/>
    <n v="33"/>
    <x v="0"/>
    <x v="2"/>
  </r>
  <r>
    <x v="1"/>
    <x v="0"/>
    <n v="1"/>
    <s v="30 Rock S1"/>
    <n v="2"/>
    <x v="1"/>
    <s v="&quot;The Aftermath&quot;"/>
    <s v="Adam Bernstein"/>
    <s v="Tina Fey"/>
    <x v="33"/>
    <x v="2"/>
    <x v="2"/>
    <n v="102"/>
    <n v="5.7"/>
    <n v="34"/>
    <x v="0"/>
    <x v="2"/>
  </r>
  <r>
    <x v="0"/>
    <x v="2"/>
    <n v="3"/>
    <s v="The Office S3"/>
    <n v="33"/>
    <x v="4"/>
    <s v="&quot;Initiation&quot;"/>
    <s v="Randall Einhorn"/>
    <s v="B. J. Novak"/>
    <x v="34"/>
    <x v="0"/>
    <x v="1"/>
    <n v="3005"/>
    <n v="8.4600000000000009"/>
    <n v="35"/>
    <x v="0"/>
    <x v="2"/>
  </r>
  <r>
    <x v="1"/>
    <x v="0"/>
    <n v="1"/>
    <s v="30 Rock S1"/>
    <n v="3"/>
    <x v="2"/>
    <s v="&quot;Blind Date&quot;"/>
    <s v="Adam Bernstein"/>
    <s v="John Riggi"/>
    <x v="35"/>
    <x v="2"/>
    <x v="2"/>
    <n v="103"/>
    <n v="6"/>
    <n v="36"/>
    <x v="0"/>
    <x v="2"/>
  </r>
  <r>
    <x v="1"/>
    <x v="0"/>
    <n v="1"/>
    <s v="30 Rock S1"/>
    <n v="4"/>
    <x v="3"/>
    <s v="&quot;Jack the Writer&quot;"/>
    <s v="Gail Mancuso"/>
    <s v="Robert Carlock"/>
    <x v="36"/>
    <x v="2"/>
    <x v="2"/>
    <n v="104"/>
    <n v="4.5999999999999996"/>
    <n v="37"/>
    <x v="0"/>
    <x v="2"/>
  </r>
  <r>
    <x v="0"/>
    <x v="2"/>
    <n v="3"/>
    <s v="The Office S3"/>
    <n v="34"/>
    <x v="5"/>
    <s v="&quot;Diwali&quot;"/>
    <s v="Miguel Arteta"/>
    <s v="Mindy Kaling"/>
    <x v="37"/>
    <x v="0"/>
    <x v="1"/>
    <n v="3004"/>
    <n v="8.81"/>
    <n v="38"/>
    <x v="0"/>
    <x v="2"/>
  </r>
  <r>
    <x v="0"/>
    <x v="2"/>
    <n v="3"/>
    <s v="The Office S3"/>
    <n v="35"/>
    <x v="6"/>
    <s v="&quot;Branch Closing&quot;"/>
    <s v="Tucker Gates"/>
    <s v="Michael Schur"/>
    <x v="38"/>
    <x v="0"/>
    <x v="1"/>
    <n v="3007"/>
    <n v="8.0500000000000007"/>
    <n v="39"/>
    <x v="0"/>
    <x v="2"/>
  </r>
  <r>
    <x v="0"/>
    <x v="2"/>
    <n v="3"/>
    <s v="The Office S3"/>
    <n v="36"/>
    <x v="7"/>
    <s v="&quot;The Merger&quot;"/>
    <s v="Ken Whittingham"/>
    <s v="Brent Forrester"/>
    <x v="39"/>
    <x v="0"/>
    <x v="1"/>
    <n v="3008"/>
    <n v="8.6300000000000008"/>
    <n v="40"/>
    <x v="0"/>
    <x v="2"/>
  </r>
  <r>
    <x v="1"/>
    <x v="0"/>
    <n v="1"/>
    <s v="30 Rock S1"/>
    <n v="5"/>
    <x v="4"/>
    <s v="&quot;Jack-Tor&quot;"/>
    <s v="Don Scardino"/>
    <s v="Robert Carlock"/>
    <x v="39"/>
    <x v="0"/>
    <x v="0"/>
    <n v="105"/>
    <n v="5.2"/>
    <n v="41"/>
    <x v="0"/>
    <x v="2"/>
  </r>
  <r>
    <x v="0"/>
    <x v="2"/>
    <n v="3"/>
    <s v="The Office S3"/>
    <n v="37"/>
    <x v="8"/>
    <s v="&quot;The Convict&quot;"/>
    <s v="Jeffrey Blitz"/>
    <s v="Ricky Gervais &amp; Stephen Merchant"/>
    <x v="40"/>
    <x v="0"/>
    <x v="1"/>
    <n v="3010"/>
    <n v="9.07"/>
    <n v="42"/>
    <x v="0"/>
    <x v="2"/>
  </r>
  <r>
    <x v="1"/>
    <x v="0"/>
    <n v="1"/>
    <s v="30 Rock S1"/>
    <n v="6"/>
    <x v="5"/>
    <s v="&quot;Jack Meets Dennis&quot;"/>
    <s v="Juan J. Campanella"/>
    <s v="Jack Burditt"/>
    <x v="40"/>
    <x v="0"/>
    <x v="0"/>
    <n v="106"/>
    <n v="6"/>
    <n v="43"/>
    <x v="0"/>
    <x v="2"/>
  </r>
  <r>
    <x v="1"/>
    <x v="0"/>
    <n v="1"/>
    <s v="30 Rock S1"/>
    <n v="7"/>
    <x v="6"/>
    <s v="&quot;Tracy Does Conan&quot;"/>
    <s v="Adam Bernstein"/>
    <s v="Tina Fey"/>
    <x v="41"/>
    <x v="0"/>
    <x v="0"/>
    <n v="107"/>
    <n v="6.8"/>
    <n v="44"/>
    <x v="0"/>
    <x v="2"/>
  </r>
  <r>
    <x v="0"/>
    <x v="2"/>
    <n v="3"/>
    <s v="The Office S3"/>
    <n v="38"/>
    <x v="9"/>
    <s v="&quot;A Benihana Christmas&quot;"/>
    <s v="Harold Ramis"/>
    <s v="Jennifer Celotta"/>
    <x v="42"/>
    <x v="0"/>
    <x v="1"/>
    <n v="3009"/>
    <n v="8.44"/>
    <n v="45"/>
    <x v="0"/>
    <x v="2"/>
  </r>
  <r>
    <x v="0"/>
    <x v="2"/>
    <n v="3"/>
    <s v="The Office S3"/>
    <n v="39"/>
    <x v="10"/>
    <s v="&quot;A Benihana Christmas&quot;"/>
    <s v="Harold Ramis"/>
    <s v="Jennifer Celotta"/>
    <x v="42"/>
    <x v="0"/>
    <x v="3"/>
    <n v="3014"/>
    <n v="8.44"/>
    <n v="46"/>
    <x v="0"/>
    <x v="2"/>
  </r>
  <r>
    <x v="1"/>
    <x v="0"/>
    <n v="1"/>
    <s v="30 Rock S1"/>
    <n v="8"/>
    <x v="7"/>
    <s v="&quot;The Break-Up&quot;"/>
    <s v="Scott Ellis"/>
    <s v="Dave Finkel &amp; Brett Baer"/>
    <x v="42"/>
    <x v="0"/>
    <x v="0"/>
    <n v="108"/>
    <n v="5.9"/>
    <n v="47"/>
    <x v="0"/>
    <x v="2"/>
  </r>
  <r>
    <x v="0"/>
    <x v="2"/>
    <n v="3"/>
    <s v="The Office S3"/>
    <n v="40"/>
    <x v="11"/>
    <s v="&quot;Back from Vacation&quot;"/>
    <s v="Julian Farino"/>
    <s v="Justin Spitzer"/>
    <x v="43"/>
    <x v="0"/>
    <x v="1"/>
    <n v="3011"/>
    <n v="8.8000000000000007"/>
    <n v="48"/>
    <x v="0"/>
    <x v="2"/>
  </r>
  <r>
    <x v="1"/>
    <x v="0"/>
    <n v="1"/>
    <s v="30 Rock S1"/>
    <n v="9"/>
    <x v="8"/>
    <s v="&quot;The Baby Show&quot;"/>
    <s v="Michael Engler"/>
    <s v="Jack Burditt"/>
    <x v="43"/>
    <x v="0"/>
    <x v="0"/>
    <n v="109"/>
    <n v="5.9"/>
    <n v="49"/>
    <x v="0"/>
    <x v="2"/>
  </r>
  <r>
    <x v="0"/>
    <x v="2"/>
    <n v="3"/>
    <s v="The Office S3"/>
    <n v="41"/>
    <x v="12"/>
    <s v="&quot;Traveling Salesmen&quot;"/>
    <s v="Greg Daniels"/>
    <s v="Michael Schur &amp; Lee Eisenberg &amp; Gene Stupnitsky"/>
    <x v="44"/>
    <x v="0"/>
    <x v="1"/>
    <n v="3012"/>
    <n v="10.119999999999999"/>
    <n v="50"/>
    <x v="0"/>
    <x v="2"/>
  </r>
  <r>
    <x v="1"/>
    <x v="0"/>
    <n v="1"/>
    <s v="30 Rock S1"/>
    <n v="10"/>
    <x v="9"/>
    <s v="&quot;The Rural Juror&quot;"/>
    <s v="Beth McCarthy"/>
    <s v="Matt Hubbard"/>
    <x v="44"/>
    <x v="0"/>
    <x v="0"/>
    <n v="110"/>
    <n v="6.1"/>
    <n v="51"/>
    <x v="0"/>
    <x v="2"/>
  </r>
  <r>
    <x v="0"/>
    <x v="2"/>
    <n v="3"/>
    <s v="The Office S3"/>
    <n v="42"/>
    <x v="13"/>
    <s v="&quot;The Return&quot;"/>
    <s v="Greg Daniels"/>
    <s v="Lee Eisenberg &amp; Gene Stupnitsky &amp; Michael Schur"/>
    <x v="45"/>
    <x v="0"/>
    <x v="1"/>
    <n v="3013"/>
    <n v="10.199999999999999"/>
    <n v="52"/>
    <x v="0"/>
    <x v="2"/>
  </r>
  <r>
    <x v="1"/>
    <x v="0"/>
    <n v="1"/>
    <s v="30 Rock S1"/>
    <n v="11"/>
    <x v="10"/>
    <s v="&quot;The Head and the Hair&quot;"/>
    <s v="Gail Mancuso"/>
    <s v="Tina Fey &amp; John Riggi"/>
    <x v="45"/>
    <x v="0"/>
    <x v="0"/>
    <n v="111"/>
    <n v="5"/>
    <n v="53"/>
    <x v="0"/>
    <x v="2"/>
  </r>
  <r>
    <x v="0"/>
    <x v="2"/>
    <n v="3"/>
    <s v="The Office S3"/>
    <n v="43"/>
    <x v="14"/>
    <s v="&quot;Ben Franklin&quot;"/>
    <s v="Randall Einhorn"/>
    <s v="Mindy Kaling"/>
    <x v="46"/>
    <x v="0"/>
    <x v="1"/>
    <n v="3015"/>
    <n v="10.11"/>
    <n v="54"/>
    <x v="0"/>
    <x v="2"/>
  </r>
  <r>
    <x v="1"/>
    <x v="0"/>
    <n v="1"/>
    <s v="30 Rock S1"/>
    <n v="12"/>
    <x v="11"/>
    <s v="&quot;Black Tie&quot;"/>
    <s v="Don Scardino"/>
    <s v="Kay Cannon &amp; Tina Fey"/>
    <x v="46"/>
    <x v="0"/>
    <x v="0"/>
    <n v="112"/>
    <n v="5.7"/>
    <n v="55"/>
    <x v="0"/>
    <x v="2"/>
  </r>
  <r>
    <x v="0"/>
    <x v="2"/>
    <n v="3"/>
    <s v="The Office S3"/>
    <n v="44"/>
    <x v="15"/>
    <s v="&quot;Phyllis' Wedding&quot;"/>
    <s v="Ken Whittingham"/>
    <s v="Caroline Williams"/>
    <x v="47"/>
    <x v="0"/>
    <x v="1"/>
    <n v="3016"/>
    <n v="8.84"/>
    <n v="56"/>
    <x v="0"/>
    <x v="2"/>
  </r>
  <r>
    <x v="1"/>
    <x v="0"/>
    <n v="1"/>
    <s v="30 Rock S1"/>
    <n v="13"/>
    <x v="12"/>
    <s v="&quot;Up All Night&quot;"/>
    <s v="Michael Engler"/>
    <s v="Tina Fey"/>
    <x v="47"/>
    <x v="0"/>
    <x v="0"/>
    <n v="113"/>
    <n v="5.2"/>
    <n v="57"/>
    <x v="0"/>
    <x v="2"/>
  </r>
  <r>
    <x v="0"/>
    <x v="2"/>
    <n v="3"/>
    <s v="The Office S3"/>
    <n v="45"/>
    <x v="16"/>
    <s v="&quot;Business School&quot;"/>
    <s v="Joss Whedon"/>
    <s v="Brent Forrester"/>
    <x v="48"/>
    <x v="0"/>
    <x v="1"/>
    <n v="3017"/>
    <n v="8.84"/>
    <n v="58"/>
    <x v="0"/>
    <x v="2"/>
  </r>
  <r>
    <x v="1"/>
    <x v="0"/>
    <n v="1"/>
    <s v="30 Rock S1"/>
    <n v="14"/>
    <x v="13"/>
    <s v="&quot;The C Word&quot;"/>
    <s v="Adam Bernstein"/>
    <s v="Tina Fey"/>
    <x v="48"/>
    <x v="0"/>
    <x v="0"/>
    <n v="114"/>
    <n v="5"/>
    <n v="59"/>
    <x v="0"/>
    <x v="2"/>
  </r>
  <r>
    <x v="0"/>
    <x v="2"/>
    <n v="3"/>
    <s v="The Office S3"/>
    <n v="46"/>
    <x v="17"/>
    <s v="&quot;Cocktails&quot;"/>
    <s v="J. J. Abrams"/>
    <s v="Paul Lieberstein"/>
    <x v="49"/>
    <x v="0"/>
    <x v="1"/>
    <n v="3018"/>
    <n v="8.3000000000000007"/>
    <n v="60"/>
    <x v="0"/>
    <x v="2"/>
  </r>
  <r>
    <x v="1"/>
    <x v="0"/>
    <n v="1"/>
    <s v="30 Rock S1"/>
    <n v="15"/>
    <x v="14"/>
    <s v="&quot;Hard Ball&quot;"/>
    <s v="Don Scardino"/>
    <s v="Matt Hubbard"/>
    <x v="49"/>
    <x v="0"/>
    <x v="0"/>
    <n v="115"/>
    <n v="4.5999999999999996"/>
    <n v="61"/>
    <x v="0"/>
    <x v="2"/>
  </r>
  <r>
    <x v="1"/>
    <x v="0"/>
    <n v="1"/>
    <s v="30 Rock S1"/>
    <n v="16"/>
    <x v="15"/>
    <s v="&quot;The Source Awards&quot;"/>
    <s v="Don Scardino"/>
    <s v="Robert Carlock &amp; Daisy Gardner"/>
    <x v="50"/>
    <x v="0"/>
    <x v="0"/>
    <n v="116"/>
    <n v="5.7"/>
    <n v="62"/>
    <x v="0"/>
    <x v="2"/>
  </r>
  <r>
    <x v="1"/>
    <x v="0"/>
    <n v="1"/>
    <s v="30 Rock S1"/>
    <n v="17"/>
    <x v="16"/>
    <s v="&quot;The Fighting Irish&quot;"/>
    <s v="Dennie Gordon"/>
    <s v="Jack Burditt"/>
    <x v="51"/>
    <x v="0"/>
    <x v="0"/>
    <n v="117"/>
    <n v="5.2"/>
    <n v="63"/>
    <x v="0"/>
    <x v="2"/>
  </r>
  <r>
    <x v="0"/>
    <x v="2"/>
    <n v="3"/>
    <s v="The Office S3"/>
    <n v="47"/>
    <x v="18"/>
    <s v="&quot;The Negotiation&quot;"/>
    <s v="Jeffrey Blitz"/>
    <s v="Michael Schur"/>
    <x v="52"/>
    <x v="0"/>
    <x v="1"/>
    <n v="3019"/>
    <n v="6.74"/>
    <n v="64"/>
    <x v="0"/>
    <x v="2"/>
  </r>
  <r>
    <x v="1"/>
    <x v="0"/>
    <n v="1"/>
    <s v="30 Rock S1"/>
    <n v="18"/>
    <x v="17"/>
    <s v="&quot;Fireworks&quot;"/>
    <s v="Beth McCarthy"/>
    <s v="Dave Finkel &amp; Brett Baer"/>
    <x v="52"/>
    <x v="0"/>
    <x v="3"/>
    <n v="118"/>
    <n v="5.4"/>
    <n v="65"/>
    <x v="0"/>
    <x v="2"/>
  </r>
  <r>
    <x v="0"/>
    <x v="2"/>
    <n v="3"/>
    <s v="The Office S3"/>
    <n v="48"/>
    <x v="19"/>
    <s v="&quot;Safety Training&quot;"/>
    <s v="Harold Ramis"/>
    <s v="B. J. Novak"/>
    <x v="53"/>
    <x v="0"/>
    <x v="1"/>
    <n v="3020"/>
    <n v="7.71"/>
    <n v="66"/>
    <x v="0"/>
    <x v="2"/>
  </r>
  <r>
    <x v="1"/>
    <x v="0"/>
    <n v="1"/>
    <s v="30 Rock S1"/>
    <n v="19"/>
    <x v="18"/>
    <s v="&quot;Corporate Crush&quot;"/>
    <s v="Don Scardino"/>
    <s v="John Riggi"/>
    <x v="53"/>
    <x v="0"/>
    <x v="3"/>
    <n v="119"/>
    <n v="5.0999999999999996"/>
    <n v="67"/>
    <x v="0"/>
    <x v="2"/>
  </r>
  <r>
    <x v="1"/>
    <x v="0"/>
    <n v="1"/>
    <s v="30 Rock S1"/>
    <n v="20"/>
    <x v="19"/>
    <s v="&quot;Cleveland&quot;"/>
    <s v="Paul Feig"/>
    <s v="Jack Burditt &amp; Robert Carlock"/>
    <x v="54"/>
    <x v="0"/>
    <x v="3"/>
    <n v="120"/>
    <n v="5.2"/>
    <n v="68"/>
    <x v="0"/>
    <x v="2"/>
  </r>
  <r>
    <x v="0"/>
    <x v="2"/>
    <n v="3"/>
    <s v="The Office S3"/>
    <n v="49"/>
    <x v="20"/>
    <s v="&quot;Product Recall&quot;"/>
    <s v="Randall Einhorn"/>
    <s v="Justin Spitzer &amp; Brent Forrester"/>
    <x v="55"/>
    <x v="0"/>
    <x v="1"/>
    <n v="3025"/>
    <n v="7.56"/>
    <n v="69"/>
    <x v="0"/>
    <x v="2"/>
  </r>
  <r>
    <x v="1"/>
    <x v="0"/>
    <n v="1"/>
    <s v="30 Rock S1"/>
    <n v="21"/>
    <x v="20"/>
    <s v="&quot;Hiatus&quot;"/>
    <s v="Don Scardino"/>
    <s v="Tina Fey"/>
    <x v="55"/>
    <x v="0"/>
    <x v="3"/>
    <n v="121"/>
    <n v="4.7"/>
    <n v="70"/>
    <x v="0"/>
    <x v="2"/>
  </r>
  <r>
    <x v="0"/>
    <x v="2"/>
    <n v="3"/>
    <s v="The Office S3"/>
    <n v="50"/>
    <x v="21"/>
    <s v="&quot;Women's Appreciation&quot;"/>
    <s v="Tucker Gates"/>
    <s v="Gene Stupnitsky &amp; Lee Eisenberg"/>
    <x v="56"/>
    <x v="0"/>
    <x v="1"/>
    <n v="3021"/>
    <n v="7"/>
    <n v="71"/>
    <x v="0"/>
    <x v="2"/>
  </r>
  <r>
    <x v="0"/>
    <x v="2"/>
    <n v="3"/>
    <s v="The Office S3"/>
    <n v="51"/>
    <x v="22"/>
    <s v="&quot;Beach Games&quot;"/>
    <s v="Harold Ramis"/>
    <s v="Jennifer Celotta &amp; Greg Daniels"/>
    <x v="57"/>
    <x v="0"/>
    <x v="1"/>
    <n v="3022"/>
    <n v="7.2"/>
    <n v="72"/>
    <x v="0"/>
    <x v="2"/>
  </r>
  <r>
    <x v="0"/>
    <x v="2"/>
    <n v="3"/>
    <s v="The Office S3"/>
    <n v="52"/>
    <x v="23"/>
    <s v="&quot;The Job&quot;"/>
    <s v="Ken Kwapis"/>
    <s v="Paul Lieberstein &amp; Michael Schur"/>
    <x v="58"/>
    <x v="0"/>
    <x v="1"/>
    <n v="3023"/>
    <n v="7.88"/>
    <n v="73"/>
    <x v="0"/>
    <x v="2"/>
  </r>
  <r>
    <x v="0"/>
    <x v="2"/>
    <n v="3"/>
    <s v="The Office S3"/>
    <n v="53"/>
    <x v="24"/>
    <s v="&quot;The Job&quot;"/>
    <s v="Ken Kwapis"/>
    <s v="Paul Lieberstein &amp; Michael Schur"/>
    <x v="58"/>
    <x v="0"/>
    <x v="3"/>
    <n v="3024"/>
    <n v="7.88"/>
    <n v="74"/>
    <x v="0"/>
    <x v="2"/>
  </r>
  <r>
    <x v="0"/>
    <x v="3"/>
    <n v="4"/>
    <s v="The Office S4"/>
    <n v="54"/>
    <x v="0"/>
    <s v="&quot;Fun Run&quot;"/>
    <s v="Greg Daniels"/>
    <s v="Greg Daniels"/>
    <x v="59"/>
    <x v="0"/>
    <x v="3"/>
    <n v="4001"/>
    <n v="9.6999999999999993"/>
    <n v="75"/>
    <x v="0"/>
    <x v="3"/>
  </r>
  <r>
    <x v="0"/>
    <x v="3"/>
    <n v="4"/>
    <s v="The Office S4"/>
    <n v="55"/>
    <x v="1"/>
    <s v="&quot;Fun Run&quot;"/>
    <s v="Greg Daniels"/>
    <s v="Greg Daniels"/>
    <x v="59"/>
    <x v="0"/>
    <x v="0"/>
    <n v="4002"/>
    <n v="9.6999999999999993"/>
    <n v="76"/>
    <x v="0"/>
    <x v="3"/>
  </r>
  <r>
    <x v="1"/>
    <x v="1"/>
    <n v="2"/>
    <s v="30 Rock S2"/>
    <n v="22"/>
    <x v="0"/>
    <s v="&quot;SeinfeldVision&quot;"/>
    <s v="Don Scardino"/>
    <s v="Tina Fey"/>
    <x v="60"/>
    <x v="0"/>
    <x v="1"/>
    <n v="201"/>
    <n v="7.3"/>
    <n v="77"/>
    <x v="0"/>
    <x v="3"/>
  </r>
  <r>
    <x v="0"/>
    <x v="3"/>
    <n v="4"/>
    <s v="The Office S4"/>
    <n v="56"/>
    <x v="2"/>
    <s v="&quot;Dunder Mifflin Infinity&quot;"/>
    <s v="Craig Zisk"/>
    <s v="Michael Schur"/>
    <x v="60"/>
    <x v="0"/>
    <x v="3"/>
    <n v="4003"/>
    <n v="8.49"/>
    <n v="78"/>
    <x v="0"/>
    <x v="3"/>
  </r>
  <r>
    <x v="0"/>
    <x v="3"/>
    <n v="4"/>
    <s v="The Office S4"/>
    <n v="57"/>
    <x v="3"/>
    <s v="&quot;Dunder Mifflin Infinity&quot;"/>
    <s v="Craig Zisk"/>
    <s v="Michael Schur"/>
    <x v="60"/>
    <x v="0"/>
    <x v="0"/>
    <n v="4004"/>
    <n v="8.49"/>
    <n v="79"/>
    <x v="0"/>
    <x v="3"/>
  </r>
  <r>
    <x v="1"/>
    <x v="1"/>
    <n v="2"/>
    <s v="30 Rock S2"/>
    <n v="23"/>
    <x v="1"/>
    <s v="&quot;Jack Gets in the Game&quot;"/>
    <s v="Michael Engler"/>
    <s v="Robert Carlock"/>
    <x v="61"/>
    <x v="0"/>
    <x v="1"/>
    <n v="202"/>
    <n v="6.6"/>
    <n v="80"/>
    <x v="0"/>
    <x v="3"/>
  </r>
  <r>
    <x v="0"/>
    <x v="3"/>
    <n v="4"/>
    <s v="The Office S4"/>
    <n v="58"/>
    <x v="4"/>
    <s v="&quot;Launch Party&quot;"/>
    <s v="Ken Whittingham"/>
    <s v="Jennifer Celotta"/>
    <x v="61"/>
    <x v="0"/>
    <x v="3"/>
    <n v="4005"/>
    <n v="8.91"/>
    <n v="81"/>
    <x v="0"/>
    <x v="3"/>
  </r>
  <r>
    <x v="0"/>
    <x v="3"/>
    <n v="4"/>
    <s v="The Office S4"/>
    <n v="59"/>
    <x v="5"/>
    <s v="&quot;Launch Party&quot;"/>
    <s v="Ken Whittingham"/>
    <s v="Jennifer Celotta"/>
    <x v="61"/>
    <x v="0"/>
    <x v="0"/>
    <n v="4006"/>
    <n v="8.91"/>
    <n v="82"/>
    <x v="0"/>
    <x v="3"/>
  </r>
  <r>
    <x v="1"/>
    <x v="1"/>
    <n v="2"/>
    <s v="30 Rock S2"/>
    <n v="24"/>
    <x v="2"/>
    <s v="&quot;The Collection&quot;"/>
    <s v="Don Scardino"/>
    <s v="Matt Hubbard"/>
    <x v="62"/>
    <x v="0"/>
    <x v="1"/>
    <n v="203"/>
    <n v="6.2"/>
    <n v="83"/>
    <x v="0"/>
    <x v="3"/>
  </r>
  <r>
    <x v="0"/>
    <x v="3"/>
    <n v="4"/>
    <s v="The Office S4"/>
    <n v="60"/>
    <x v="6"/>
    <s v="&quot;Money&quot;"/>
    <s v="Paul Lieberstein"/>
    <s v="Paul Lieberstein"/>
    <x v="62"/>
    <x v="0"/>
    <x v="3"/>
    <n v="4007"/>
    <n v="8.5"/>
    <n v="84"/>
    <x v="0"/>
    <x v="3"/>
  </r>
  <r>
    <x v="0"/>
    <x v="3"/>
    <n v="4"/>
    <s v="The Office S4"/>
    <n v="61"/>
    <x v="7"/>
    <s v="&quot;Money&quot;"/>
    <s v="Paul Lieberstein"/>
    <s v="Paul Lieberstein"/>
    <x v="62"/>
    <x v="0"/>
    <x v="0"/>
    <n v="4008"/>
    <n v="8.5"/>
    <n v="85"/>
    <x v="0"/>
    <x v="3"/>
  </r>
  <r>
    <x v="1"/>
    <x v="1"/>
    <n v="2"/>
    <s v="30 Rock S2"/>
    <n v="25"/>
    <x v="3"/>
    <s v="&quot;Rosemary's Baby&quot;"/>
    <s v="Michael Engler"/>
    <s v="Jack Burditt"/>
    <x v="63"/>
    <x v="0"/>
    <x v="1"/>
    <n v="204"/>
    <n v="6.5"/>
    <n v="86"/>
    <x v="0"/>
    <x v="3"/>
  </r>
  <r>
    <x v="0"/>
    <x v="3"/>
    <n v="4"/>
    <s v="The Office S4"/>
    <n v="62"/>
    <x v="8"/>
    <s v="&quot;Local Ad&quot;"/>
    <s v="Jason Reitman"/>
    <s v="B. J. Novak"/>
    <x v="63"/>
    <x v="0"/>
    <x v="3"/>
    <n v="4009"/>
    <n v="8.98"/>
    <n v="87"/>
    <x v="0"/>
    <x v="3"/>
  </r>
  <r>
    <x v="0"/>
    <x v="3"/>
    <n v="4"/>
    <s v="The Office S4"/>
    <n v="63"/>
    <x v="9"/>
    <s v="&quot;Branch Wars&quot;"/>
    <s v="Joss Whedon"/>
    <s v="Mindy Kaling"/>
    <x v="64"/>
    <x v="0"/>
    <x v="3"/>
    <n v="4010"/>
    <n v="8.39"/>
    <n v="88"/>
    <x v="0"/>
    <x v="3"/>
  </r>
  <r>
    <x v="1"/>
    <x v="1"/>
    <n v="2"/>
    <s v="30 Rock S2"/>
    <n v="26"/>
    <x v="4"/>
    <s v="&quot;Greenzo&quot;"/>
    <s v="Don Scardino"/>
    <s v="Jon Pollack"/>
    <x v="65"/>
    <x v="0"/>
    <x v="1"/>
    <n v="205"/>
    <n v="6.6"/>
    <n v="89"/>
    <x v="0"/>
    <x v="3"/>
  </r>
  <r>
    <x v="0"/>
    <x v="3"/>
    <n v="4"/>
    <s v="The Office S4"/>
    <n v="64"/>
    <x v="10"/>
    <s v="&quot;Survivor Man&quot;"/>
    <s v="Paul Feig"/>
    <s v="Steve Carell"/>
    <x v="65"/>
    <x v="0"/>
    <x v="3"/>
    <n v="4011"/>
    <n v="8.2899999999999991"/>
    <n v="90"/>
    <x v="0"/>
    <x v="3"/>
  </r>
  <r>
    <x v="1"/>
    <x v="1"/>
    <n v="2"/>
    <s v="30 Rock S2"/>
    <n v="27"/>
    <x v="5"/>
    <s v="&quot;Somebody to Love&quot;"/>
    <s v="Beth McCarthy"/>
    <s v="Tina Fey &amp; Kay Cannon"/>
    <x v="66"/>
    <x v="0"/>
    <x v="1"/>
    <n v="206"/>
    <n v="5.8"/>
    <n v="91"/>
    <x v="0"/>
    <x v="3"/>
  </r>
  <r>
    <x v="0"/>
    <x v="3"/>
    <n v="4"/>
    <s v="The Office S4"/>
    <n v="65"/>
    <x v="11"/>
    <s v="&quot;The Deposition&quot;"/>
    <s v="Julian Farino"/>
    <s v="Lester Lewis"/>
    <x v="66"/>
    <x v="0"/>
    <x v="3"/>
    <n v="4012"/>
    <n v="8.86"/>
    <n v="92"/>
    <x v="0"/>
    <x v="3"/>
  </r>
  <r>
    <x v="1"/>
    <x v="1"/>
    <n v="2"/>
    <s v="30 Rock S2"/>
    <n v="28"/>
    <x v="6"/>
    <s v="&quot;Cougars&quot;"/>
    <s v="Michael Engler"/>
    <s v="John Riggi"/>
    <x v="67"/>
    <x v="0"/>
    <x v="1"/>
    <n v="207"/>
    <n v="6.4"/>
    <n v="93"/>
    <x v="0"/>
    <x v="3"/>
  </r>
  <r>
    <x v="1"/>
    <x v="1"/>
    <n v="2"/>
    <s v="30 Rock S2"/>
    <n v="29"/>
    <x v="7"/>
    <s v="&quot;Secrets and Lies&quot;"/>
    <s v="Michael Engler"/>
    <s v="Ron Weiner"/>
    <x v="68"/>
    <x v="0"/>
    <x v="1"/>
    <n v="208"/>
    <n v="5.8"/>
    <n v="94"/>
    <x v="0"/>
    <x v="3"/>
  </r>
  <r>
    <x v="1"/>
    <x v="1"/>
    <n v="2"/>
    <s v="30 Rock S2"/>
    <n v="30"/>
    <x v="8"/>
    <s v="&quot;Ludachristmas&quot;"/>
    <s v="Don Scardino"/>
    <s v="Tami Sagher"/>
    <x v="69"/>
    <x v="0"/>
    <x v="3"/>
    <n v="209"/>
    <n v="5.6"/>
    <n v="95"/>
    <x v="0"/>
    <x v="3"/>
  </r>
  <r>
    <x v="1"/>
    <x v="1"/>
    <n v="2"/>
    <s v="30 Rock S2"/>
    <n v="31"/>
    <x v="9"/>
    <s v="Episode 210"/>
    <s v="Richard Shepard"/>
    <s v="Robert Carlock &amp; Donald Glover"/>
    <x v="70"/>
    <x v="0"/>
    <x v="1"/>
    <n v="210"/>
    <n v="6"/>
    <n v="96"/>
    <x v="0"/>
    <x v="3"/>
  </r>
  <r>
    <x v="1"/>
    <x v="1"/>
    <n v="2"/>
    <s v="30 Rock S2"/>
    <n v="32"/>
    <x v="10"/>
    <s v="&quot;MILF Island&quot;"/>
    <s v="Kevin Rodney Sullivan"/>
    <s v="Tina Fey &amp; Matt Hubbard"/>
    <x v="71"/>
    <x v="0"/>
    <x v="1"/>
    <n v="212"/>
    <n v="5.7"/>
    <n v="97"/>
    <x v="0"/>
    <x v="3"/>
  </r>
  <r>
    <x v="0"/>
    <x v="3"/>
    <n v="4"/>
    <s v="The Office S4"/>
    <n v="66"/>
    <x v="12"/>
    <s v="&quot;Dinner Party&quot;"/>
    <s v="Paul Feig"/>
    <s v="Gene Stupnitsky &amp; Lee Eisenberg"/>
    <x v="71"/>
    <x v="0"/>
    <x v="3"/>
    <n v="4013"/>
    <n v="9.2200000000000006"/>
    <n v="98"/>
    <x v="0"/>
    <x v="3"/>
  </r>
  <r>
    <x v="1"/>
    <x v="1"/>
    <n v="2"/>
    <s v="30 Rock S2"/>
    <n v="33"/>
    <x v="11"/>
    <s v="&quot;Subway Hero&quot;"/>
    <s v="Don Scardino"/>
    <s v="Jack Burditt &amp; Robert Carlock"/>
    <x v="72"/>
    <x v="0"/>
    <x v="1"/>
    <n v="211"/>
    <n v="6.4"/>
    <n v="99"/>
    <x v="0"/>
    <x v="3"/>
  </r>
  <r>
    <x v="0"/>
    <x v="3"/>
    <n v="4"/>
    <s v="The Office S4"/>
    <n v="67"/>
    <x v="13"/>
    <s v="&quot;Chair Model&quot;"/>
    <s v="Jeffrey Blitz"/>
    <s v="B. J. Novak"/>
    <x v="72"/>
    <x v="0"/>
    <x v="3"/>
    <n v="4014"/>
    <n v="9.81"/>
    <n v="100"/>
    <x v="0"/>
    <x v="3"/>
  </r>
  <r>
    <x v="0"/>
    <x v="3"/>
    <n v="4"/>
    <s v="The Office S4"/>
    <n v="68"/>
    <x v="14"/>
    <s v="&quot;Night Out&quot;"/>
    <s v="Ken Whittingham"/>
    <s v="Mindy Kaling"/>
    <x v="73"/>
    <x v="0"/>
    <x v="3"/>
    <n v="4015"/>
    <n v="7.56"/>
    <n v="101"/>
    <x v="0"/>
    <x v="3"/>
  </r>
  <r>
    <x v="1"/>
    <x v="1"/>
    <n v="2"/>
    <s v="30 Rock S2"/>
    <n v="34"/>
    <x v="12"/>
    <s v="&quot;Succession&quot;"/>
    <s v="Gail Mancuso"/>
    <s v="Andrew Guest &amp; John Riggi"/>
    <x v="73"/>
    <x v="0"/>
    <x v="0"/>
    <n v="213"/>
    <n v="5.5"/>
    <n v="102"/>
    <x v="0"/>
    <x v="3"/>
  </r>
  <r>
    <x v="0"/>
    <x v="3"/>
    <n v="4"/>
    <s v="The Office S4"/>
    <n v="69"/>
    <x v="15"/>
    <s v="&quot;Did I Stutter?&quot;"/>
    <s v="Randall Einhorn"/>
    <s v="Brent Forrester &amp; Justin Spitzer"/>
    <x v="74"/>
    <x v="0"/>
    <x v="3"/>
    <n v="4016"/>
    <n v="7.67"/>
    <n v="103"/>
    <x v="0"/>
    <x v="3"/>
  </r>
  <r>
    <x v="1"/>
    <x v="1"/>
    <n v="2"/>
    <s v="30 Rock S2"/>
    <n v="35"/>
    <x v="13"/>
    <s v="&quot;Sandwich Day&quot;"/>
    <s v="Don Scardino"/>
    <s v="Robert Carlock &amp; Jack Burditt"/>
    <x v="74"/>
    <x v="0"/>
    <x v="0"/>
    <n v="214"/>
    <n v="5.4"/>
    <n v="104"/>
    <x v="0"/>
    <x v="3"/>
  </r>
  <r>
    <x v="0"/>
    <x v="3"/>
    <n v="4"/>
    <s v="The Office S4"/>
    <n v="70"/>
    <x v="16"/>
    <s v="&quot;Job Fair&quot;"/>
    <s v="Tucker Gates"/>
    <s v="Lee Eisenberg &amp; Gene Stupnitsky"/>
    <x v="75"/>
    <x v="0"/>
    <x v="3"/>
    <n v="4017"/>
    <n v="7.22"/>
    <n v="105"/>
    <x v="0"/>
    <x v="3"/>
  </r>
  <r>
    <x v="1"/>
    <x v="1"/>
    <n v="2"/>
    <s v="30 Rock S2"/>
    <n v="36"/>
    <x v="14"/>
    <s v="&quot;Cooter&quot;"/>
    <s v="Don Scardino"/>
    <s v="Tina Fey"/>
    <x v="75"/>
    <x v="0"/>
    <x v="0"/>
    <n v="215"/>
    <n v="5.6"/>
    <n v="106"/>
    <x v="0"/>
    <x v="3"/>
  </r>
  <r>
    <x v="0"/>
    <x v="3"/>
    <n v="4"/>
    <s v="The Office S4"/>
    <n v="71"/>
    <x v="17"/>
    <s v="&quot;Goodbye, Toby&quot;"/>
    <s v="Paul Feig"/>
    <s v="Jennifer Celotta &amp; Paul Lieberstein"/>
    <x v="76"/>
    <x v="0"/>
    <x v="3"/>
    <n v="4018"/>
    <n v="8.07"/>
    <n v="107"/>
    <x v="0"/>
    <x v="3"/>
  </r>
  <r>
    <x v="0"/>
    <x v="3"/>
    <n v="4"/>
    <s v="The Office S4"/>
    <n v="72"/>
    <x v="18"/>
    <s v="&quot;Goodbye, Toby&quot;"/>
    <s v="Paul Feig"/>
    <s v="Jennifer Celotta &amp; Paul Lieberstein"/>
    <x v="76"/>
    <x v="0"/>
    <x v="0"/>
    <n v="4019"/>
    <n v="8.07"/>
    <n v="108"/>
    <x v="0"/>
    <x v="3"/>
  </r>
  <r>
    <x v="0"/>
    <x v="4"/>
    <n v="5"/>
    <s v="The Office S5"/>
    <n v="73"/>
    <x v="0"/>
    <s v="&quot;Weight Loss&quot;"/>
    <s v="Paul Feig"/>
    <s v="Lee Eisenberg &amp; Gene Stupnitsky"/>
    <x v="77"/>
    <x v="0"/>
    <x v="3"/>
    <n v="5001"/>
    <n v="9.1999999999999993"/>
    <n v="109"/>
    <x v="0"/>
    <x v="4"/>
  </r>
  <r>
    <x v="0"/>
    <x v="4"/>
    <n v="5"/>
    <s v="The Office S5"/>
    <n v="74"/>
    <x v="1"/>
    <s v="&quot;Weight Loss&quot;"/>
    <s v="Paul Feig"/>
    <s v="Lee Eisenberg &amp; Gene Stupnitsky"/>
    <x v="77"/>
    <x v="0"/>
    <x v="0"/>
    <n v="5002"/>
    <n v="9.1999999999999993"/>
    <n v="110"/>
    <x v="0"/>
    <x v="4"/>
  </r>
  <r>
    <x v="0"/>
    <x v="4"/>
    <n v="5"/>
    <s v="The Office S5"/>
    <n v="75"/>
    <x v="2"/>
    <s v="&quot;Business Ethics&quot;"/>
    <s v="Jeffrey Blitz"/>
    <s v="Ryan Koh"/>
    <x v="78"/>
    <x v="0"/>
    <x v="3"/>
    <n v="5003"/>
    <n v="8.99"/>
    <n v="111"/>
    <x v="0"/>
    <x v="4"/>
  </r>
  <r>
    <x v="0"/>
    <x v="4"/>
    <n v="5"/>
    <s v="The Office S5"/>
    <n v="76"/>
    <x v="3"/>
    <s v="&quot;Baby Shower&quot;"/>
    <s v="Greg Daniels"/>
    <s v="Aaron Shure"/>
    <x v="79"/>
    <x v="0"/>
    <x v="3"/>
    <n v="5004"/>
    <n v="8.07"/>
    <n v="112"/>
    <x v="0"/>
    <x v="4"/>
  </r>
  <r>
    <x v="0"/>
    <x v="4"/>
    <n v="5"/>
    <s v="The Office S5"/>
    <n v="77"/>
    <x v="4"/>
    <s v="&quot;Crime Aid&quot;"/>
    <s v="Jennifer Celotta"/>
    <s v="Charlie Grandy"/>
    <x v="80"/>
    <x v="0"/>
    <x v="3"/>
    <n v="5005"/>
    <n v="7.74"/>
    <n v="113"/>
    <x v="0"/>
    <x v="4"/>
  </r>
  <r>
    <x v="0"/>
    <x v="4"/>
    <n v="5"/>
    <s v="The Office S5"/>
    <n v="78"/>
    <x v="5"/>
    <s v="&quot;Employee Transfer&quot;"/>
    <s v="David Rogers"/>
    <s v="Anthony Q. Farrell"/>
    <x v="81"/>
    <x v="0"/>
    <x v="3"/>
    <n v="5006"/>
    <n v="9.32"/>
    <n v="114"/>
    <x v="0"/>
    <x v="4"/>
  </r>
  <r>
    <x v="1"/>
    <x v="2"/>
    <n v="3"/>
    <s v="30 Rock S3"/>
    <n v="37"/>
    <x v="0"/>
    <s v="&quot;Do-Over&quot;"/>
    <s v="Don Scardino"/>
    <s v="Tina Fey"/>
    <x v="81"/>
    <x v="0"/>
    <x v="0"/>
    <n v="301"/>
    <n v="8.6999999999999993"/>
    <n v="115"/>
    <x v="0"/>
    <x v="4"/>
  </r>
  <r>
    <x v="0"/>
    <x v="4"/>
    <n v="5"/>
    <s v="The Office S5"/>
    <n v="79"/>
    <x v="6"/>
    <s v="&quot;Customer Survey&quot;"/>
    <s v="Stephen Merchant"/>
    <s v="Lester Lewis"/>
    <x v="82"/>
    <x v="0"/>
    <x v="3"/>
    <n v="5007"/>
    <n v="8.35"/>
    <n v="116"/>
    <x v="0"/>
    <x v="4"/>
  </r>
  <r>
    <x v="1"/>
    <x v="2"/>
    <n v="3"/>
    <s v="30 Rock S3"/>
    <n v="38"/>
    <x v="1"/>
    <s v="&quot;Believe in the Stars&quot;"/>
    <s v="Don Scardino"/>
    <s v="Robert Carlock"/>
    <x v="82"/>
    <x v="0"/>
    <x v="0"/>
    <n v="302"/>
    <n v="8"/>
    <n v="117"/>
    <x v="0"/>
    <x v="4"/>
  </r>
  <r>
    <x v="0"/>
    <x v="4"/>
    <n v="5"/>
    <s v="The Office S5"/>
    <n v="80"/>
    <x v="7"/>
    <s v="&quot;Business Trip&quot;"/>
    <s v="Randall Einhorn"/>
    <s v="Brent Forrester"/>
    <x v="83"/>
    <x v="0"/>
    <x v="3"/>
    <n v="5009"/>
    <n v="8.18"/>
    <n v="118"/>
    <x v="0"/>
    <x v="4"/>
  </r>
  <r>
    <x v="1"/>
    <x v="2"/>
    <n v="3"/>
    <s v="30 Rock S3"/>
    <n v="39"/>
    <x v="2"/>
    <s v="&quot;The One with the Cast of Night Court&quot;"/>
    <s v="Gail Mancuso"/>
    <s v="Jack Burditt"/>
    <x v="83"/>
    <x v="0"/>
    <x v="0"/>
    <n v="303"/>
    <n v="7.5"/>
    <n v="119"/>
    <x v="0"/>
    <x v="4"/>
  </r>
  <r>
    <x v="0"/>
    <x v="4"/>
    <n v="5"/>
    <s v="The Office S5"/>
    <n v="81"/>
    <x v="8"/>
    <s v="&quot;Frame Toby&quot;"/>
    <s v="Jason Reitman"/>
    <s v="Mindy Kaling"/>
    <x v="84"/>
    <x v="0"/>
    <x v="3"/>
    <n v="5008"/>
    <n v="8.4"/>
    <n v="120"/>
    <x v="0"/>
    <x v="4"/>
  </r>
  <r>
    <x v="1"/>
    <x v="2"/>
    <n v="3"/>
    <s v="30 Rock S3"/>
    <n v="40"/>
    <x v="3"/>
    <s v="&quot;Gavin Volure&quot;"/>
    <s v="Gail Mancuso"/>
    <s v="John Riggi"/>
    <x v="84"/>
    <x v="0"/>
    <x v="0"/>
    <n v="304"/>
    <n v="7.3"/>
    <n v="121"/>
    <x v="0"/>
    <x v="4"/>
  </r>
  <r>
    <x v="0"/>
    <x v="4"/>
    <n v="5"/>
    <s v="The Office S5"/>
    <n v="82"/>
    <x v="9"/>
    <s v="&quot;The Surplus&quot;"/>
    <s v="Paul Feig"/>
    <s v="Gene Stupnitsky &amp; Lee Eisenberg"/>
    <x v="85"/>
    <x v="0"/>
    <x v="3"/>
    <n v="5013"/>
    <n v="8.33"/>
    <n v="122"/>
    <x v="0"/>
    <x v="4"/>
  </r>
  <r>
    <x v="1"/>
    <x v="2"/>
    <n v="3"/>
    <s v="30 Rock S3"/>
    <n v="41"/>
    <x v="4"/>
    <s v="&quot;Reunion&quot;"/>
    <s v="Beth McCarthy"/>
    <s v="Matt Hubbard"/>
    <x v="85"/>
    <x v="0"/>
    <x v="0"/>
    <n v="305"/>
    <n v="7.1"/>
    <n v="123"/>
    <x v="0"/>
    <x v="4"/>
  </r>
  <r>
    <x v="0"/>
    <x v="4"/>
    <n v="5"/>
    <s v="The Office S5"/>
    <n v="83"/>
    <x v="10"/>
    <s v="&quot;Moroccan Christmas&quot;"/>
    <s v="Paul Feig"/>
    <s v="Justin Spitzer"/>
    <x v="86"/>
    <x v="0"/>
    <x v="3"/>
    <n v="5010"/>
    <n v="8.7899999999999991"/>
    <n v="124"/>
    <x v="0"/>
    <x v="4"/>
  </r>
  <r>
    <x v="1"/>
    <x v="2"/>
    <n v="3"/>
    <s v="30 Rock S3"/>
    <n v="42"/>
    <x v="5"/>
    <s v="&quot;Christmas Special&quot;"/>
    <s v="Don Scardino"/>
    <s v="Kay Cannon &amp; Tina Fey"/>
    <x v="86"/>
    <x v="0"/>
    <x v="0"/>
    <n v="306"/>
    <n v="8.9"/>
    <n v="125"/>
    <x v="0"/>
    <x v="4"/>
  </r>
  <r>
    <x v="1"/>
    <x v="2"/>
    <n v="3"/>
    <s v="30 Rock S3"/>
    <n v="43"/>
    <x v="6"/>
    <s v="&quot;Se√±or Macho Solo&quot;"/>
    <s v="Beth McCarthy"/>
    <s v="Ron Weiner"/>
    <x v="87"/>
    <x v="0"/>
    <x v="0"/>
    <n v="307"/>
    <n v="5.4"/>
    <n v="126"/>
    <x v="0"/>
    <x v="4"/>
  </r>
  <r>
    <x v="0"/>
    <x v="4"/>
    <n v="5"/>
    <s v="The Office S5"/>
    <n v="84"/>
    <x v="11"/>
    <s v="&quot;The Duel&quot;"/>
    <s v="Dean Holland"/>
    <s v="Jennifer Celotta"/>
    <x v="88"/>
    <x v="0"/>
    <x v="3"/>
    <n v="5011"/>
    <n v="8.5"/>
    <n v="127"/>
    <x v="0"/>
    <x v="4"/>
  </r>
  <r>
    <x v="1"/>
    <x v="2"/>
    <n v="3"/>
    <s v="30 Rock S3"/>
    <n v="44"/>
    <x v="7"/>
    <s v="&quot;Flu Shot&quot;"/>
    <s v="Don Scardino"/>
    <s v="Jon Pollack"/>
    <x v="88"/>
    <x v="0"/>
    <x v="0"/>
    <n v="308"/>
    <n v="6.6"/>
    <n v="128"/>
    <x v="0"/>
    <x v="4"/>
  </r>
  <r>
    <x v="0"/>
    <x v="4"/>
    <n v="5"/>
    <s v="The Office S5"/>
    <n v="85"/>
    <x v="12"/>
    <s v="&quot;Prince Family Paper&quot;"/>
    <s v="Asaad Kelada"/>
    <s v="B. J. Novak"/>
    <x v="89"/>
    <x v="0"/>
    <x v="3"/>
    <n v="5012"/>
    <n v="8.74"/>
    <n v="129"/>
    <x v="0"/>
    <x v="4"/>
  </r>
  <r>
    <x v="1"/>
    <x v="2"/>
    <n v="3"/>
    <s v="30 Rock S3"/>
    <n v="45"/>
    <x v="8"/>
    <s v="&quot;Retreat to Move Forward&quot;"/>
    <s v="Steve Buscemi"/>
    <s v="Tami Sagher"/>
    <x v="89"/>
    <x v="0"/>
    <x v="0"/>
    <n v="309"/>
    <n v="6.4"/>
    <n v="130"/>
    <x v="0"/>
    <x v="4"/>
  </r>
  <r>
    <x v="0"/>
    <x v="4"/>
    <n v="5"/>
    <s v="The Office S5"/>
    <n v="86"/>
    <x v="13"/>
    <s v="&quot;Stress Relief&quot;"/>
    <s v="Jeffrey Blitz"/>
    <s v="Paul Lieberstein"/>
    <x v="90"/>
    <x v="3"/>
    <x v="4"/>
    <n v="5016"/>
    <n v="22.91"/>
    <n v="131"/>
    <x v="0"/>
    <x v="4"/>
  </r>
  <r>
    <x v="0"/>
    <x v="4"/>
    <n v="5"/>
    <s v="The Office S5"/>
    <n v="87"/>
    <x v="14"/>
    <s v="&quot;Stress Relief&quot;"/>
    <s v="Jeffrey Blitz"/>
    <s v="Paul Lieberstein"/>
    <x v="90"/>
    <x v="3"/>
    <x v="4"/>
    <n v="5017"/>
    <n v="22.91"/>
    <n v="132"/>
    <x v="0"/>
    <x v="4"/>
  </r>
  <r>
    <x v="0"/>
    <x v="4"/>
    <n v="5"/>
    <s v="The Office S5"/>
    <n v="88"/>
    <x v="15"/>
    <s v="&quot;Lecture Circuit: Part 1&quot;"/>
    <s v="Ken Kwapis"/>
    <s v="Mindy Kaling"/>
    <x v="91"/>
    <x v="0"/>
    <x v="3"/>
    <n v="5014"/>
    <n v="8.39"/>
    <n v="133"/>
    <x v="0"/>
    <x v="4"/>
  </r>
  <r>
    <x v="1"/>
    <x v="2"/>
    <n v="3"/>
    <s v="30 Rock S3"/>
    <n v="46"/>
    <x v="9"/>
    <s v="&quot;Generalissimo&quot;"/>
    <s v="Todd Holland"/>
    <s v="Robert Carlock"/>
    <x v="91"/>
    <x v="0"/>
    <x v="0"/>
    <n v="310"/>
    <n v="6.4"/>
    <n v="134"/>
    <x v="0"/>
    <x v="4"/>
  </r>
  <r>
    <x v="0"/>
    <x v="4"/>
    <n v="5"/>
    <s v="The Office S5"/>
    <n v="89"/>
    <x v="16"/>
    <s v="&quot;Lecture Circuit: Part 2&quot;"/>
    <s v="Ken Kwapis"/>
    <s v="Mindy Kaling"/>
    <x v="92"/>
    <x v="0"/>
    <x v="3"/>
    <n v="5015"/>
    <n v="8.89"/>
    <n v="135"/>
    <x v="0"/>
    <x v="4"/>
  </r>
  <r>
    <x v="1"/>
    <x v="2"/>
    <n v="3"/>
    <s v="30 Rock S3"/>
    <n v="47"/>
    <x v="10"/>
    <s v="&quot;St. Valentine's Day&quot;"/>
    <s v="Don Scardino"/>
    <s v="Jack Burditt &amp; Tina Fey"/>
    <x v="92"/>
    <x v="0"/>
    <x v="0"/>
    <n v="311"/>
    <n v="7.6"/>
    <n v="136"/>
    <x v="0"/>
    <x v="4"/>
  </r>
  <r>
    <x v="1"/>
    <x v="2"/>
    <n v="3"/>
    <s v="30 Rock S3"/>
    <n v="48"/>
    <x v="11"/>
    <s v="&quot;Larry King&quot;"/>
    <s v="Constantine Makris"/>
    <s v="Matt Hubbard"/>
    <x v="93"/>
    <x v="0"/>
    <x v="0"/>
    <n v="312"/>
    <n v="6.4"/>
    <n v="137"/>
    <x v="0"/>
    <x v="4"/>
  </r>
  <r>
    <x v="0"/>
    <x v="4"/>
    <n v="5"/>
    <s v="The Office S5"/>
    <n v="90"/>
    <x v="17"/>
    <s v="&quot;Blood Drive&quot;"/>
    <s v="Randall Einhorn"/>
    <s v="Brent Forrester"/>
    <x v="94"/>
    <x v="0"/>
    <x v="3"/>
    <n v="5018"/>
    <n v="8.6300000000000008"/>
    <n v="138"/>
    <x v="0"/>
    <x v="4"/>
  </r>
  <r>
    <x v="1"/>
    <x v="2"/>
    <n v="3"/>
    <s v="30 Rock S3"/>
    <n v="49"/>
    <x v="12"/>
    <s v="&quot;Goodbye, My Friend&quot;"/>
    <s v="John Riggi"/>
    <s v="Ron Weiner"/>
    <x v="94"/>
    <x v="0"/>
    <x v="0"/>
    <n v="313"/>
    <n v="7.3"/>
    <n v="139"/>
    <x v="0"/>
    <x v="4"/>
  </r>
  <r>
    <x v="0"/>
    <x v="4"/>
    <n v="5"/>
    <s v="The Office S5"/>
    <n v="91"/>
    <x v="18"/>
    <s v="&quot;Golden Ticket&quot;"/>
    <s v="Randall Einhorn"/>
    <s v="Mindy Kaling"/>
    <x v="95"/>
    <x v="0"/>
    <x v="3"/>
    <n v="5019"/>
    <n v="7.51"/>
    <n v="140"/>
    <x v="0"/>
    <x v="4"/>
  </r>
  <r>
    <x v="1"/>
    <x v="2"/>
    <n v="3"/>
    <s v="30 Rock S3"/>
    <n v="50"/>
    <x v="13"/>
    <s v="&quot;The Funcooker&quot;"/>
    <s v="Ken Whittingham"/>
    <s v="Donald Glover &amp; Tom Ceraulo"/>
    <x v="95"/>
    <x v="0"/>
    <x v="0"/>
    <n v="314"/>
    <n v="6.4"/>
    <n v="141"/>
    <x v="0"/>
    <x v="4"/>
  </r>
  <r>
    <x v="0"/>
    <x v="4"/>
    <n v="5"/>
    <s v="The Office S5"/>
    <n v="92"/>
    <x v="19"/>
    <s v="&quot;New Boss&quot;"/>
    <s v="Paul Feig"/>
    <s v="Lee Eisenberg &amp; Gene Stupnitsky"/>
    <x v="96"/>
    <x v="0"/>
    <x v="3"/>
    <n v="5020"/>
    <n v="7.95"/>
    <n v="142"/>
    <x v="0"/>
    <x v="4"/>
  </r>
  <r>
    <x v="1"/>
    <x v="2"/>
    <n v="3"/>
    <s v="30 Rock S3"/>
    <n v="51"/>
    <x v="14"/>
    <s v="&quot;The Bubble&quot;"/>
    <s v="Tricia Brock"/>
    <s v="Tina Fey"/>
    <x v="96"/>
    <x v="0"/>
    <x v="0"/>
    <n v="315"/>
    <n v="7.1"/>
    <n v="143"/>
    <x v="0"/>
    <x v="4"/>
  </r>
  <r>
    <x v="0"/>
    <x v="4"/>
    <n v="5"/>
    <s v="The Office S5"/>
    <n v="93"/>
    <x v="20"/>
    <s v="&quot;Two Weeks&quot;"/>
    <s v="Paul Lieberstein"/>
    <s v="Aaron Shure"/>
    <x v="97"/>
    <x v="0"/>
    <x v="3"/>
    <n v="5021"/>
    <n v="8.4499999999999993"/>
    <n v="144"/>
    <x v="0"/>
    <x v="4"/>
  </r>
  <r>
    <x v="1"/>
    <x v="2"/>
    <n v="3"/>
    <s v="30 Rock S3"/>
    <n v="52"/>
    <x v="15"/>
    <s v="&quot;Apollo, Apollo&quot;"/>
    <s v="Millicent Shelton"/>
    <s v="Robert Carlock"/>
    <x v="97"/>
    <x v="0"/>
    <x v="0"/>
    <n v="316"/>
    <n v="7.2"/>
    <n v="145"/>
    <x v="0"/>
    <x v="4"/>
  </r>
  <r>
    <x v="2"/>
    <x v="0"/>
    <n v="1"/>
    <s v="Parks and Rec S1"/>
    <n v="1"/>
    <x v="0"/>
    <s v="&quot;Pilot&quot;"/>
    <s v="Greg Daniels"/>
    <s v="Greg Daniels &amp; Michael Schur"/>
    <x v="98"/>
    <x v="0"/>
    <x v="1"/>
    <m/>
    <n v="6.77"/>
    <n v="146"/>
    <x v="0"/>
    <x v="4"/>
  </r>
  <r>
    <x v="0"/>
    <x v="4"/>
    <n v="5"/>
    <s v="The Office S5"/>
    <n v="94"/>
    <x v="21"/>
    <s v="&quot;Dream Team&quot;"/>
    <s v="Paul Feig"/>
    <s v="B. J. Novak"/>
    <x v="98"/>
    <x v="0"/>
    <x v="3"/>
    <n v="5022"/>
    <n v="7.2"/>
    <n v="147"/>
    <x v="0"/>
    <x v="4"/>
  </r>
  <r>
    <x v="0"/>
    <x v="4"/>
    <n v="5"/>
    <s v="The Office S5"/>
    <n v="95"/>
    <x v="22"/>
    <s v="&quot;Michael Scott Paper Company&quot;"/>
    <s v="Gene Stupnitsky"/>
    <s v="Justin Spitzer"/>
    <x v="98"/>
    <x v="0"/>
    <x v="3"/>
    <n v="5023"/>
    <n v="7.94"/>
    <n v="148"/>
    <x v="0"/>
    <x v="4"/>
  </r>
  <r>
    <x v="1"/>
    <x v="2"/>
    <n v="3"/>
    <s v="30 Rock S3"/>
    <n v="53"/>
    <x v="16"/>
    <s v="&quot;Cutbacks&quot;"/>
    <s v="Gail Mancuso"/>
    <s v="Matt Hubbard"/>
    <x v="98"/>
    <x v="0"/>
    <x v="0"/>
    <n v="317"/>
    <n v="6.8"/>
    <n v="149"/>
    <x v="0"/>
    <x v="4"/>
  </r>
  <r>
    <x v="2"/>
    <x v="0"/>
    <n v="1"/>
    <s v="Parks and Rec S1"/>
    <n v="2"/>
    <x v="1"/>
    <s v="&quot;Canvassing&quot;"/>
    <s v="Seth Gordon"/>
    <s v="Rachel Axler"/>
    <x v="99"/>
    <x v="0"/>
    <x v="1"/>
    <m/>
    <n v="5.92"/>
    <n v="150"/>
    <x v="0"/>
    <x v="4"/>
  </r>
  <r>
    <x v="0"/>
    <x v="4"/>
    <n v="5"/>
    <s v="The Office S5"/>
    <n v="96"/>
    <x v="23"/>
    <s v="&quot;Heavy Competition&quot;"/>
    <s v="Ken Whittingham"/>
    <s v="Ryan Koh"/>
    <x v="99"/>
    <x v="0"/>
    <x v="3"/>
    <n v="5024"/>
    <n v="8.24"/>
    <n v="151"/>
    <x v="0"/>
    <x v="4"/>
  </r>
  <r>
    <x v="1"/>
    <x v="2"/>
    <n v="3"/>
    <s v="30 Rock S3"/>
    <n v="54"/>
    <x v="17"/>
    <s v="&quot;Jackie Jormp-Jomp&quot;"/>
    <s v="Don Scardino"/>
    <s v="Kay Cannon &amp; Tracey Wigfield"/>
    <x v="99"/>
    <x v="0"/>
    <x v="0"/>
    <n v="318"/>
    <n v="7.3"/>
    <n v="152"/>
    <x v="0"/>
    <x v="4"/>
  </r>
  <r>
    <x v="2"/>
    <x v="0"/>
    <n v="1"/>
    <s v="Parks and Rec S1"/>
    <n v="3"/>
    <x v="2"/>
    <s v="&quot;The Reporter&quot;"/>
    <s v="Jeffrey Blitz"/>
    <s v="Dan Goor"/>
    <x v="100"/>
    <x v="0"/>
    <x v="1"/>
    <m/>
    <n v="5.24"/>
    <n v="153"/>
    <x v="0"/>
    <x v="4"/>
  </r>
  <r>
    <x v="0"/>
    <x v="4"/>
    <n v="5"/>
    <s v="The Office S5"/>
    <n v="97"/>
    <x v="24"/>
    <s v="&quot;Broke&quot;"/>
    <s v="Steve Carell"/>
    <s v="Charlie Grandy"/>
    <x v="100"/>
    <x v="0"/>
    <x v="3"/>
    <n v="5025"/>
    <n v="7.21"/>
    <n v="154"/>
    <x v="0"/>
    <x v="4"/>
  </r>
  <r>
    <x v="1"/>
    <x v="2"/>
    <n v="3"/>
    <s v="30 Rock S3"/>
    <n v="55"/>
    <x v="18"/>
    <s v="&quot;The Ones&quot;"/>
    <s v="Beth McCarthy"/>
    <s v="Jack Burditt"/>
    <x v="100"/>
    <x v="0"/>
    <x v="0"/>
    <n v="319"/>
    <n v="6.3"/>
    <n v="155"/>
    <x v="0"/>
    <x v="4"/>
  </r>
  <r>
    <x v="2"/>
    <x v="0"/>
    <n v="1"/>
    <s v="Parks and Rec S1"/>
    <n v="4"/>
    <x v="3"/>
    <s v="&quot;Boys' Club&quot;"/>
    <s v="Michael McCullers"/>
    <s v="Alan Yang"/>
    <x v="101"/>
    <x v="0"/>
    <x v="1"/>
    <m/>
    <n v="5.29"/>
    <n v="156"/>
    <x v="0"/>
    <x v="4"/>
  </r>
  <r>
    <x v="0"/>
    <x v="4"/>
    <n v="5"/>
    <s v="The Office S5"/>
    <n v="98"/>
    <x v="25"/>
    <s v="&quot;Casual Friday&quot;"/>
    <s v="Brent Forrester"/>
    <s v="Anthony Q. Farrell"/>
    <x v="101"/>
    <x v="0"/>
    <x v="3"/>
    <n v="5026"/>
    <n v="7.31"/>
    <n v="157"/>
    <x v="0"/>
    <x v="4"/>
  </r>
  <r>
    <x v="1"/>
    <x v="2"/>
    <n v="3"/>
    <s v="30 Rock S3"/>
    <n v="56"/>
    <x v="19"/>
    <s v="&quot;The Natural Order&quot;"/>
    <s v="Scott Ellis"/>
    <s v="John Riggi &amp; Tina Fey"/>
    <x v="101"/>
    <x v="0"/>
    <x v="0"/>
    <n v="320"/>
    <n v="6"/>
    <n v="158"/>
    <x v="0"/>
    <x v="4"/>
  </r>
  <r>
    <x v="2"/>
    <x v="0"/>
    <n v="1"/>
    <s v="Parks and Rec S1"/>
    <n v="5"/>
    <x v="4"/>
    <s v="&quot;The Banquet&quot;"/>
    <s v="Beth McCarthy-Miller"/>
    <s v="Tucker Cawley"/>
    <x v="102"/>
    <x v="0"/>
    <x v="1"/>
    <m/>
    <n v="4.6399999999999997"/>
    <n v="159"/>
    <x v="0"/>
    <x v="4"/>
  </r>
  <r>
    <x v="0"/>
    <x v="4"/>
    <n v="5"/>
    <s v="The Office S5"/>
    <n v="99"/>
    <x v="26"/>
    <s v="&quot;Cafe Disco&quot;"/>
    <s v="Randall Einhorn"/>
    <s v="Warren Lieberstein &amp; Halsted Sullivan"/>
    <x v="102"/>
    <x v="0"/>
    <x v="3"/>
    <n v="5027"/>
    <n v="7.71"/>
    <n v="160"/>
    <x v="0"/>
    <x v="4"/>
  </r>
  <r>
    <x v="1"/>
    <x v="2"/>
    <n v="3"/>
    <s v="30 Rock S3"/>
    <n v="57"/>
    <x v="20"/>
    <s v="&quot;Mamma Mia&quot;"/>
    <s v="Don Scardino"/>
    <s v="Ron Weiner"/>
    <x v="102"/>
    <x v="0"/>
    <x v="0"/>
    <n v="321"/>
    <n v="6.2"/>
    <n v="161"/>
    <x v="0"/>
    <x v="4"/>
  </r>
  <r>
    <x v="2"/>
    <x v="0"/>
    <n v="1"/>
    <s v="Parks and Rec S1"/>
    <n v="6"/>
    <x v="5"/>
    <s v="&quot;Rock Show&quot;"/>
    <s v="Michael Schur"/>
    <s v="Norm Hiscock"/>
    <x v="103"/>
    <x v="0"/>
    <x v="1"/>
    <m/>
    <n v="4.25"/>
    <n v="162"/>
    <x v="0"/>
    <x v="4"/>
  </r>
  <r>
    <x v="0"/>
    <x v="4"/>
    <n v="5"/>
    <s v="The Office S5"/>
    <n v="100"/>
    <x v="27"/>
    <s v="&quot;Company Picnic&quot;"/>
    <s v="Ken Kwapis"/>
    <s v="Jennifer Celotta &amp; Paul Lieberstein"/>
    <x v="103"/>
    <x v="0"/>
    <x v="3"/>
    <n v="5028"/>
    <n v="6.72"/>
    <n v="163"/>
    <x v="0"/>
    <x v="4"/>
  </r>
  <r>
    <x v="1"/>
    <x v="2"/>
    <n v="3"/>
    <s v="30 Rock S3"/>
    <n v="58"/>
    <x v="21"/>
    <s v="&quot;Kidney Now!&quot;"/>
    <s v="Don Scardino"/>
    <s v="Jack Burditt &amp; Robert Carlock"/>
    <x v="103"/>
    <x v="0"/>
    <x v="0"/>
    <n v="322"/>
    <n v="5.7"/>
    <n v="164"/>
    <x v="0"/>
    <x v="4"/>
  </r>
  <r>
    <x v="2"/>
    <x v="1"/>
    <n v="2"/>
    <s v="Parks and Rec S2"/>
    <n v="7"/>
    <x v="0"/>
    <s v="&quot;Pawnee Zoo&quot;"/>
    <s v="Paul Feig"/>
    <s v="Norm Hiscock"/>
    <x v="104"/>
    <x v="0"/>
    <x v="1"/>
    <m/>
    <n v="5"/>
    <n v="165"/>
    <x v="0"/>
    <x v="5"/>
  </r>
  <r>
    <x v="0"/>
    <x v="5"/>
    <n v="6"/>
    <s v="The Office S6"/>
    <n v="101"/>
    <x v="0"/>
    <s v="&quot;Gossip&quot;"/>
    <s v="Paul Lieberstein"/>
    <s v="Paul Lieberstein"/>
    <x v="104"/>
    <x v="0"/>
    <x v="3"/>
    <n v="6001"/>
    <n v="8.1999999999999993"/>
    <n v="166"/>
    <x v="0"/>
    <x v="5"/>
  </r>
  <r>
    <x v="3"/>
    <x v="0"/>
    <n v="1"/>
    <s v="Community S1"/>
    <n v="1"/>
    <x v="0"/>
    <s v="&quot;Pilot&quot;"/>
    <s v="Anthony Russo &amp; Joe Russo"/>
    <s v="Dan Harmon"/>
    <x v="104"/>
    <x v="0"/>
    <x v="0"/>
    <n v="100"/>
    <n v="7.89"/>
    <n v="167"/>
    <x v="0"/>
    <x v="5"/>
  </r>
  <r>
    <x v="2"/>
    <x v="1"/>
    <n v="2"/>
    <s v="Parks and Rec S2"/>
    <n v="8"/>
    <x v="1"/>
    <s v="&quot;The Stakeout&quot;"/>
    <s v="Seth Gordon"/>
    <s v="Rachel Axler"/>
    <x v="105"/>
    <x v="0"/>
    <x v="1"/>
    <m/>
    <n v="4.22"/>
    <n v="168"/>
    <x v="0"/>
    <x v="5"/>
  </r>
  <r>
    <x v="0"/>
    <x v="5"/>
    <n v="6"/>
    <s v="The Office S6"/>
    <n v="102"/>
    <x v="1"/>
    <s v="&quot;The Meeting&quot;"/>
    <s v="Randall Einhorn"/>
    <s v="Aaron Shure"/>
    <x v="105"/>
    <x v="0"/>
    <x v="3"/>
    <n v="6002"/>
    <n v="7.33"/>
    <n v="169"/>
    <x v="0"/>
    <x v="5"/>
  </r>
  <r>
    <x v="3"/>
    <x v="0"/>
    <n v="1"/>
    <s v="Community S1"/>
    <n v="2"/>
    <x v="1"/>
    <s v="&quot;Spanish 101&quot;"/>
    <s v="Joe Russo"/>
    <s v="Dan Harmon"/>
    <x v="105"/>
    <x v="0"/>
    <x v="0"/>
    <n v="101"/>
    <n v="5.39"/>
    <n v="170"/>
    <x v="0"/>
    <x v="5"/>
  </r>
  <r>
    <x v="2"/>
    <x v="1"/>
    <n v="2"/>
    <s v="Parks and Rec S2"/>
    <n v="9"/>
    <x v="2"/>
    <s v="&quot;Beauty Pageant&quot;"/>
    <s v="Jason Woliner"/>
    <s v="Katie Dippold"/>
    <x v="106"/>
    <x v="0"/>
    <x v="1"/>
    <m/>
    <n v="4.63"/>
    <n v="171"/>
    <x v="0"/>
    <x v="5"/>
  </r>
  <r>
    <x v="0"/>
    <x v="5"/>
    <n v="6"/>
    <s v="The Office S6"/>
    <n v="103"/>
    <x v="2"/>
    <s v="&quot;The Promotion&quot;"/>
    <s v="Jennifer Celotta"/>
    <s v="Jennifer Celotta"/>
    <x v="106"/>
    <x v="0"/>
    <x v="3"/>
    <n v="6003"/>
    <n v="7.28"/>
    <n v="172"/>
    <x v="0"/>
    <x v="5"/>
  </r>
  <r>
    <x v="3"/>
    <x v="0"/>
    <n v="1"/>
    <s v="Community S1"/>
    <n v="3"/>
    <x v="2"/>
    <s v="&quot;Introduction to Film&quot;"/>
    <s v="Anthony Russo"/>
    <s v="Tim Hobert &amp; Jon Pollack"/>
    <x v="106"/>
    <x v="0"/>
    <x v="0"/>
    <n v="102"/>
    <n v="5.86"/>
    <n v="173"/>
    <x v="0"/>
    <x v="5"/>
  </r>
  <r>
    <x v="3"/>
    <x v="0"/>
    <n v="1"/>
    <s v="Community S1"/>
    <n v="4"/>
    <x v="3"/>
    <s v="&quot;Social Psychology&quot;"/>
    <s v="Anthony Russo"/>
    <s v="Liz Cackowski"/>
    <x v="107"/>
    <x v="0"/>
    <x v="2"/>
    <n v="104"/>
    <n v="4.87"/>
    <n v="174"/>
    <x v="0"/>
    <x v="5"/>
  </r>
  <r>
    <x v="2"/>
    <x v="1"/>
    <n v="2"/>
    <s v="Parks and Rec S2"/>
    <n v="10"/>
    <x v="3"/>
    <s v="&quot;Practice Date&quot;"/>
    <s v="Alex Hardcastle"/>
    <s v="Harris Wittels"/>
    <x v="107"/>
    <x v="0"/>
    <x v="1"/>
    <m/>
    <n v="4.97"/>
    <n v="175"/>
    <x v="0"/>
    <x v="5"/>
  </r>
  <r>
    <x v="0"/>
    <x v="5"/>
    <n v="6"/>
    <s v="The Office S6"/>
    <n v="104"/>
    <x v="3"/>
    <s v="&quot;Niagara&quot;"/>
    <s v="Paul Feig"/>
    <s v="Greg Daniels &amp; Mindy Kaling"/>
    <x v="107"/>
    <x v="0"/>
    <x v="3"/>
    <n v="6004"/>
    <n v="9.42"/>
    <n v="176"/>
    <x v="0"/>
    <x v="5"/>
  </r>
  <r>
    <x v="0"/>
    <x v="5"/>
    <n v="6"/>
    <s v="The Office S6"/>
    <n v="105"/>
    <x v="4"/>
    <s v="&quot;Niagara&quot;"/>
    <s v="Paul Feig"/>
    <s v="Greg Daniels &amp; Mindy Kaling"/>
    <x v="107"/>
    <x v="0"/>
    <x v="0"/>
    <n v="6005"/>
    <n v="9.42"/>
    <n v="177"/>
    <x v="0"/>
    <x v="5"/>
  </r>
  <r>
    <x v="3"/>
    <x v="0"/>
    <n v="1"/>
    <s v="Community S1"/>
    <n v="5"/>
    <x v="4"/>
    <s v="&quot;Advanced Criminal Law&quot;"/>
    <s v="Joe Russo"/>
    <s v="Andrew Guest"/>
    <x v="108"/>
    <x v="0"/>
    <x v="2"/>
    <n v="105"/>
    <n v="5.01"/>
    <n v="178"/>
    <x v="1"/>
    <x v="5"/>
  </r>
  <r>
    <x v="2"/>
    <x v="1"/>
    <n v="2"/>
    <s v="Parks and Rec S2"/>
    <n v="11"/>
    <x v="4"/>
    <s v="&quot;Sister City&quot;"/>
    <s v="Michael Schur"/>
    <s v="Alan Yang"/>
    <x v="108"/>
    <x v="0"/>
    <x v="1"/>
    <m/>
    <n v="4.6900000000000004"/>
    <n v="179"/>
    <x v="1"/>
    <x v="5"/>
  </r>
  <r>
    <x v="0"/>
    <x v="5"/>
    <n v="6"/>
    <s v="The Office S6"/>
    <n v="106"/>
    <x v="5"/>
    <s v="&quot;Mafia&quot;"/>
    <s v="David Rogers"/>
    <s v="Brent Forrester"/>
    <x v="108"/>
    <x v="0"/>
    <x v="3"/>
    <n v="6006"/>
    <n v="8.1"/>
    <n v="180"/>
    <x v="1"/>
    <x v="5"/>
  </r>
  <r>
    <x v="1"/>
    <x v="3"/>
    <n v="4"/>
    <s v="30 Rock S4"/>
    <n v="59"/>
    <x v="0"/>
    <s v="&quot;Season 4&quot;"/>
    <s v="Don Scardino"/>
    <s v="Tina Fey"/>
    <x v="108"/>
    <x v="0"/>
    <x v="0"/>
    <n v="401"/>
    <n v="6.39"/>
    <n v="181"/>
    <x v="1"/>
    <x v="5"/>
  </r>
  <r>
    <x v="3"/>
    <x v="0"/>
    <n v="1"/>
    <s v="Community S1"/>
    <n v="6"/>
    <x v="5"/>
    <s v="&quot;Football, Feminism and You&quot;"/>
    <s v="Joe Russo"/>
    <s v="Hilary Winston"/>
    <x v="109"/>
    <x v="0"/>
    <x v="2"/>
    <n v="103"/>
    <n v="5.18"/>
    <n v="182"/>
    <x v="1"/>
    <x v="5"/>
  </r>
  <r>
    <x v="2"/>
    <x v="1"/>
    <n v="2"/>
    <s v="Parks and Rec S2"/>
    <n v="12"/>
    <x v="5"/>
    <s v="&quot;Kaboom&quot;"/>
    <s v="Charles McDougall"/>
    <s v="Aisha Muharrar"/>
    <x v="109"/>
    <x v="0"/>
    <x v="1"/>
    <m/>
    <n v="4.9800000000000004"/>
    <n v="183"/>
    <x v="1"/>
    <x v="5"/>
  </r>
  <r>
    <x v="0"/>
    <x v="5"/>
    <n v="6"/>
    <s v="The Office S6"/>
    <n v="107"/>
    <x v="6"/>
    <s v="&quot;The Lover&quot;"/>
    <s v="Lee Eisenberg"/>
    <s v="Lee Eisenberg &amp; Gene Stupnitsky"/>
    <x v="109"/>
    <x v="0"/>
    <x v="3"/>
    <n v="6007"/>
    <n v="8.52"/>
    <n v="184"/>
    <x v="1"/>
    <x v="5"/>
  </r>
  <r>
    <x v="1"/>
    <x v="3"/>
    <n v="4"/>
    <s v="30 Rock S4"/>
    <n v="60"/>
    <x v="1"/>
    <s v="&quot;Into the Crevasse&quot;"/>
    <s v="Beth McCarthy Miller"/>
    <s v="Robert Carlock"/>
    <x v="109"/>
    <x v="0"/>
    <x v="0"/>
    <n v="402"/>
    <n v="6.68"/>
    <n v="185"/>
    <x v="1"/>
    <x v="5"/>
  </r>
  <r>
    <x v="3"/>
    <x v="0"/>
    <n v="1"/>
    <s v="Community S1"/>
    <n v="7"/>
    <x v="6"/>
    <s v="&quot;Introduction to Statistics&quot;"/>
    <s v="Justin Lin"/>
    <s v="Tim Hobert &amp; Jon Pollack"/>
    <x v="110"/>
    <x v="0"/>
    <x v="2"/>
    <n v="106"/>
    <n v="5.32"/>
    <n v="186"/>
    <x v="1"/>
    <x v="5"/>
  </r>
  <r>
    <x v="2"/>
    <x v="1"/>
    <n v="2"/>
    <s v="Parks and Rec S2"/>
    <n v="13"/>
    <x v="6"/>
    <s v="&quot;Greg Pikitis&quot;"/>
    <s v="Dean Holland"/>
    <s v="Michael Schur"/>
    <x v="110"/>
    <x v="0"/>
    <x v="1"/>
    <m/>
    <n v="4.96"/>
    <n v="187"/>
    <x v="1"/>
    <x v="5"/>
  </r>
  <r>
    <x v="0"/>
    <x v="5"/>
    <n v="6"/>
    <s v="The Office S6"/>
    <n v="108"/>
    <x v="7"/>
    <s v="&quot;Koi Pond&quot;"/>
    <s v="Reggie Hudlin"/>
    <s v="Warren Lieberstein &amp; Halsted Sullivan"/>
    <x v="110"/>
    <x v="0"/>
    <x v="3"/>
    <n v="6009"/>
    <n v="8.1999999999999993"/>
    <n v="188"/>
    <x v="1"/>
    <x v="5"/>
  </r>
  <r>
    <x v="1"/>
    <x v="3"/>
    <n v="4"/>
    <s v="30 Rock S4"/>
    <n v="61"/>
    <x v="2"/>
    <s v="&quot;Stone Mountain&quot;"/>
    <s v="Don Scardino"/>
    <s v="John Riggi"/>
    <x v="110"/>
    <x v="0"/>
    <x v="0"/>
    <n v="403"/>
    <n v="6.01"/>
    <n v="189"/>
    <x v="1"/>
    <x v="5"/>
  </r>
  <r>
    <x v="3"/>
    <x v="0"/>
    <n v="1"/>
    <s v="Community S1"/>
    <n v="8"/>
    <x v="7"/>
    <s v="&quot;Home Economics&quot;"/>
    <s v="Anthony Russo"/>
    <s v="Lauren Pomerantz"/>
    <x v="111"/>
    <x v="0"/>
    <x v="2"/>
    <n v="107"/>
    <n v="5.45"/>
    <n v="190"/>
    <x v="1"/>
    <x v="5"/>
  </r>
  <r>
    <x v="2"/>
    <x v="1"/>
    <n v="2"/>
    <s v="Parks and Rec S2"/>
    <n v="14"/>
    <x v="7"/>
    <s v="&quot;Ron and Tammy&quot;"/>
    <s v="Troy Miller"/>
    <s v="Mike Scully"/>
    <x v="111"/>
    <x v="0"/>
    <x v="1"/>
    <m/>
    <n v="4.9400000000000004"/>
    <n v="191"/>
    <x v="1"/>
    <x v="5"/>
  </r>
  <r>
    <x v="0"/>
    <x v="5"/>
    <n v="6"/>
    <s v="The Office S6"/>
    <n v="109"/>
    <x v="8"/>
    <s v="&quot;Double Date&quot;"/>
    <s v="Seth Gordon"/>
    <s v="Charlie Grandy"/>
    <x v="111"/>
    <x v="0"/>
    <x v="3"/>
    <n v="6008"/>
    <n v="7.94"/>
    <n v="192"/>
    <x v="1"/>
    <x v="5"/>
  </r>
  <r>
    <x v="1"/>
    <x v="3"/>
    <n v="4"/>
    <s v="30 Rock S4"/>
    <n v="62"/>
    <x v="3"/>
    <s v="&quot;Audition Day&quot;"/>
    <s v="Beth McCarthy Miller"/>
    <s v="Matt Hubbard"/>
    <x v="111"/>
    <x v="0"/>
    <x v="0"/>
    <n v="404"/>
    <n v="6.15"/>
    <n v="193"/>
    <x v="1"/>
    <x v="5"/>
  </r>
  <r>
    <x v="3"/>
    <x v="0"/>
    <n v="1"/>
    <s v="Community S1"/>
    <n v="9"/>
    <x v="8"/>
    <s v="&quot;Debate 109&quot;"/>
    <s v="Joe Russo"/>
    <s v="Tim Hobert"/>
    <x v="112"/>
    <x v="0"/>
    <x v="2"/>
    <n v="109"/>
    <n v="5.09"/>
    <n v="194"/>
    <x v="1"/>
    <x v="5"/>
  </r>
  <r>
    <x v="2"/>
    <x v="1"/>
    <n v="2"/>
    <s v="Parks and Rec S2"/>
    <n v="15"/>
    <x v="8"/>
    <s v="&quot;The Camel&quot;"/>
    <s v="Millicent Shelton"/>
    <s v="Rachel Axler"/>
    <x v="112"/>
    <x v="0"/>
    <x v="1"/>
    <m/>
    <n v="4.67"/>
    <n v="195"/>
    <x v="1"/>
    <x v="5"/>
  </r>
  <r>
    <x v="0"/>
    <x v="5"/>
    <n v="6"/>
    <s v="The Office S6"/>
    <n v="110"/>
    <x v="9"/>
    <s v="&quot;Murder&quot;"/>
    <s v="Greg Daniels"/>
    <s v="Daniel Chun"/>
    <x v="112"/>
    <x v="0"/>
    <x v="3"/>
    <n v="6010"/>
    <n v="7.76"/>
    <n v="196"/>
    <x v="1"/>
    <x v="5"/>
  </r>
  <r>
    <x v="1"/>
    <x v="3"/>
    <n v="4"/>
    <s v="30 Rock S4"/>
    <n v="63"/>
    <x v="4"/>
    <s v="&quot;The Problem Solvers&quot;"/>
    <s v="John Riggi"/>
    <s v="Ron Weiner"/>
    <x v="112"/>
    <x v="0"/>
    <x v="0"/>
    <n v="405"/>
    <n v="6"/>
    <n v="197"/>
    <x v="1"/>
    <x v="5"/>
  </r>
  <r>
    <x v="3"/>
    <x v="0"/>
    <n v="1"/>
    <s v="Community S1"/>
    <n v="10"/>
    <x v="9"/>
    <s v="&quot;Environmental Science&quot;"/>
    <s v="Seth Gordon"/>
    <s v="Zach Paez"/>
    <x v="113"/>
    <x v="0"/>
    <x v="2"/>
    <n v="108"/>
    <n v="4.8600000000000003"/>
    <n v="198"/>
    <x v="1"/>
    <x v="5"/>
  </r>
  <r>
    <x v="2"/>
    <x v="1"/>
    <n v="2"/>
    <s v="Parks and Rec S2"/>
    <n v="16"/>
    <x v="9"/>
    <s v="&quot;Hunting Trip&quot;"/>
    <s v="Greg Daniels"/>
    <s v="Dan Goor"/>
    <x v="113"/>
    <x v="0"/>
    <x v="1"/>
    <m/>
    <n v="4.6100000000000003"/>
    <n v="199"/>
    <x v="1"/>
    <x v="5"/>
  </r>
  <r>
    <x v="0"/>
    <x v="5"/>
    <n v="6"/>
    <s v="The Office S6"/>
    <n v="111"/>
    <x v="10"/>
    <s v="&quot;Shareholder Meeting&quot;"/>
    <s v="Charles McDougall"/>
    <s v="Justin Spitzer"/>
    <x v="113"/>
    <x v="0"/>
    <x v="3"/>
    <n v="6011"/>
    <n v="7.43"/>
    <n v="200"/>
    <x v="1"/>
    <x v="5"/>
  </r>
  <r>
    <x v="1"/>
    <x v="3"/>
    <n v="4"/>
    <s v="30 Rock S4"/>
    <n v="64"/>
    <x v="5"/>
    <s v="&quot;Sun Tea&quot;"/>
    <s v="Gail Mancuso"/>
    <s v="Josh Siegal &amp; Dylan Morgan"/>
    <x v="113"/>
    <x v="0"/>
    <x v="0"/>
    <n v="406"/>
    <n v="5.72"/>
    <n v="201"/>
    <x v="1"/>
    <x v="5"/>
  </r>
  <r>
    <x v="3"/>
    <x v="0"/>
    <n v="1"/>
    <s v="Community S1"/>
    <n v="11"/>
    <x v="10"/>
    <s v="&quot;The Politics of Human Sexuality&quot;"/>
    <s v="Anthony Russo"/>
    <s v="Hilary Winston"/>
    <x v="114"/>
    <x v="0"/>
    <x v="2"/>
    <n v="110"/>
    <n v="5.42"/>
    <n v="202"/>
    <x v="1"/>
    <x v="5"/>
  </r>
  <r>
    <x v="2"/>
    <x v="1"/>
    <n v="2"/>
    <s v="Parks and Rec S2"/>
    <n v="17"/>
    <x v="10"/>
    <s v="&quot;Tom's Divorce&quot;"/>
    <s v="Troy Miller"/>
    <s v="Harris Wittels"/>
    <x v="114"/>
    <x v="0"/>
    <x v="1"/>
    <m/>
    <n v="4.83"/>
    <n v="203"/>
    <x v="1"/>
    <x v="5"/>
  </r>
  <r>
    <x v="0"/>
    <x v="5"/>
    <n v="6"/>
    <s v="The Office S6"/>
    <n v="112"/>
    <x v="11"/>
    <s v="&quot;Scott's Tots&quot;"/>
    <s v="B. J. Novak"/>
    <s v="Gene Stupnitsky &amp; Lee Eisenberg"/>
    <x v="114"/>
    <x v="0"/>
    <x v="3"/>
    <n v="6013"/>
    <n v="8.1"/>
    <n v="204"/>
    <x v="1"/>
    <x v="5"/>
  </r>
  <r>
    <x v="1"/>
    <x v="3"/>
    <n v="4"/>
    <s v="30 Rock S4"/>
    <n v="65"/>
    <x v="6"/>
    <s v="&quot;Dealbreakers Talk Show #0001&quot;"/>
    <s v="Don Scardino"/>
    <s v="Kay Cannon"/>
    <x v="114"/>
    <x v="0"/>
    <x v="0"/>
    <n v="407"/>
    <n v="6.08"/>
    <n v="205"/>
    <x v="1"/>
    <x v="5"/>
  </r>
  <r>
    <x v="3"/>
    <x v="0"/>
    <n v="1"/>
    <s v="Community S1"/>
    <n v="12"/>
    <x v="11"/>
    <s v="&quot;Comparative Religion&quot;"/>
    <s v="Adam Davidson"/>
    <s v="Liz Cackowski"/>
    <x v="115"/>
    <x v="0"/>
    <x v="2"/>
    <n v="111"/>
    <n v="5.51"/>
    <n v="206"/>
    <x v="1"/>
    <x v="5"/>
  </r>
  <r>
    <x v="2"/>
    <x v="1"/>
    <n v="2"/>
    <s v="Parks and Rec S2"/>
    <n v="18"/>
    <x v="11"/>
    <s v="&quot;Christmas Scandal&quot;"/>
    <s v="Randall Einhorn"/>
    <s v="Michael Schur"/>
    <x v="115"/>
    <x v="0"/>
    <x v="1"/>
    <m/>
    <n v="4.9000000000000004"/>
    <n v="207"/>
    <x v="1"/>
    <x v="5"/>
  </r>
  <r>
    <x v="0"/>
    <x v="5"/>
    <n v="6"/>
    <s v="The Office S6"/>
    <n v="113"/>
    <x v="12"/>
    <s v="&quot;Secret Santa&quot;"/>
    <s v="Randall Einhorn"/>
    <s v="Mindy Kaling"/>
    <x v="115"/>
    <x v="0"/>
    <x v="3"/>
    <n v="6014"/>
    <n v="8.51"/>
    <n v="208"/>
    <x v="1"/>
    <x v="5"/>
  </r>
  <r>
    <x v="1"/>
    <x v="3"/>
    <n v="4"/>
    <s v="30 Rock S4"/>
    <n v="66"/>
    <x v="7"/>
    <s v="&quot;Secret Santa&quot;"/>
    <s v="Beth McCarthy Miller"/>
    <s v="Tina Fey"/>
    <x v="115"/>
    <x v="0"/>
    <x v="0"/>
    <n v="408"/>
    <n v="6.7"/>
    <n v="209"/>
    <x v="1"/>
    <x v="5"/>
  </r>
  <r>
    <x v="3"/>
    <x v="0"/>
    <n v="1"/>
    <s v="Community S1"/>
    <n v="13"/>
    <x v="12"/>
    <s v="&quot;Investigative Journalism&quot;"/>
    <s v="Joe Russo"/>
    <s v="Jon Pollack &amp; Tim Hobert"/>
    <x v="116"/>
    <x v="0"/>
    <x v="2"/>
    <n v="113"/>
    <n v="5.42"/>
    <n v="210"/>
    <x v="0"/>
    <x v="5"/>
  </r>
  <r>
    <x v="2"/>
    <x v="1"/>
    <n v="2"/>
    <s v="Parks and Rec S2"/>
    <n v="19"/>
    <x v="12"/>
    <s v="&quot;The Set Up&quot;"/>
    <s v="Troy Miller"/>
    <s v="Katie Dippold"/>
    <x v="116"/>
    <x v="0"/>
    <x v="1"/>
    <m/>
    <n v="4.59"/>
    <n v="211"/>
    <x v="0"/>
    <x v="5"/>
  </r>
  <r>
    <x v="1"/>
    <x v="3"/>
    <n v="4"/>
    <s v="30 Rock S4"/>
    <n v="67"/>
    <x v="8"/>
    <s v="&quot;Klaus and Greta&quot;"/>
    <s v="Gail Mancuso"/>
    <s v="Robert Carlock"/>
    <x v="116"/>
    <x v="0"/>
    <x v="3"/>
    <n v="409"/>
    <n v="5.12"/>
    <n v="212"/>
    <x v="0"/>
    <x v="5"/>
  </r>
  <r>
    <x v="1"/>
    <x v="3"/>
    <n v="4"/>
    <s v="30 Rock S4"/>
    <n v="68"/>
    <x v="9"/>
    <s v="&quot;Black Light Attack!&quot;"/>
    <s v="Don Scardino"/>
    <s v="Steve Hely"/>
    <x v="116"/>
    <x v="0"/>
    <x v="0"/>
    <n v="410"/>
    <n v="5.01"/>
    <n v="213"/>
    <x v="0"/>
    <x v="5"/>
  </r>
  <r>
    <x v="3"/>
    <x v="0"/>
    <n v="1"/>
    <s v="Community S1"/>
    <n v="14"/>
    <x v="13"/>
    <s v="&quot;Interpretive Dance&quot;"/>
    <s v="Justin Lin"/>
    <s v="Lauren Pomerantz"/>
    <x v="117"/>
    <x v="0"/>
    <x v="2"/>
    <n v="112"/>
    <n v="4.7300000000000004"/>
    <n v="214"/>
    <x v="1"/>
    <x v="5"/>
  </r>
  <r>
    <x v="2"/>
    <x v="1"/>
    <n v="2"/>
    <s v="Parks and Rec S2"/>
    <n v="20"/>
    <x v="13"/>
    <s v="&quot;Leslie's House&quot;"/>
    <s v="Alex Hardcastle"/>
    <s v="Dan Goor"/>
    <x v="117"/>
    <x v="0"/>
    <x v="1"/>
    <m/>
    <n v="4.3499999999999996"/>
    <n v="215"/>
    <x v="1"/>
    <x v="5"/>
  </r>
  <r>
    <x v="0"/>
    <x v="5"/>
    <n v="6"/>
    <s v="The Office S6"/>
    <n v="114"/>
    <x v="13"/>
    <s v="&quot;The Banker&quot;"/>
    <s v="Jeffrey Blitz"/>
    <s v="Jason Kessler"/>
    <x v="117"/>
    <x v="0"/>
    <x v="3"/>
    <n v="6012"/>
    <n v="7.29"/>
    <n v="216"/>
    <x v="1"/>
    <x v="5"/>
  </r>
  <r>
    <x v="1"/>
    <x v="3"/>
    <n v="4"/>
    <s v="30 Rock S4"/>
    <n v="69"/>
    <x v="10"/>
    <s v="&quot;Winter Madness&quot;"/>
    <s v="Beth McCarthy Miller"/>
    <s v="Vali Chandrasekaran &amp; Tom Ceraulo"/>
    <x v="117"/>
    <x v="0"/>
    <x v="0"/>
    <n v="411"/>
    <n v="5.58"/>
    <n v="217"/>
    <x v="1"/>
    <x v="5"/>
  </r>
  <r>
    <x v="3"/>
    <x v="0"/>
    <n v="1"/>
    <s v="Community S1"/>
    <n v="15"/>
    <x v="14"/>
    <s v="&quot;Romantic Expressionism&quot;"/>
    <s v="Joe Russo"/>
    <s v="Andrew Guest"/>
    <x v="118"/>
    <x v="0"/>
    <x v="2"/>
    <n v="115"/>
    <n v="5.23"/>
    <n v="218"/>
    <x v="1"/>
    <x v="5"/>
  </r>
  <r>
    <x v="2"/>
    <x v="1"/>
    <n v="2"/>
    <s v="Parks and Rec S2"/>
    <n v="21"/>
    <x v="14"/>
    <s v="&quot;Sweetums&quot;"/>
    <s v="Dean Holland"/>
    <s v="Alan Yang"/>
    <x v="118"/>
    <x v="0"/>
    <x v="1"/>
    <m/>
    <n v="4.87"/>
    <n v="219"/>
    <x v="1"/>
    <x v="5"/>
  </r>
  <r>
    <x v="0"/>
    <x v="5"/>
    <n v="6"/>
    <s v="The Office S6"/>
    <n v="115"/>
    <x v="14"/>
    <s v="&quot;Sabre&quot;"/>
    <s v="John Krasinski"/>
    <s v="Jennifer Celotta"/>
    <x v="118"/>
    <x v="0"/>
    <x v="3"/>
    <n v="6015"/>
    <n v="7.36"/>
    <n v="220"/>
    <x v="1"/>
    <x v="5"/>
  </r>
  <r>
    <x v="1"/>
    <x v="3"/>
    <n v="4"/>
    <s v="30 Rock S4"/>
    <n v="70"/>
    <x v="11"/>
    <s v="&quot;Verna&quot;"/>
    <s v="Don Scardino"/>
    <s v="Ron Weiner"/>
    <x v="118"/>
    <x v="0"/>
    <x v="0"/>
    <n v="412"/>
    <n v="5.79"/>
    <n v="221"/>
    <x v="1"/>
    <x v="5"/>
  </r>
  <r>
    <x v="3"/>
    <x v="0"/>
    <n v="1"/>
    <s v="Community S1"/>
    <n v="16"/>
    <x v="15"/>
    <s v="&quot;Communication Studies&quot;"/>
    <s v="Adam Davidson"/>
    <s v="Chris McKenna"/>
    <x v="119"/>
    <x v="0"/>
    <x v="2"/>
    <n v="116"/>
    <n v="5.15"/>
    <n v="222"/>
    <x v="1"/>
    <x v="5"/>
  </r>
  <r>
    <x v="2"/>
    <x v="1"/>
    <n v="2"/>
    <s v="Parks and Rec S2"/>
    <n v="22"/>
    <x v="15"/>
    <s v="&quot;Galentine's Day&quot;"/>
    <s v="Ken Kwapis"/>
    <s v="Michael Schur"/>
    <x v="119"/>
    <x v="0"/>
    <x v="1"/>
    <m/>
    <n v="4.9800000000000004"/>
    <n v="223"/>
    <x v="1"/>
    <x v="5"/>
  </r>
  <r>
    <x v="0"/>
    <x v="5"/>
    <n v="6"/>
    <s v="The Office S6"/>
    <n v="116"/>
    <x v="15"/>
    <s v="&quot;The Manager and the Salesman&quot;"/>
    <s v="Marc Webb"/>
    <s v="Mindy Kaling"/>
    <x v="119"/>
    <x v="0"/>
    <x v="3"/>
    <n v="6016"/>
    <n v="7.4"/>
    <n v="224"/>
    <x v="1"/>
    <x v="5"/>
  </r>
  <r>
    <x v="1"/>
    <x v="3"/>
    <n v="4"/>
    <s v="30 Rock S4"/>
    <n v="71"/>
    <x v="12"/>
    <s v="&quot;Anna Howard Shaw Day&quot;"/>
    <s v="Ken Whittingham"/>
    <s v="Matt Hubbard"/>
    <x v="119"/>
    <x v="0"/>
    <x v="0"/>
    <n v="413"/>
    <n v="6"/>
    <n v="225"/>
    <x v="1"/>
    <x v="5"/>
  </r>
  <r>
    <x v="3"/>
    <x v="0"/>
    <n v="1"/>
    <s v="Community S1"/>
    <n v="17"/>
    <x v="16"/>
    <s v="&quot;Physical Education&quot;"/>
    <s v="Anthony Russo"/>
    <s v="Jessie Miller"/>
    <x v="120"/>
    <x v="0"/>
    <x v="2"/>
    <n v="118"/>
    <n v="5.0599999999999996"/>
    <n v="226"/>
    <x v="0"/>
    <x v="5"/>
  </r>
  <r>
    <x v="2"/>
    <x v="1"/>
    <n v="2"/>
    <s v="Parks and Rec S2"/>
    <n v="23"/>
    <x v="16"/>
    <s v="&quot;Woman of the Year&quot;"/>
    <s v="Jason Woliner"/>
    <s v="Norm Hiscock"/>
    <x v="120"/>
    <x v="0"/>
    <x v="1"/>
    <m/>
    <n v="4.6399999999999997"/>
    <n v="227"/>
    <x v="0"/>
    <x v="5"/>
  </r>
  <r>
    <x v="0"/>
    <x v="5"/>
    <n v="6"/>
    <s v="The Office S6"/>
    <n v="117"/>
    <x v="16"/>
    <s v="&quot;The Delivery&quot;"/>
    <s v="Seth Gordon Harold Ramis"/>
    <s v="Daniel Chun Charlie Grandy"/>
    <x v="120"/>
    <x v="0"/>
    <x v="3"/>
    <n v="6018"/>
    <n v="9"/>
    <n v="228"/>
    <x v="0"/>
    <x v="5"/>
  </r>
  <r>
    <x v="0"/>
    <x v="5"/>
    <n v="6"/>
    <s v="The Office S6"/>
    <n v="118"/>
    <x v="17"/>
    <s v="&quot;The Delivery&quot;"/>
    <s v="Seth Gordon Harold Ramis"/>
    <s v="Daniel Chun Charlie Grandy"/>
    <x v="120"/>
    <x v="0"/>
    <x v="0"/>
    <n v="6019"/>
    <n v="9"/>
    <n v="229"/>
    <x v="0"/>
    <x v="5"/>
  </r>
  <r>
    <x v="3"/>
    <x v="0"/>
    <n v="1"/>
    <s v="Community S1"/>
    <n v="18"/>
    <x v="17"/>
    <s v="&quot;Basic Genealogy&quot;"/>
    <s v="Ken Whittingham"/>
    <s v="Karey Dornetto"/>
    <x v="121"/>
    <x v="0"/>
    <x v="2"/>
    <n v="117"/>
    <n v="4.7"/>
    <n v="230"/>
    <x v="1"/>
    <x v="5"/>
  </r>
  <r>
    <x v="2"/>
    <x v="1"/>
    <n v="2"/>
    <s v="Parks and Rec S2"/>
    <n v="24"/>
    <x v="17"/>
    <s v="&quot;The Possum&quot;"/>
    <s v="Tristram Shapeero"/>
    <s v="Mike Scully"/>
    <x v="121"/>
    <x v="0"/>
    <x v="1"/>
    <m/>
    <n v="4.6100000000000003"/>
    <n v="231"/>
    <x v="1"/>
    <x v="5"/>
  </r>
  <r>
    <x v="0"/>
    <x v="5"/>
    <n v="6"/>
    <s v="The Office S6"/>
    <n v="119"/>
    <x v="18"/>
    <s v="&quot;St. Patrick's Day&quot;"/>
    <s v="Randall Einhorn"/>
    <s v="Jonathan Hughes"/>
    <x v="121"/>
    <x v="0"/>
    <x v="3"/>
    <n v="6017"/>
    <n v="7.51"/>
    <n v="232"/>
    <x v="1"/>
    <x v="5"/>
  </r>
  <r>
    <x v="1"/>
    <x v="3"/>
    <n v="4"/>
    <s v="30 Rock S4"/>
    <n v="72"/>
    <x v="13"/>
    <s v="&quot;Future Husband&quot;"/>
    <s v="Don Scardino"/>
    <s v="Tracey Wigfield &amp; Jon Haller"/>
    <x v="121"/>
    <x v="0"/>
    <x v="0"/>
    <n v="414"/>
    <n v="5.89"/>
    <n v="233"/>
    <x v="1"/>
    <x v="5"/>
  </r>
  <r>
    <x v="3"/>
    <x v="0"/>
    <n v="1"/>
    <s v="Community S1"/>
    <n v="19"/>
    <x v="18"/>
    <s v="&quot;Beginner Pottery&quot;"/>
    <s v="Anthony Russo"/>
    <s v="Hilary Winston"/>
    <x v="122"/>
    <x v="0"/>
    <x v="2"/>
    <n v="114"/>
    <n v="5.21"/>
    <n v="234"/>
    <x v="1"/>
    <x v="5"/>
  </r>
  <r>
    <x v="2"/>
    <x v="1"/>
    <n v="2"/>
    <s v="Parks and Rec S2"/>
    <n v="25"/>
    <x v="18"/>
    <s v="&quot;Park Safety&quot;"/>
    <s v="Michael Trim"/>
    <s v="Aisha Muharrar"/>
    <x v="122"/>
    <x v="0"/>
    <x v="1"/>
    <m/>
    <n v="4.7"/>
    <n v="235"/>
    <x v="1"/>
    <x v="5"/>
  </r>
  <r>
    <x v="0"/>
    <x v="5"/>
    <n v="6"/>
    <s v="The Office S6"/>
    <n v="120"/>
    <x v="19"/>
    <s v="&quot;New Leads&quot;"/>
    <s v="Brent Forrester"/>
    <s v="Brent Forrester"/>
    <x v="122"/>
    <x v="0"/>
    <x v="3"/>
    <n v="6020"/>
    <n v="7.63"/>
    <n v="236"/>
    <x v="1"/>
    <x v="5"/>
  </r>
  <r>
    <x v="1"/>
    <x v="3"/>
    <n v="4"/>
    <s v="30 Rock S4"/>
    <n v="73"/>
    <x v="14"/>
    <s v="&quot;Don Geiss, America and Hope&quot;"/>
    <s v="Stephen Lee Davis"/>
    <s v="Jack Burditt &amp; Tracey Wigfield"/>
    <x v="122"/>
    <x v="0"/>
    <x v="0"/>
    <n v="415"/>
    <n v="6.79"/>
    <n v="237"/>
    <x v="1"/>
    <x v="5"/>
  </r>
  <r>
    <x v="3"/>
    <x v="0"/>
    <n v="1"/>
    <s v="Community S1"/>
    <n v="20"/>
    <x v="19"/>
    <s v="&quot;The Science of Illusion&quot;"/>
    <s v="Adam Davidson"/>
    <s v="Zach Paez"/>
    <x v="123"/>
    <x v="0"/>
    <x v="2"/>
    <n v="122"/>
    <n v="5.07"/>
    <n v="238"/>
    <x v="1"/>
    <x v="5"/>
  </r>
  <r>
    <x v="2"/>
    <x v="1"/>
    <n v="2"/>
    <s v="Parks and Rec S2"/>
    <n v="26"/>
    <x v="19"/>
    <s v="&quot;Summer Catalog&quot;"/>
    <s v="Ken Whittingham"/>
    <s v="Katie Dippold"/>
    <x v="123"/>
    <x v="0"/>
    <x v="1"/>
    <m/>
    <n v="4.49"/>
    <n v="239"/>
    <x v="1"/>
    <x v="5"/>
  </r>
  <r>
    <x v="0"/>
    <x v="5"/>
    <n v="6"/>
    <s v="The Office S6"/>
    <n v="121"/>
    <x v="20"/>
    <s v="&quot;Happy Hour&quot;"/>
    <s v="Matt Sohn"/>
    <s v="B. J. Novak"/>
    <x v="123"/>
    <x v="0"/>
    <x v="3"/>
    <n v="6021"/>
    <n v="7.17"/>
    <n v="240"/>
    <x v="1"/>
    <x v="5"/>
  </r>
  <r>
    <x v="1"/>
    <x v="3"/>
    <n v="4"/>
    <s v="30 Rock S4"/>
    <n v="74"/>
    <x v="15"/>
    <s v="&quot;Floyd&quot;"/>
    <s v="Millicent Shelton"/>
    <s v="Paula Pell"/>
    <x v="123"/>
    <x v="0"/>
    <x v="0"/>
    <n v="416"/>
    <n v="6.25"/>
    <n v="241"/>
    <x v="1"/>
    <x v="5"/>
  </r>
  <r>
    <x v="3"/>
    <x v="0"/>
    <n v="1"/>
    <s v="Community S1"/>
    <n v="21"/>
    <x v="20"/>
    <s v="&quot;Contemporary American Poultry&quot;"/>
    <s v="Tristram Shapeero"/>
    <s v="Emily Cutler &amp; Karey Dornetto"/>
    <x v="124"/>
    <x v="0"/>
    <x v="2"/>
    <n v="123"/>
    <n v="3.67"/>
    <n v="242"/>
    <x v="0"/>
    <x v="5"/>
  </r>
  <r>
    <x v="1"/>
    <x v="3"/>
    <n v="4"/>
    <s v="30 Rock S4"/>
    <n v="75"/>
    <x v="16"/>
    <s v="&quot;Lee Marvin vs. Derek Jeter&quot;"/>
    <s v="Don Scardino"/>
    <s v="Kay Cannon &amp; Tina Fey"/>
    <x v="124"/>
    <x v="0"/>
    <x v="1"/>
    <n v="417"/>
    <n v="4"/>
    <n v="243"/>
    <x v="0"/>
    <x v="5"/>
  </r>
  <r>
    <x v="1"/>
    <x v="3"/>
    <n v="4"/>
    <s v="30 Rock S4"/>
    <n v="76"/>
    <x v="17"/>
    <s v="&quot;Khonani&quot;"/>
    <s v="Beth McCarthy Miller"/>
    <s v="Vali Chandrasekaran"/>
    <x v="124"/>
    <x v="0"/>
    <x v="3"/>
    <n v="418"/>
    <n v="5.16"/>
    <n v="244"/>
    <x v="0"/>
    <x v="5"/>
  </r>
  <r>
    <x v="0"/>
    <x v="5"/>
    <n v="6"/>
    <s v="The Office S6"/>
    <n v="122"/>
    <x v="21"/>
    <s v="&quot;Secretary's Day&quot;"/>
    <s v="Steve Carell"/>
    <s v="Mindy Kaling"/>
    <x v="124"/>
    <x v="0"/>
    <x v="3"/>
    <n v="6022"/>
    <n v="6.3"/>
    <n v="245"/>
    <x v="0"/>
    <x v="5"/>
  </r>
  <r>
    <x v="3"/>
    <x v="0"/>
    <n v="1"/>
    <s v="Community S1"/>
    <n v="22"/>
    <x v="21"/>
    <s v="&quot;The Art of Discourse&quot;"/>
    <s v="Adam Davidson"/>
    <s v="Chris McKenna"/>
    <x v="125"/>
    <x v="0"/>
    <x v="2"/>
    <n v="124"/>
    <n v="4.3600000000000003"/>
    <n v="246"/>
    <x v="1"/>
    <x v="5"/>
  </r>
  <r>
    <x v="2"/>
    <x v="1"/>
    <n v="2"/>
    <s v="Parks and Rec S2"/>
    <n v="27"/>
    <x v="20"/>
    <s v="&quot;94 Meetings&quot;"/>
    <s v="Tristram Shapeero"/>
    <s v="Harris Wittels"/>
    <x v="125"/>
    <x v="0"/>
    <x v="1"/>
    <m/>
    <n v="4.03"/>
    <n v="247"/>
    <x v="1"/>
    <x v="5"/>
  </r>
  <r>
    <x v="0"/>
    <x v="5"/>
    <n v="6"/>
    <s v="The Office S6"/>
    <n v="123"/>
    <x v="22"/>
    <s v="&quot;Body Language&quot;"/>
    <s v="Mindy Kaling"/>
    <s v="Justin Spitzer"/>
    <x v="125"/>
    <x v="0"/>
    <x v="3"/>
    <n v="6023"/>
    <n v="7.01"/>
    <n v="248"/>
    <x v="1"/>
    <x v="5"/>
  </r>
  <r>
    <x v="1"/>
    <x v="3"/>
    <n v="4"/>
    <s v="30 Rock S4"/>
    <n v="77"/>
    <x v="18"/>
    <s v="&quot;Argus&quot;"/>
    <s v="Jeff Richmond"/>
    <s v="Josh Siegal, Dylan Morgan &amp; Paula Pell"/>
    <x v="125"/>
    <x v="0"/>
    <x v="0"/>
    <n v="419"/>
    <n v="5.44"/>
    <n v="249"/>
    <x v="1"/>
    <x v="5"/>
  </r>
  <r>
    <x v="3"/>
    <x v="0"/>
    <n v="1"/>
    <s v="Community S1"/>
    <n v="23"/>
    <x v="22"/>
    <s v="&quot;Modern Warfare&quot;"/>
    <s v="Justin Lin"/>
    <s v="Emily Cutler"/>
    <x v="126"/>
    <x v="0"/>
    <x v="2"/>
    <n v="119"/>
    <n v="4.3499999999999996"/>
    <n v="250"/>
    <x v="1"/>
    <x v="5"/>
  </r>
  <r>
    <x v="2"/>
    <x v="1"/>
    <n v="2"/>
    <s v="Parks and Rec S2"/>
    <n v="28"/>
    <x v="21"/>
    <s v="&quot;Telethon&quot;"/>
    <s v="Troy Miller"/>
    <s v="Amy Poehler"/>
    <x v="126"/>
    <x v="0"/>
    <x v="1"/>
    <m/>
    <n v="4.03"/>
    <n v="251"/>
    <x v="1"/>
    <x v="5"/>
  </r>
  <r>
    <x v="0"/>
    <x v="5"/>
    <n v="6"/>
    <s v="The Office S6"/>
    <n v="124"/>
    <x v="23"/>
    <s v="&quot;The Cover-Up&quot;"/>
    <s v="Rainn Wilson"/>
    <s v="Gene Stupnitsky &amp; Lee Eisenberg"/>
    <x v="126"/>
    <x v="0"/>
    <x v="3"/>
    <n v="6024"/>
    <n v="6.84"/>
    <n v="252"/>
    <x v="1"/>
    <x v="5"/>
  </r>
  <r>
    <x v="1"/>
    <x v="3"/>
    <n v="4"/>
    <s v="30 Rock S4"/>
    <n v="78"/>
    <x v="19"/>
    <s v="&quot;The Moms&quot;"/>
    <s v="John Riggi"/>
    <s v="Kay Cannon &amp; Robert Carlock"/>
    <x v="126"/>
    <x v="0"/>
    <x v="0"/>
    <n v="420"/>
    <n v="5.42"/>
    <n v="253"/>
    <x v="1"/>
    <x v="5"/>
  </r>
  <r>
    <x v="3"/>
    <x v="0"/>
    <n v="1"/>
    <s v="Community S1"/>
    <n v="24"/>
    <x v="23"/>
    <s v="&quot;English as a Second Language&quot;"/>
    <s v="Gail Mancuso"/>
    <s v="Tim Hobert"/>
    <x v="127"/>
    <x v="0"/>
    <x v="2"/>
    <n v="120"/>
    <n v="4.49"/>
    <n v="254"/>
    <x v="1"/>
    <x v="5"/>
  </r>
  <r>
    <x v="2"/>
    <x v="1"/>
    <n v="2"/>
    <s v="Parks and Rec S2"/>
    <n v="29"/>
    <x v="22"/>
    <s v="&quot;The Master Plan&quot;"/>
    <s v="Dean Holland"/>
    <s v="Michael Schur"/>
    <x v="127"/>
    <x v="0"/>
    <x v="1"/>
    <m/>
    <n v="4.28"/>
    <n v="255"/>
    <x v="1"/>
    <x v="5"/>
  </r>
  <r>
    <x v="0"/>
    <x v="5"/>
    <n v="6"/>
    <s v="The Office S6"/>
    <n v="125"/>
    <x v="24"/>
    <s v="&quot;The Chump&quot;"/>
    <s v="Randall Einhorn"/>
    <s v="Aaron Shure"/>
    <x v="127"/>
    <x v="0"/>
    <x v="3"/>
    <n v="6025"/>
    <n v="6.6"/>
    <n v="256"/>
    <x v="1"/>
    <x v="5"/>
  </r>
  <r>
    <x v="1"/>
    <x v="3"/>
    <n v="4"/>
    <s v="30 Rock S4"/>
    <n v="79"/>
    <x v="20"/>
    <s v="&quot;Emanuelle Goes to Dinosaur Land&quot;"/>
    <s v="Beth McCarthy Miller"/>
    <s v="Matt Hubbard"/>
    <x v="127"/>
    <x v="0"/>
    <x v="0"/>
    <n v="421"/>
    <n v="4.96"/>
    <n v="257"/>
    <x v="1"/>
    <x v="5"/>
  </r>
  <r>
    <x v="3"/>
    <x v="0"/>
    <n v="1"/>
    <s v="Community S1"/>
    <n v="25"/>
    <x v="24"/>
    <s v="&quot;Pascal's Triangle Revisited&quot;"/>
    <s v="Joe Russo"/>
    <s v="Hilary Winston"/>
    <x v="128"/>
    <x v="0"/>
    <x v="2"/>
    <n v="121"/>
    <n v="4.41"/>
    <n v="258"/>
    <x v="1"/>
    <x v="5"/>
  </r>
  <r>
    <x v="2"/>
    <x v="1"/>
    <n v="2"/>
    <s v="Parks and Rec S2"/>
    <n v="30"/>
    <x v="23"/>
    <s v="&quot;Freddy Spaghetti&quot;"/>
    <s v="Jason Woliner"/>
    <s v="Dan Goor"/>
    <x v="128"/>
    <x v="0"/>
    <x v="1"/>
    <m/>
    <n v="4.55"/>
    <n v="259"/>
    <x v="1"/>
    <x v="5"/>
  </r>
  <r>
    <x v="0"/>
    <x v="5"/>
    <n v="6"/>
    <s v="The Office S6"/>
    <n v="126"/>
    <x v="25"/>
    <s v="&quot;Whistleblower&quot;"/>
    <s v="Paul Lieberstein"/>
    <s v="Warren Lieberstein &amp; Halsted Sullivan"/>
    <x v="128"/>
    <x v="0"/>
    <x v="3"/>
    <n v="6026"/>
    <n v="6.6"/>
    <n v="260"/>
    <x v="1"/>
    <x v="5"/>
  </r>
  <r>
    <x v="1"/>
    <x v="3"/>
    <n v="4"/>
    <s v="30 Rock S4"/>
    <n v="80"/>
    <x v="21"/>
    <s v="&quot;I Do Do&quot;"/>
    <s v="Don Scardino"/>
    <s v="Tina Fey"/>
    <x v="128"/>
    <x v="0"/>
    <x v="0"/>
    <n v="422"/>
    <n v="5.45"/>
    <n v="261"/>
    <x v="1"/>
    <x v="5"/>
  </r>
  <r>
    <x v="3"/>
    <x v="1"/>
    <n v="2"/>
    <s v="Community S2"/>
    <n v="26"/>
    <x v="0"/>
    <s v="&quot;Anthropology 101&quot;"/>
    <s v="Joe Russo"/>
    <s v="Chris McKenna"/>
    <x v="129"/>
    <x v="0"/>
    <x v="2"/>
    <n v="201"/>
    <n v="5.01"/>
    <n v="262"/>
    <x v="0"/>
    <x v="6"/>
  </r>
  <r>
    <x v="1"/>
    <x v="4"/>
    <n v="5"/>
    <s v="30 Rock S5"/>
    <n v="81"/>
    <x v="0"/>
    <s v="&quot;The Fabian Strategy&quot;"/>
    <s v="Beth McCarthy-Miller"/>
    <s v="Tina Fey"/>
    <x v="129"/>
    <x v="0"/>
    <x v="1"/>
    <n v="501"/>
    <n v="5.85"/>
    <n v="263"/>
    <x v="0"/>
    <x v="6"/>
  </r>
  <r>
    <x v="0"/>
    <x v="6"/>
    <n v="7"/>
    <s v="The Office S7"/>
    <n v="127"/>
    <x v="0"/>
    <s v="&quot;Nepotism&quot;"/>
    <s v="Jeffrey Blitz"/>
    <s v="Daniel Chun"/>
    <x v="129"/>
    <x v="0"/>
    <x v="3"/>
    <n v="7001"/>
    <n v="8.4"/>
    <n v="264"/>
    <x v="0"/>
    <x v="6"/>
  </r>
  <r>
    <x v="3"/>
    <x v="1"/>
    <n v="2"/>
    <s v="Community S2"/>
    <n v="27"/>
    <x v="1"/>
    <s v="&quot;Accounting for Lawyers&quot;"/>
    <s v="Joe Russo"/>
    <s v="Emily Cutler"/>
    <x v="130"/>
    <x v="0"/>
    <x v="2"/>
    <n v="203"/>
    <n v="4.53"/>
    <n v="265"/>
    <x v="0"/>
    <x v="6"/>
  </r>
  <r>
    <x v="1"/>
    <x v="4"/>
    <n v="5"/>
    <s v="30 Rock S5"/>
    <n v="82"/>
    <x v="1"/>
    <s v="&quot;When It Rains, It Pours&quot;"/>
    <s v="Don Scardino"/>
    <s v="Robert Carlock"/>
    <x v="130"/>
    <x v="0"/>
    <x v="1"/>
    <n v="502"/>
    <n v="5.68"/>
    <n v="266"/>
    <x v="0"/>
    <x v="6"/>
  </r>
  <r>
    <x v="0"/>
    <x v="6"/>
    <n v="7"/>
    <s v="The Office S7"/>
    <n v="128"/>
    <x v="1"/>
    <s v="&quot;Counseling&quot;"/>
    <s v="Jeffrey Blitz"/>
    <s v="B. J. Novak"/>
    <x v="130"/>
    <x v="0"/>
    <x v="3"/>
    <n v="7002"/>
    <n v="7.36"/>
    <n v="267"/>
    <x v="0"/>
    <x v="6"/>
  </r>
  <r>
    <x v="3"/>
    <x v="1"/>
    <n v="2"/>
    <s v="Community S2"/>
    <n v="28"/>
    <x v="2"/>
    <s v="&quot;The Psychology of Letting Go&quot;"/>
    <s v="Anthony Russo"/>
    <s v="Hilary Winston"/>
    <x v="131"/>
    <x v="0"/>
    <x v="2"/>
    <n v="202"/>
    <n v="4.2"/>
    <n v="268"/>
    <x v="0"/>
    <x v="6"/>
  </r>
  <r>
    <x v="1"/>
    <x v="4"/>
    <n v="5"/>
    <s v="30 Rock S5"/>
    <n v="83"/>
    <x v="2"/>
    <s v="&quot;Let's Stay Together&quot;"/>
    <s v="John Riggi"/>
    <s v="Jack Burditt"/>
    <x v="131"/>
    <x v="0"/>
    <x v="1"/>
    <n v="503"/>
    <n v="4.9000000000000004"/>
    <n v="269"/>
    <x v="0"/>
    <x v="6"/>
  </r>
  <r>
    <x v="0"/>
    <x v="6"/>
    <n v="7"/>
    <s v="The Office S7"/>
    <n v="129"/>
    <x v="2"/>
    <s v="&quot;Andy's Play&quot;"/>
    <s v="John Stuart Scott"/>
    <s v="Charlie Grandy"/>
    <x v="131"/>
    <x v="0"/>
    <x v="3"/>
    <n v="7003"/>
    <n v="6.95"/>
    <n v="270"/>
    <x v="0"/>
    <x v="6"/>
  </r>
  <r>
    <x v="3"/>
    <x v="1"/>
    <n v="2"/>
    <s v="Community S2"/>
    <n v="29"/>
    <x v="3"/>
    <s v="&quot;Basic Rocket Science&quot;"/>
    <s v="Anthony Russo"/>
    <s v="Andy Bobrow"/>
    <x v="132"/>
    <x v="0"/>
    <x v="2"/>
    <n v="204"/>
    <n v="4.8099999999999996"/>
    <n v="271"/>
    <x v="0"/>
    <x v="6"/>
  </r>
  <r>
    <x v="1"/>
    <x v="4"/>
    <n v="5"/>
    <s v="30 Rock S5"/>
    <n v="84"/>
    <x v="3"/>
    <s v="&quot;Live Show&quot;"/>
    <s v="Beth McCarthy-Miller"/>
    <s v="Robert Carlock &amp; Tina Fey"/>
    <x v="132"/>
    <x v="0"/>
    <x v="1"/>
    <n v="504"/>
    <n v="6.7"/>
    <n v="272"/>
    <x v="0"/>
    <x v="6"/>
  </r>
  <r>
    <x v="0"/>
    <x v="6"/>
    <n v="7"/>
    <s v="The Office S7"/>
    <n v="130"/>
    <x v="3"/>
    <s v="&quot;Sex Ed&quot;"/>
    <s v="Paul Lieberstein"/>
    <s v="Paul Lieberstein"/>
    <x v="132"/>
    <x v="0"/>
    <x v="3"/>
    <n v="7004"/>
    <n v="7.36"/>
    <n v="273"/>
    <x v="0"/>
    <x v="6"/>
  </r>
  <r>
    <x v="3"/>
    <x v="1"/>
    <n v="2"/>
    <s v="Community S2"/>
    <n v="30"/>
    <x v="4"/>
    <s v="&quot;Messianic Myths and Ancient Peoples&quot;"/>
    <s v="Tristram Shapeero"/>
    <s v="Andrew Guest"/>
    <x v="133"/>
    <x v="0"/>
    <x v="2"/>
    <n v="205"/>
    <n v="4.46"/>
    <n v="274"/>
    <x v="0"/>
    <x v="6"/>
  </r>
  <r>
    <x v="1"/>
    <x v="4"/>
    <n v="5"/>
    <s v="30 Rock S5"/>
    <n v="85"/>
    <x v="4"/>
    <s v="&quot;Reaganing&quot;"/>
    <s v="Todd Holland"/>
    <s v="Matt Hubbard"/>
    <x v="133"/>
    <x v="0"/>
    <x v="1"/>
    <n v="505"/>
    <n v="5.18"/>
    <n v="275"/>
    <x v="0"/>
    <x v="6"/>
  </r>
  <r>
    <x v="0"/>
    <x v="6"/>
    <n v="7"/>
    <s v="The Office S7"/>
    <n v="131"/>
    <x v="4"/>
    <s v="&quot;The Sting&quot;"/>
    <s v="Randall Einhorn"/>
    <s v="Mindy Kaling"/>
    <x v="133"/>
    <x v="0"/>
    <x v="3"/>
    <n v="7005"/>
    <n v="6.87"/>
    <n v="276"/>
    <x v="0"/>
    <x v="6"/>
  </r>
  <r>
    <x v="3"/>
    <x v="1"/>
    <n v="2"/>
    <s v="Community S2"/>
    <n v="31"/>
    <x v="5"/>
    <s v="&quot;Epidemiology&quot;"/>
    <s v="Anthony Hemingway"/>
    <s v="Karey Dornetto"/>
    <x v="134"/>
    <x v="0"/>
    <x v="2"/>
    <n v="206"/>
    <n v="5.64"/>
    <n v="277"/>
    <x v="0"/>
    <x v="6"/>
  </r>
  <r>
    <x v="0"/>
    <x v="6"/>
    <n v="7"/>
    <s v="The Office S7"/>
    <n v="132"/>
    <x v="5"/>
    <s v="&quot;Costume Contest&quot;"/>
    <s v="Dean Holland"/>
    <s v="Justin Spitzer"/>
    <x v="134"/>
    <x v="0"/>
    <x v="3"/>
    <n v="7006"/>
    <n v="8.07"/>
    <n v="278"/>
    <x v="0"/>
    <x v="6"/>
  </r>
  <r>
    <x v="3"/>
    <x v="1"/>
    <n v="2"/>
    <s v="Community S2"/>
    <n v="32"/>
    <x v="6"/>
    <s v="&quot;Aerodynamics of Gender&quot;"/>
    <s v="Tristram Shapeero"/>
    <s v="Adam Countee"/>
    <x v="135"/>
    <x v="0"/>
    <x v="2"/>
    <n v="207"/>
    <n v="4.6100000000000003"/>
    <n v="279"/>
    <x v="0"/>
    <x v="6"/>
  </r>
  <r>
    <x v="1"/>
    <x v="4"/>
    <n v="5"/>
    <s v="30 Rock S5"/>
    <n v="86"/>
    <x v="5"/>
    <s v="&quot;Gentleman's Intermission&quot;"/>
    <s v="Don Scardino"/>
    <s v="John Riggi"/>
    <x v="135"/>
    <x v="0"/>
    <x v="1"/>
    <n v="506"/>
    <n v="5.31"/>
    <n v="280"/>
    <x v="0"/>
    <x v="6"/>
  </r>
  <r>
    <x v="0"/>
    <x v="6"/>
    <n v="7"/>
    <s v="The Office S7"/>
    <n v="133"/>
    <x v="6"/>
    <s v="&quot;Christening&quot;"/>
    <s v="Alex Hardcastle"/>
    <s v="Peter Ocko"/>
    <x v="135"/>
    <x v="0"/>
    <x v="3"/>
    <n v="7007"/>
    <n v="7.65"/>
    <n v="281"/>
    <x v="0"/>
    <x v="6"/>
  </r>
  <r>
    <x v="3"/>
    <x v="1"/>
    <n v="2"/>
    <s v="Community S2"/>
    <n v="33"/>
    <x v="7"/>
    <s v="&quot;Cooperative Calligraphy&quot;"/>
    <s v="Joe Russo"/>
    <s v="Megan Ganz"/>
    <x v="136"/>
    <x v="0"/>
    <x v="2"/>
    <n v="208"/>
    <n v="4.53"/>
    <n v="282"/>
    <x v="0"/>
    <x v="6"/>
  </r>
  <r>
    <x v="1"/>
    <x v="4"/>
    <n v="5"/>
    <s v="30 Rock S5"/>
    <n v="87"/>
    <x v="6"/>
    <s v="&quot;Brooklyn Without Limits&quot;"/>
    <s v="Michael Engler"/>
    <s v="Ron Weiner"/>
    <x v="136"/>
    <x v="0"/>
    <x v="1"/>
    <n v="507"/>
    <n v="5.09"/>
    <n v="283"/>
    <x v="0"/>
    <x v="6"/>
  </r>
  <r>
    <x v="0"/>
    <x v="6"/>
    <n v="7"/>
    <s v="The Office S7"/>
    <n v="134"/>
    <x v="7"/>
    <s v="&quot;Viewing Party&quot;"/>
    <s v="Ken Whittingham"/>
    <s v="Jon Vitti"/>
    <x v="136"/>
    <x v="0"/>
    <x v="3"/>
    <n v="7008"/>
    <n v="7.15"/>
    <n v="284"/>
    <x v="0"/>
    <x v="6"/>
  </r>
  <r>
    <x v="3"/>
    <x v="1"/>
    <n v="2"/>
    <s v="Community S2"/>
    <n v="34"/>
    <x v="8"/>
    <s v="&quot;Conspiracy Theories and Interior Design&quot;"/>
    <s v="Adam Davidson"/>
    <s v="Chris McKenna"/>
    <x v="137"/>
    <x v="0"/>
    <x v="2"/>
    <n v="210"/>
    <n v="4.41"/>
    <n v="285"/>
    <x v="0"/>
    <x v="6"/>
  </r>
  <r>
    <x v="1"/>
    <x v="4"/>
    <n v="5"/>
    <s v="30 Rock S5"/>
    <n v="88"/>
    <x v="7"/>
    <s v="&quot;College&quot;"/>
    <s v="Don Scardino"/>
    <s v="Josh Siegal &amp; Dylan Morgan"/>
    <x v="137"/>
    <x v="0"/>
    <x v="1"/>
    <n v="508"/>
    <n v="5.1100000000000003"/>
    <n v="286"/>
    <x v="0"/>
    <x v="6"/>
  </r>
  <r>
    <x v="0"/>
    <x v="6"/>
    <n v="7"/>
    <s v="The Office S7"/>
    <n v="135"/>
    <x v="8"/>
    <s v="&quot;WUPHF.com&quot;"/>
    <s v="Danny Leiner"/>
    <s v="Aaron Shure"/>
    <x v="137"/>
    <x v="0"/>
    <x v="3"/>
    <n v="7009"/>
    <n v="7.28"/>
    <n v="287"/>
    <x v="0"/>
    <x v="6"/>
  </r>
  <r>
    <x v="3"/>
    <x v="1"/>
    <n v="2"/>
    <s v="Community S2"/>
    <n v="35"/>
    <x v="9"/>
    <s v="&quot;Mixology Certification&quot;"/>
    <s v="Jay Chandrasekhar"/>
    <s v="Andy Bobrow"/>
    <x v="138"/>
    <x v="0"/>
    <x v="2"/>
    <n v="209"/>
    <n v="4.55"/>
    <n v="288"/>
    <x v="0"/>
    <x v="6"/>
  </r>
  <r>
    <x v="1"/>
    <x v="4"/>
    <n v="5"/>
    <s v="30 Rock S5"/>
    <n v="89"/>
    <x v="8"/>
    <s v="&quot;Chain Reaction of Mental Anguish&quot;"/>
    <s v="Ken Whittingham"/>
    <s v="Kay Cannon"/>
    <x v="138"/>
    <x v="0"/>
    <x v="1"/>
    <n v="509"/>
    <n v="5.03"/>
    <n v="289"/>
    <x v="0"/>
    <x v="6"/>
  </r>
  <r>
    <x v="0"/>
    <x v="6"/>
    <n v="7"/>
    <s v="The Office S7"/>
    <n v="136"/>
    <x v="9"/>
    <s v="&quot;China&quot;"/>
    <s v="Charles McDougall"/>
    <s v="Halsted Sullivan &amp; Warren Lieberstein"/>
    <x v="138"/>
    <x v="0"/>
    <x v="3"/>
    <n v="7010"/>
    <n v="7.31"/>
    <n v="290"/>
    <x v="0"/>
    <x v="6"/>
  </r>
  <r>
    <x v="3"/>
    <x v="1"/>
    <n v="2"/>
    <s v="Community S2"/>
    <n v="36"/>
    <x v="10"/>
    <s v="&quot;Abed's Uncontrollable Christmas&quot;"/>
    <s v="Duke Johnson"/>
    <s v="Dino Stamatopoulos &amp; Dan Harmon"/>
    <x v="139"/>
    <x v="0"/>
    <x v="2"/>
    <n v="222"/>
    <n v="4.29"/>
    <n v="291"/>
    <x v="0"/>
    <x v="6"/>
  </r>
  <r>
    <x v="1"/>
    <x v="4"/>
    <n v="5"/>
    <s v="30 Rock S5"/>
    <n v="90"/>
    <x v="9"/>
    <s v="&quot;Christmas Attack Zone&quot;"/>
    <s v="John Riggi"/>
    <s v="Tracey Wigfield"/>
    <x v="139"/>
    <x v="0"/>
    <x v="1"/>
    <n v="510"/>
    <n v="4.76"/>
    <n v="292"/>
    <x v="0"/>
    <x v="6"/>
  </r>
  <r>
    <x v="0"/>
    <x v="6"/>
    <n v="7"/>
    <s v="The Office S7"/>
    <n v="137"/>
    <x v="10"/>
    <s v="&quot;Classy Christmas&quot;"/>
    <s v="Rainn Wilson"/>
    <s v="Mindy Kaling"/>
    <x v="139"/>
    <x v="0"/>
    <x v="3"/>
    <n v="7011"/>
    <n v="7.18"/>
    <n v="293"/>
    <x v="0"/>
    <x v="6"/>
  </r>
  <r>
    <x v="0"/>
    <x v="6"/>
    <n v="7"/>
    <s v="The Office S7"/>
    <n v="138"/>
    <x v="11"/>
    <s v="&quot;Classy Christmas&quot;"/>
    <s v="Rainn Wilson"/>
    <s v="Mindy Kaling"/>
    <x v="139"/>
    <x v="0"/>
    <x v="0"/>
    <n v="7012"/>
    <n v="7.18"/>
    <n v="294"/>
    <x v="0"/>
    <x v="6"/>
  </r>
  <r>
    <x v="3"/>
    <x v="1"/>
    <n v="2"/>
    <s v="Community S2"/>
    <n v="37"/>
    <x v="11"/>
    <s v="&quot;Asian Population Studies&quot;"/>
    <s v="Anthony Russo"/>
    <s v="Emily Cutler"/>
    <x v="140"/>
    <x v="0"/>
    <x v="2"/>
    <n v="211"/>
    <n v="4.7300000000000004"/>
    <n v="295"/>
    <x v="1"/>
    <x v="6"/>
  </r>
  <r>
    <x v="0"/>
    <x v="6"/>
    <n v="7"/>
    <s v="The Office S7"/>
    <n v="139"/>
    <x v="12"/>
    <s v="&quot;Ultimatum&quot;"/>
    <s v="David Rogers"/>
    <s v="Carrie Kemper"/>
    <x v="140"/>
    <x v="0"/>
    <x v="3"/>
    <n v="7013"/>
    <n v="8.26"/>
    <n v="296"/>
    <x v="1"/>
    <x v="6"/>
  </r>
  <r>
    <x v="2"/>
    <x v="2"/>
    <n v="3"/>
    <s v="Parks and Rec S3"/>
    <n v="31"/>
    <x v="0"/>
    <s v="&quot;Go Big or Go Home&quot;"/>
    <s v="Dean Holland"/>
    <s v="Alan Yang"/>
    <x v="140"/>
    <x v="0"/>
    <x v="0"/>
    <m/>
    <n v="6.14"/>
    <n v="297"/>
    <x v="1"/>
    <x v="6"/>
  </r>
  <r>
    <x v="1"/>
    <x v="4"/>
    <n v="5"/>
    <s v="30 Rock S5"/>
    <n v="91"/>
    <x v="10"/>
    <s v="&quot;Mrs. Donaghy&quot;"/>
    <s v="Tricia Brock"/>
    <s v="Jack Burditt"/>
    <x v="140"/>
    <x v="0"/>
    <x v="5"/>
    <n v="511"/>
    <n v="5.34"/>
    <n v="298"/>
    <x v="1"/>
    <x v="6"/>
  </r>
  <r>
    <x v="3"/>
    <x v="1"/>
    <n v="2"/>
    <s v="Community S2"/>
    <n v="38"/>
    <x v="12"/>
    <s v="&quot;Celebrity Pharmacology&quot;"/>
    <s v="Fred Goss"/>
    <s v="Hilary Winston"/>
    <x v="141"/>
    <x v="0"/>
    <x v="2"/>
    <n v="212"/>
    <n v="4.59"/>
    <n v="299"/>
    <x v="1"/>
    <x v="6"/>
  </r>
  <r>
    <x v="0"/>
    <x v="6"/>
    <n v="7"/>
    <s v="The Office S7"/>
    <n v="140"/>
    <x v="13"/>
    <s v="&quot;The Seminar&quot;"/>
    <s v="B. J. Novak"/>
    <s v="Steve Hely"/>
    <x v="141"/>
    <x v="0"/>
    <x v="3"/>
    <n v="7014"/>
    <n v="7.93"/>
    <n v="300"/>
    <x v="1"/>
    <x v="6"/>
  </r>
  <r>
    <x v="2"/>
    <x v="2"/>
    <n v="3"/>
    <s v="Parks and Rec S3"/>
    <n v="32"/>
    <x v="1"/>
    <s v="&quot;Flu Season&quot;"/>
    <s v="Wendey Stanzler"/>
    <s v="Norm Hiscock"/>
    <x v="141"/>
    <x v="0"/>
    <x v="0"/>
    <m/>
    <n v="5.83"/>
    <n v="301"/>
    <x v="1"/>
    <x v="6"/>
  </r>
  <r>
    <x v="1"/>
    <x v="4"/>
    <n v="5"/>
    <s v="30 Rock S5"/>
    <n v="92"/>
    <x v="11"/>
    <s v="&quot;Operation Righteous Cowboy Lightning&quot;"/>
    <s v="Beth McCarthy-Miller"/>
    <s v="Robert Carlock"/>
    <x v="141"/>
    <x v="0"/>
    <x v="5"/>
    <n v="512"/>
    <n v="4.92"/>
    <n v="302"/>
    <x v="1"/>
    <x v="6"/>
  </r>
  <r>
    <x v="3"/>
    <x v="1"/>
    <n v="2"/>
    <s v="Community S2"/>
    <n v="39"/>
    <x v="13"/>
    <s v="&quot;Advanced Dungeons &amp; Dragons&quot;"/>
    <s v="Joe Russo"/>
    <s v="Andrew Guest"/>
    <x v="142"/>
    <x v="0"/>
    <x v="2"/>
    <n v="214"/>
    <n v="4.37"/>
    <n v="303"/>
    <x v="1"/>
    <x v="6"/>
  </r>
  <r>
    <x v="0"/>
    <x v="6"/>
    <n v="7"/>
    <s v="The Office S7"/>
    <n v="141"/>
    <x v="14"/>
    <s v="&quot;The Search&quot;"/>
    <s v="Michael Spiller"/>
    <s v="Brent Forrester"/>
    <x v="142"/>
    <x v="0"/>
    <x v="3"/>
    <n v="7015"/>
    <n v="7.29"/>
    <n v="304"/>
    <x v="1"/>
    <x v="6"/>
  </r>
  <r>
    <x v="2"/>
    <x v="2"/>
    <n v="3"/>
    <s v="Parks and Rec S3"/>
    <n v="33"/>
    <x v="2"/>
    <s v="&quot;Time Capsule&quot;"/>
    <s v="Michael Schur"/>
    <s v="Michael Schur"/>
    <x v="142"/>
    <x v="0"/>
    <x v="0"/>
    <m/>
    <n v="4.95"/>
    <n v="305"/>
    <x v="1"/>
    <x v="6"/>
  </r>
  <r>
    <x v="1"/>
    <x v="4"/>
    <n v="5"/>
    <s v="30 Rock S5"/>
    <n v="93"/>
    <x v="12"/>
    <s v="&quot;Qué Sorpresa!&quot;"/>
    <s v="John Riggi"/>
    <s v="Matt Hubbard"/>
    <x v="142"/>
    <x v="0"/>
    <x v="5"/>
    <n v="513"/>
    <n v="4.78"/>
    <n v="306"/>
    <x v="1"/>
    <x v="6"/>
  </r>
  <r>
    <x v="3"/>
    <x v="1"/>
    <n v="2"/>
    <s v="Community S2"/>
    <n v="40"/>
    <x v="14"/>
    <s v="&quot;Early 21st Century Romanticism&quot;"/>
    <s v="Steven Sprung"/>
    <s v="Karey Dornetto"/>
    <x v="143"/>
    <x v="0"/>
    <x v="2"/>
    <n v="213"/>
    <n v="3.81"/>
    <n v="307"/>
    <x v="1"/>
    <x v="6"/>
  </r>
  <r>
    <x v="0"/>
    <x v="6"/>
    <n v="7"/>
    <s v="The Office S7"/>
    <n v="142"/>
    <x v="15"/>
    <s v="&quot;PDA&quot;"/>
    <s v="Greg Daniels"/>
    <s v="Robert Padnick"/>
    <x v="143"/>
    <x v="0"/>
    <x v="3"/>
    <n v="7017"/>
    <n v="6.9"/>
    <n v="308"/>
    <x v="1"/>
    <x v="6"/>
  </r>
  <r>
    <x v="2"/>
    <x v="2"/>
    <n v="3"/>
    <s v="Parks and Rec S3"/>
    <n v="34"/>
    <x v="3"/>
    <s v="&quot;Ron &amp; Tammy: Part Two&quot;"/>
    <s v="Tucker Gates"/>
    <s v="Emily Kapnek"/>
    <x v="143"/>
    <x v="0"/>
    <x v="0"/>
    <m/>
    <n v="5.03"/>
    <n v="309"/>
    <x v="1"/>
    <x v="6"/>
  </r>
  <r>
    <x v="1"/>
    <x v="4"/>
    <n v="5"/>
    <s v="30 Rock S5"/>
    <n v="94"/>
    <x v="13"/>
    <s v="&quot;Double-Edged Sword&quot;"/>
    <s v="Don Scardino"/>
    <s v="Kay Cannon &amp; Tom Ceraulo"/>
    <x v="143"/>
    <x v="0"/>
    <x v="5"/>
    <n v="514"/>
    <n v="4.59"/>
    <n v="310"/>
    <x v="1"/>
    <x v="6"/>
  </r>
  <r>
    <x v="3"/>
    <x v="1"/>
    <n v="2"/>
    <s v="Community S2"/>
    <n v="41"/>
    <x v="15"/>
    <s v="&quot;Intermediate Documentary Filmmaking&quot;"/>
    <s v="Joe Russo"/>
    <s v="Megan Ganz"/>
    <x v="144"/>
    <x v="0"/>
    <x v="2"/>
    <n v="215"/>
    <n v="4.1100000000000003"/>
    <n v="311"/>
    <x v="1"/>
    <x v="6"/>
  </r>
  <r>
    <x v="0"/>
    <x v="6"/>
    <n v="7"/>
    <s v="The Office S7"/>
    <n v="143"/>
    <x v="16"/>
    <s v="&quot;Threat Level Midnight&quot;"/>
    <s v="Tucker Gates"/>
    <s v="B. J. Novak"/>
    <x v="144"/>
    <x v="0"/>
    <x v="3"/>
    <n v="7016"/>
    <n v="6.41"/>
    <n v="312"/>
    <x v="1"/>
    <x v="6"/>
  </r>
  <r>
    <x v="2"/>
    <x v="2"/>
    <n v="3"/>
    <s v="Parks and Rec S3"/>
    <n v="35"/>
    <x v="4"/>
    <s v="&quot;Media Blitz&quot;"/>
    <s v="David Rogers"/>
    <s v="Harris Wittels"/>
    <x v="144"/>
    <x v="0"/>
    <x v="0"/>
    <m/>
    <n v="4.33"/>
    <n v="313"/>
    <x v="1"/>
    <x v="6"/>
  </r>
  <r>
    <x v="1"/>
    <x v="4"/>
    <n v="5"/>
    <s v="30 Rock S5"/>
    <n v="95"/>
    <x v="14"/>
    <s v="&quot;It's Never Too Late for Now&quot;"/>
    <s v="John Riggi"/>
    <s v="Vali Chandrasekaran"/>
    <x v="144"/>
    <x v="0"/>
    <x v="5"/>
    <n v="515"/>
    <n v="4.07"/>
    <n v="314"/>
    <x v="1"/>
    <x v="6"/>
  </r>
  <r>
    <x v="3"/>
    <x v="1"/>
    <n v="2"/>
    <s v="Community S2"/>
    <n v="42"/>
    <x v="16"/>
    <s v="&quot;Intro to Political Science&quot;"/>
    <s v="Jay Chandrasekhar"/>
    <s v="Adam Countee"/>
    <x v="145"/>
    <x v="0"/>
    <x v="2"/>
    <n v="216"/>
    <n v="3.79"/>
    <n v="315"/>
    <x v="1"/>
    <x v="6"/>
  </r>
  <r>
    <x v="0"/>
    <x v="6"/>
    <n v="7"/>
    <s v="The Office S7"/>
    <n v="144"/>
    <x v="17"/>
    <s v="&quot;Todd Packer&quot;"/>
    <s v="Randall Einhorn"/>
    <s v="Amelie Gillette"/>
    <x v="145"/>
    <x v="0"/>
    <x v="3"/>
    <n v="7018"/>
    <n v="6.12"/>
    <n v="316"/>
    <x v="1"/>
    <x v="6"/>
  </r>
  <r>
    <x v="2"/>
    <x v="2"/>
    <n v="3"/>
    <s v="Parks and Rec S3"/>
    <n v="36"/>
    <x v="5"/>
    <s v="&quot;Indianapolis&quot;"/>
    <s v="Randall Einhorn"/>
    <s v="Katie Dippold"/>
    <x v="145"/>
    <x v="0"/>
    <x v="0"/>
    <m/>
    <n v="4.59"/>
    <n v="317"/>
    <x v="1"/>
    <x v="6"/>
  </r>
  <r>
    <x v="1"/>
    <x v="4"/>
    <n v="5"/>
    <s v="30 Rock S5"/>
    <n v="96"/>
    <x v="15"/>
    <s v="&quot;TGS Hates Women&quot;"/>
    <s v="Beth McCarthy-Miller"/>
    <s v="Ron Weiner"/>
    <x v="145"/>
    <x v="0"/>
    <x v="5"/>
    <n v="516"/>
    <n v="4.5"/>
    <n v="318"/>
    <x v="1"/>
    <x v="6"/>
  </r>
  <r>
    <x v="3"/>
    <x v="1"/>
    <n v="2"/>
    <s v="Community S2"/>
    <n v="43"/>
    <x v="17"/>
    <s v="&quot;Custody Law and Eastern European Diplomacy&quot;"/>
    <s v="Anthony Russo"/>
    <s v="Andy Bobrow"/>
    <x v="146"/>
    <x v="0"/>
    <x v="2"/>
    <n v="217"/>
    <n v="4.1500000000000004"/>
    <n v="319"/>
    <x v="0"/>
    <x v="6"/>
  </r>
  <r>
    <x v="2"/>
    <x v="2"/>
    <n v="3"/>
    <s v="Parks and Rec S3"/>
    <n v="37"/>
    <x v="6"/>
    <s v="&quot;Harvest Festival&quot;"/>
    <s v="Dean Holland"/>
    <s v="Dan Goor"/>
    <x v="146"/>
    <x v="0"/>
    <x v="0"/>
    <m/>
    <n v="4.08"/>
    <n v="320"/>
    <x v="0"/>
    <x v="6"/>
  </r>
  <r>
    <x v="1"/>
    <x v="4"/>
    <n v="5"/>
    <s v="30 Rock S5"/>
    <n v="97"/>
    <x v="16"/>
    <s v="&quot;Queen of Jordan&quot;"/>
    <s v="Ken Whittingham"/>
    <s v="Tracey Wigfield"/>
    <x v="146"/>
    <x v="0"/>
    <x v="5"/>
    <n v="517"/>
    <n v="4.1900000000000004"/>
    <n v="321"/>
    <x v="0"/>
    <x v="6"/>
  </r>
  <r>
    <x v="3"/>
    <x v="1"/>
    <n v="2"/>
    <s v="Community S2"/>
    <n v="44"/>
    <x v="18"/>
    <s v="&quot;Critical Film Studies&quot;"/>
    <s v="Richard Ayoade"/>
    <s v="Sona Panos"/>
    <x v="147"/>
    <x v="0"/>
    <x v="2"/>
    <n v="218"/>
    <n v="4.46"/>
    <n v="322"/>
    <x v="1"/>
    <x v="6"/>
  </r>
  <r>
    <x v="0"/>
    <x v="6"/>
    <n v="7"/>
    <s v="The Office S7"/>
    <n v="145"/>
    <x v="18"/>
    <s v="&quot;Garage Sale&quot;"/>
    <s v="Steve Carell"/>
    <s v="Jon Vitti"/>
    <x v="147"/>
    <x v="0"/>
    <x v="3"/>
    <n v="7019"/>
    <n v="7.07"/>
    <n v="323"/>
    <x v="1"/>
    <x v="6"/>
  </r>
  <r>
    <x v="2"/>
    <x v="2"/>
    <n v="3"/>
    <s v="Parks and Rec S3"/>
    <n v="38"/>
    <x v="7"/>
    <s v="&quot;Camping&quot;"/>
    <s v="Rob Schrab"/>
    <s v="Aisha Muharrar"/>
    <x v="147"/>
    <x v="0"/>
    <x v="0"/>
    <m/>
    <n v="5.15"/>
    <n v="324"/>
    <x v="1"/>
    <x v="6"/>
  </r>
  <r>
    <x v="1"/>
    <x v="4"/>
    <n v="5"/>
    <s v="30 Rock S5"/>
    <n v="98"/>
    <x v="17"/>
    <s v="&quot;Plan B&quot;"/>
    <s v="Jeff Richmond"/>
    <s v="Josh Siegal &amp; Dylan Morgan"/>
    <x v="147"/>
    <x v="0"/>
    <x v="5"/>
    <n v="518"/>
    <n v="4.3600000000000003"/>
    <n v="325"/>
    <x v="1"/>
    <x v="6"/>
  </r>
  <r>
    <x v="3"/>
    <x v="1"/>
    <n v="2"/>
    <s v="Community S2"/>
    <n v="45"/>
    <x v="19"/>
    <s v="&quot;Competitive Wine Tasting&quot;"/>
    <s v="Joe Russo"/>
    <s v="Emily Cutler"/>
    <x v="148"/>
    <x v="0"/>
    <x v="2"/>
    <n v="219"/>
    <n v="3.49"/>
    <n v="326"/>
    <x v="1"/>
    <x v="6"/>
  </r>
  <r>
    <x v="0"/>
    <x v="6"/>
    <n v="7"/>
    <s v="The Office S7"/>
    <n v="146"/>
    <x v="19"/>
    <s v="&quot;Training Day&quot;"/>
    <s v="Paul Lieberstein"/>
    <s v="Daniel Chun"/>
    <x v="148"/>
    <x v="0"/>
    <x v="3"/>
    <n v="7020"/>
    <n v="7.87"/>
    <n v="327"/>
    <x v="1"/>
    <x v="6"/>
  </r>
  <r>
    <x v="2"/>
    <x v="2"/>
    <n v="3"/>
    <s v="Parks and Rec S3"/>
    <n v="39"/>
    <x v="8"/>
    <s v="&quot;Andy and April's Fancy Party&quot;"/>
    <s v="Michael Trim"/>
    <s v="Katie Dippold"/>
    <x v="148"/>
    <x v="0"/>
    <x v="0"/>
    <m/>
    <n v="5.16"/>
    <n v="328"/>
    <x v="1"/>
    <x v="6"/>
  </r>
  <r>
    <x v="1"/>
    <x v="4"/>
    <n v="5"/>
    <s v="30 Rock S5"/>
    <n v="99"/>
    <x v="18"/>
    <s v="&quot;I Heart Connecticut&quot;"/>
    <s v="Stephen Lee Davis"/>
    <s v="Vali Chandrasekaran &amp; Jon Haller"/>
    <x v="148"/>
    <x v="0"/>
    <x v="5"/>
    <n v="519"/>
    <n v="4.45"/>
    <n v="329"/>
    <x v="1"/>
    <x v="6"/>
  </r>
  <r>
    <x v="3"/>
    <x v="1"/>
    <n v="2"/>
    <s v="Community S2"/>
    <n v="46"/>
    <x v="20"/>
    <s v="&quot;Paradigms of Human Memory&quot;"/>
    <s v="Tristram Shapeero"/>
    <s v="Chris McKenna"/>
    <x v="149"/>
    <x v="0"/>
    <x v="2"/>
    <n v="220"/>
    <n v="3.17"/>
    <n v="330"/>
    <x v="1"/>
    <x v="6"/>
  </r>
  <r>
    <x v="0"/>
    <x v="6"/>
    <n v="7"/>
    <s v="The Office S7"/>
    <n v="147"/>
    <x v="20"/>
    <s v="&quot;Michael's Last Dundies&quot;"/>
    <s v="Mindy Kaling"/>
    <s v="Mindy Kaling"/>
    <x v="149"/>
    <x v="0"/>
    <x v="3"/>
    <n v="7021"/>
    <n v="6.85"/>
    <n v="331"/>
    <x v="1"/>
    <x v="6"/>
  </r>
  <r>
    <x v="2"/>
    <x v="2"/>
    <n v="3"/>
    <s v="Parks and Rec S3"/>
    <n v="40"/>
    <x v="9"/>
    <s v="&quot;Soulmates&quot;"/>
    <s v="Ken Whittingham"/>
    <s v="Alan Yang"/>
    <x v="149"/>
    <x v="0"/>
    <x v="0"/>
    <m/>
    <n v="4.88"/>
    <n v="332"/>
    <x v="1"/>
    <x v="6"/>
  </r>
  <r>
    <x v="1"/>
    <x v="4"/>
    <n v="5"/>
    <s v="30 Rock S5"/>
    <n v="100"/>
    <x v="19"/>
    <s v="&quot;100&quot;"/>
    <s v="Don Scardino"/>
    <s v="Jack Burditt, Robert Carlock &amp; Tina Fey"/>
    <x v="149"/>
    <x v="0"/>
    <x v="5"/>
    <n v="520"/>
    <n v="4.5999999999999996"/>
    <n v="333"/>
    <x v="1"/>
    <x v="6"/>
  </r>
  <r>
    <x v="3"/>
    <x v="1"/>
    <n v="2"/>
    <s v="Community S2"/>
    <n v="47"/>
    <x v="21"/>
    <s v="&quot;Applied Anthropology and Culinary Arts&quot;"/>
    <s v="Jay Chandrasekhar"/>
    <s v="Karey Dornetto"/>
    <x v="150"/>
    <x v="0"/>
    <x v="2"/>
    <n v="221"/>
    <n v="3.35"/>
    <n v="334"/>
    <x v="0"/>
    <x v="6"/>
  </r>
  <r>
    <x v="0"/>
    <x v="6"/>
    <n v="7"/>
    <s v="The Office S7"/>
    <n v="148"/>
    <x v="21"/>
    <s v="&quot;Goodbye, Michael&quot;"/>
    <s v="Paul Feig"/>
    <s v="Greg Daniels"/>
    <x v="150"/>
    <x v="0"/>
    <x v="3"/>
    <n v="7022"/>
    <n v="8.42"/>
    <n v="335"/>
    <x v="0"/>
    <x v="6"/>
  </r>
  <r>
    <x v="2"/>
    <x v="2"/>
    <n v="3"/>
    <s v="Parks and Rec S3"/>
    <n v="41"/>
    <x v="10"/>
    <s v="&quot;Jerry's Painting&quot;"/>
    <s v="Dean Holland"/>
    <s v="Norm Hiscock"/>
    <x v="150"/>
    <x v="0"/>
    <x v="0"/>
    <m/>
    <n v="4.71"/>
    <n v="336"/>
    <x v="0"/>
    <x v="6"/>
  </r>
  <r>
    <x v="1"/>
    <x v="4"/>
    <n v="5"/>
    <s v="30 Rock S5"/>
    <n v="101"/>
    <x v="20"/>
    <s v="&quot;Everything Sunny All the Time Always&quot;"/>
    <s v="John Riggi"/>
    <s v="Kay Cannon &amp; Matt Hubbard"/>
    <x v="150"/>
    <x v="0"/>
    <x v="6"/>
    <n v="521"/>
    <n v="3.95"/>
    <n v="337"/>
    <x v="0"/>
    <x v="6"/>
  </r>
  <r>
    <x v="1"/>
    <x v="4"/>
    <n v="5"/>
    <s v="30 Rock S5"/>
    <n v="102"/>
    <x v="21"/>
    <s v="&quot;Everything Sunny All the Time Always&quot;"/>
    <s v="John Riggi"/>
    <s v="Kay Cannon &amp; Matt Hubbard"/>
    <x v="150"/>
    <x v="0"/>
    <x v="7"/>
    <n v="522"/>
    <n v="3.95"/>
    <n v="338"/>
    <x v="0"/>
    <x v="6"/>
  </r>
  <r>
    <x v="3"/>
    <x v="1"/>
    <n v="2"/>
    <s v="Community S2"/>
    <n v="48"/>
    <x v="22"/>
    <s v="&quot;A Fistful of Paintballs&quot;"/>
    <s v="Joe Russo"/>
    <s v="Andrew Guest"/>
    <x v="151"/>
    <x v="0"/>
    <x v="2"/>
    <n v="223"/>
    <n v="3.49"/>
    <n v="339"/>
    <x v="1"/>
    <x v="6"/>
  </r>
  <r>
    <x v="0"/>
    <x v="6"/>
    <n v="7"/>
    <s v="The Office S7"/>
    <n v="149"/>
    <x v="22"/>
    <s v="&quot;The Inner Circle&quot;"/>
    <s v="Matt Sohn"/>
    <s v="Charlie Grandy"/>
    <x v="151"/>
    <x v="0"/>
    <x v="3"/>
    <n v="7023"/>
    <n v="6.9"/>
    <n v="340"/>
    <x v="1"/>
    <x v="6"/>
  </r>
  <r>
    <x v="2"/>
    <x v="2"/>
    <n v="3"/>
    <s v="Parks and Rec S3"/>
    <n v="42"/>
    <x v="11"/>
    <s v="&quot;Eagleton&quot;"/>
    <s v="Nicole Holofcener"/>
    <s v="Emily Spivey"/>
    <x v="151"/>
    <x v="0"/>
    <x v="0"/>
    <m/>
    <n v="5.0599999999999996"/>
    <n v="341"/>
    <x v="1"/>
    <x v="6"/>
  </r>
  <r>
    <x v="1"/>
    <x v="4"/>
    <n v="5"/>
    <s v="30 Rock S5"/>
    <n v="103"/>
    <x v="22"/>
    <s v="&quot;Respawn&quot;"/>
    <s v="Don Scardino"/>
    <s v="Hannibal Buress &amp; Ron Weiner"/>
    <x v="151"/>
    <x v="0"/>
    <x v="5"/>
    <n v="523"/>
    <n v="4.2"/>
    <n v="342"/>
    <x v="1"/>
    <x v="6"/>
  </r>
  <r>
    <x v="3"/>
    <x v="1"/>
    <n v="2"/>
    <s v="Community S2"/>
    <n v="49"/>
    <x v="23"/>
    <s v="&quot;For a Few Paintballs More&quot;"/>
    <s v="Joe Russo"/>
    <s v="Hilary Winston"/>
    <x v="152"/>
    <x v="0"/>
    <x v="2"/>
    <n v="224"/>
    <n v="3.32"/>
    <n v="343"/>
    <x v="0"/>
    <x v="6"/>
  </r>
  <r>
    <x v="0"/>
    <x v="6"/>
    <n v="7"/>
    <s v="The Office S7"/>
    <n v="150"/>
    <x v="23"/>
    <s v="&quot;Dwight K. Schrute, (Acting) Manager&quot;"/>
    <s v="Troy Miller"/>
    <s v="Justin Spitzer"/>
    <x v="152"/>
    <x v="0"/>
    <x v="3"/>
    <n v="7024"/>
    <n v="6.45"/>
    <n v="344"/>
    <x v="0"/>
    <x v="6"/>
  </r>
  <r>
    <x v="2"/>
    <x v="2"/>
    <n v="3"/>
    <s v="Parks and Rec S3"/>
    <n v="43"/>
    <x v="12"/>
    <s v="&quot;The Fight&quot;"/>
    <s v="Randall Einhorn"/>
    <s v="Amy Poehler"/>
    <x v="152"/>
    <x v="0"/>
    <x v="0"/>
    <m/>
    <n v="4.55"/>
    <n v="345"/>
    <x v="0"/>
    <x v="6"/>
  </r>
  <r>
    <x v="2"/>
    <x v="2"/>
    <n v="3"/>
    <s v="Parks and Rec S3"/>
    <n v="44"/>
    <x v="13"/>
    <s v="&quot;Road Trip&quot;"/>
    <s v="Troy Miller"/>
    <s v="Harris Wittels"/>
    <x v="152"/>
    <x v="0"/>
    <x v="5"/>
    <m/>
    <n v="3.54"/>
    <n v="346"/>
    <x v="0"/>
    <x v="6"/>
  </r>
  <r>
    <x v="0"/>
    <x v="6"/>
    <n v="7"/>
    <s v="The Office S7"/>
    <n v="151"/>
    <x v="24"/>
    <s v="&quot;Search Committee&quot;"/>
    <s v="Jeffrey Blitz"/>
    <s v="Paul Lieberstein"/>
    <x v="153"/>
    <x v="0"/>
    <x v="3"/>
    <n v="7025"/>
    <n v="7.29"/>
    <n v="347"/>
    <x v="0"/>
    <x v="6"/>
  </r>
  <r>
    <x v="0"/>
    <x v="6"/>
    <n v="7"/>
    <s v="The Office S7"/>
    <n v="152"/>
    <x v="25"/>
    <s v="&quot;Search Committee&quot;"/>
    <s v="Jeffrey Blitz"/>
    <s v="Paul Lieberstein"/>
    <x v="153"/>
    <x v="0"/>
    <x v="0"/>
    <n v="7026"/>
    <n v="7.29"/>
    <n v="348"/>
    <x v="0"/>
    <x v="6"/>
  </r>
  <r>
    <x v="2"/>
    <x v="2"/>
    <n v="3"/>
    <s v="Parks and Rec S3"/>
    <n v="45"/>
    <x v="14"/>
    <s v="&quot;The Bubble&quot;"/>
    <s v="Matt Sohn"/>
    <s v="Greg Levine &amp; Brian Rowe"/>
    <x v="153"/>
    <x v="0"/>
    <x v="5"/>
    <m/>
    <n v="4.2699999999999996"/>
    <n v="349"/>
    <x v="0"/>
    <x v="6"/>
  </r>
  <r>
    <x v="2"/>
    <x v="2"/>
    <n v="3"/>
    <s v="Parks and Rec S3"/>
    <n v="46"/>
    <x v="15"/>
    <s v="&quot;Li'l Sebastian&quot;"/>
    <s v="Dean Holland"/>
    <s v="Dan Goor"/>
    <x v="153"/>
    <x v="0"/>
    <x v="6"/>
    <m/>
    <n v="3.72"/>
    <n v="350"/>
    <x v="0"/>
    <x v="6"/>
  </r>
  <r>
    <x v="3"/>
    <x v="2"/>
    <n v="3"/>
    <s v="Community S3"/>
    <n v="50"/>
    <x v="0"/>
    <s v="&quot;Biology 101&quot;"/>
    <s v="Anthony Russo"/>
    <s v="Garrett Donovan &amp; Neil Goldman"/>
    <x v="154"/>
    <x v="0"/>
    <x v="2"/>
    <n v="301"/>
    <n v="3.93"/>
    <n v="351"/>
    <x v="0"/>
    <x v="7"/>
  </r>
  <r>
    <x v="2"/>
    <x v="3"/>
    <n v="4"/>
    <s v="Parks and Rec S4"/>
    <n v="47"/>
    <x v="0"/>
    <s v="&quot;I'm Leslie Knope&quot;"/>
    <s v="Troy Miller"/>
    <s v="Dan Goor"/>
    <x v="154"/>
    <x v="0"/>
    <x v="1"/>
    <m/>
    <n v="4.1100000000000003"/>
    <n v="352"/>
    <x v="0"/>
    <x v="7"/>
  </r>
  <r>
    <x v="0"/>
    <x v="7"/>
    <n v="8"/>
    <s v="The Office S8"/>
    <n v="153"/>
    <x v="0"/>
    <s v="&quot;The List&quot;"/>
    <s v="B. J. Novak"/>
    <s v="B. J. Novak"/>
    <x v="154"/>
    <x v="0"/>
    <x v="3"/>
    <n v="8002"/>
    <n v="7.64"/>
    <n v="353"/>
    <x v="0"/>
    <x v="7"/>
  </r>
  <r>
    <x v="3"/>
    <x v="2"/>
    <n v="3"/>
    <s v="Community S3"/>
    <n v="51"/>
    <x v="1"/>
    <s v="&quot;Geography of Global Conflict&quot;"/>
    <s v="Joe Russo"/>
    <s v="Andy Bobrow"/>
    <x v="155"/>
    <x v="0"/>
    <x v="2"/>
    <n v="302"/>
    <n v="3.98"/>
    <n v="354"/>
    <x v="0"/>
    <x v="7"/>
  </r>
  <r>
    <x v="2"/>
    <x v="3"/>
    <n v="4"/>
    <s v="Parks and Rec S4"/>
    <n v="48"/>
    <x v="1"/>
    <s v="&quot;Ron and Tammys&quot;"/>
    <s v="Randall Einhorn"/>
    <s v="Norm Hiscock"/>
    <x v="155"/>
    <x v="0"/>
    <x v="1"/>
    <m/>
    <n v="4.33"/>
    <n v="355"/>
    <x v="0"/>
    <x v="7"/>
  </r>
  <r>
    <x v="0"/>
    <x v="7"/>
    <n v="8"/>
    <s v="The Office S8"/>
    <n v="154"/>
    <x v="1"/>
    <s v="&quot;The Incentive&quot;"/>
    <s v="Charles McDougall"/>
    <s v="Paul Lieberstein"/>
    <x v="155"/>
    <x v="0"/>
    <x v="3"/>
    <n v="8001"/>
    <n v="6.7"/>
    <n v="356"/>
    <x v="0"/>
    <x v="7"/>
  </r>
  <r>
    <x v="3"/>
    <x v="2"/>
    <n v="3"/>
    <s v="Community S3"/>
    <n v="52"/>
    <x v="2"/>
    <s v="&quot;Competitive Ecology&quot;"/>
    <s v="Anthony Russo"/>
    <s v="Maggie Bandur"/>
    <x v="156"/>
    <x v="0"/>
    <x v="2"/>
    <n v="304"/>
    <n v="3.35"/>
    <n v="357"/>
    <x v="0"/>
    <x v="7"/>
  </r>
  <r>
    <x v="2"/>
    <x v="3"/>
    <n v="4"/>
    <s v="Parks and Rec S4"/>
    <n v="49"/>
    <x v="2"/>
    <s v="&quot;Born &amp; Raised&quot;"/>
    <s v="Dean Holland"/>
    <s v="Aisha Muharrar"/>
    <x v="156"/>
    <x v="0"/>
    <x v="1"/>
    <m/>
    <n v="4.1500000000000004"/>
    <n v="358"/>
    <x v="0"/>
    <x v="7"/>
  </r>
  <r>
    <x v="0"/>
    <x v="7"/>
    <n v="8"/>
    <s v="The Office S8"/>
    <n v="155"/>
    <x v="2"/>
    <s v="&quot;Lotto&quot;"/>
    <s v="John Krasinski"/>
    <s v="Charlie Grandy"/>
    <x v="156"/>
    <x v="0"/>
    <x v="3"/>
    <n v="8005"/>
    <n v="5.82"/>
    <n v="359"/>
    <x v="0"/>
    <x v="7"/>
  </r>
  <r>
    <x v="3"/>
    <x v="2"/>
    <n v="3"/>
    <s v="Community S3"/>
    <n v="53"/>
    <x v="3"/>
    <s v="&quot;Remedial Chaos Theory&quot;"/>
    <s v="Jeff Melman"/>
    <s v="Chris McKenna"/>
    <x v="157"/>
    <x v="0"/>
    <x v="2"/>
    <n v="303"/>
    <n v="3.78"/>
    <n v="360"/>
    <x v="0"/>
    <x v="7"/>
  </r>
  <r>
    <x v="2"/>
    <x v="3"/>
    <n v="4"/>
    <s v="Parks and Rec S4"/>
    <n v="50"/>
    <x v="3"/>
    <s v="&quot;Pawnee Rangers&quot;"/>
    <s v="Charles McDougall"/>
    <s v="Alan Yang"/>
    <x v="157"/>
    <x v="0"/>
    <x v="1"/>
    <m/>
    <n v="3.99"/>
    <n v="361"/>
    <x v="0"/>
    <x v="7"/>
  </r>
  <r>
    <x v="0"/>
    <x v="7"/>
    <n v="8"/>
    <s v="The Office S8"/>
    <n v="156"/>
    <x v="3"/>
    <s v="&quot;Garden Party&quot;"/>
    <s v="David Rogers"/>
    <s v="Justin Spitzer"/>
    <x v="157"/>
    <x v="0"/>
    <x v="3"/>
    <n v="8004"/>
    <n v="6.08"/>
    <n v="362"/>
    <x v="0"/>
    <x v="7"/>
  </r>
  <r>
    <x v="3"/>
    <x v="2"/>
    <n v="3"/>
    <s v="Community S3"/>
    <n v="54"/>
    <x v="4"/>
    <s v="&quot;Horror Fiction in Seven Spooky Steps&quot;"/>
    <s v="Tristram Shapeero"/>
    <s v="Dan Harmon"/>
    <x v="158"/>
    <x v="0"/>
    <x v="2"/>
    <n v="305"/>
    <n v="3.42"/>
    <n v="363"/>
    <x v="0"/>
    <x v="7"/>
  </r>
  <r>
    <x v="2"/>
    <x v="3"/>
    <n v="4"/>
    <s v="Parks and Rec S4"/>
    <n v="51"/>
    <x v="4"/>
    <s v="&quot;Meet n Greet&quot;"/>
    <s v="Wendey Stanzler"/>
    <s v="Katie Dippold"/>
    <x v="158"/>
    <x v="0"/>
    <x v="1"/>
    <m/>
    <n v="3.9"/>
    <n v="364"/>
    <x v="0"/>
    <x v="7"/>
  </r>
  <r>
    <x v="0"/>
    <x v="7"/>
    <n v="8"/>
    <s v="The Office S8"/>
    <n v="157"/>
    <x v="4"/>
    <s v="&quot;Spooked&quot;"/>
    <s v="Randall Einhorn"/>
    <s v="Carrie Kemper"/>
    <x v="158"/>
    <x v="0"/>
    <x v="3"/>
    <n v="8006"/>
    <n v="5.53"/>
    <n v="365"/>
    <x v="0"/>
    <x v="7"/>
  </r>
  <r>
    <x v="3"/>
    <x v="2"/>
    <n v="3"/>
    <s v="Community S3"/>
    <n v="55"/>
    <x v="5"/>
    <s v="&quot;Advanced Gay&quot;"/>
    <s v="Joe Russo"/>
    <s v="Matt Murray"/>
    <x v="159"/>
    <x v="0"/>
    <x v="2"/>
    <n v="306"/>
    <n v="3.84"/>
    <n v="366"/>
    <x v="0"/>
    <x v="7"/>
  </r>
  <r>
    <x v="2"/>
    <x v="3"/>
    <n v="4"/>
    <s v="Parks and Rec S4"/>
    <n v="52"/>
    <x v="5"/>
    <s v="&quot;End of the World&quot;"/>
    <s v="Dean Holland"/>
    <s v="Michael Schur"/>
    <x v="159"/>
    <x v="0"/>
    <x v="1"/>
    <m/>
    <n v="4"/>
    <n v="367"/>
    <x v="0"/>
    <x v="7"/>
  </r>
  <r>
    <x v="0"/>
    <x v="7"/>
    <n v="8"/>
    <s v="The Office S8"/>
    <n v="158"/>
    <x v="5"/>
    <s v="&quot;Doomsday&quot;"/>
    <s v="Troy Miller"/>
    <s v="Daniel Chun"/>
    <x v="159"/>
    <x v="0"/>
    <x v="3"/>
    <n v="8003"/>
    <n v="6.15"/>
    <n v="368"/>
    <x v="0"/>
    <x v="7"/>
  </r>
  <r>
    <x v="3"/>
    <x v="2"/>
    <n v="3"/>
    <s v="Community S3"/>
    <n v="56"/>
    <x v="6"/>
    <s v="&quot;Studies in Modern Movement&quot;"/>
    <s v="Tristram Shapeero"/>
    <s v="Adam Countee"/>
    <x v="160"/>
    <x v="0"/>
    <x v="2"/>
    <n v="307"/>
    <n v="3.49"/>
    <n v="369"/>
    <x v="0"/>
    <x v="7"/>
  </r>
  <r>
    <x v="2"/>
    <x v="3"/>
    <n v="4"/>
    <s v="Parks and Rec S4"/>
    <n v="53"/>
    <x v="6"/>
    <s v="&quot;The Treaty&quot;"/>
    <s v="Jorma Taccone"/>
    <s v="Harris Wittels"/>
    <x v="160"/>
    <x v="0"/>
    <x v="1"/>
    <m/>
    <n v="3.66"/>
    <n v="370"/>
    <x v="0"/>
    <x v="7"/>
  </r>
  <r>
    <x v="0"/>
    <x v="7"/>
    <n v="8"/>
    <s v="The Office S8"/>
    <n v="159"/>
    <x v="6"/>
    <s v="&quot;Pam's Replacement&quot;"/>
    <s v="Matt Sohn"/>
    <s v="Allison Silverman"/>
    <x v="160"/>
    <x v="0"/>
    <x v="3"/>
    <n v="8007"/>
    <n v="5.96"/>
    <n v="371"/>
    <x v="0"/>
    <x v="7"/>
  </r>
  <r>
    <x v="3"/>
    <x v="2"/>
    <n v="3"/>
    <s v="Community S3"/>
    <n v="57"/>
    <x v="7"/>
    <s v="&quot;Documentary Filmmaking: Redux&quot;"/>
    <s v="Joe Russo"/>
    <s v="Megan Ganz"/>
    <x v="161"/>
    <x v="0"/>
    <x v="2"/>
    <n v="308"/>
    <n v="3.62"/>
    <n v="372"/>
    <x v="0"/>
    <x v="7"/>
  </r>
  <r>
    <x v="2"/>
    <x v="3"/>
    <n v="4"/>
    <s v="Parks and Rec S4"/>
    <n v="54"/>
    <x v="7"/>
    <s v="&quot;Smallest Park&quot;"/>
    <s v="Nicole Holofcener"/>
    <s v="Chelsea Peretti"/>
    <x v="161"/>
    <x v="0"/>
    <x v="1"/>
    <m/>
    <n v="3.68"/>
    <n v="373"/>
    <x v="0"/>
    <x v="7"/>
  </r>
  <r>
    <x v="0"/>
    <x v="7"/>
    <n v="8"/>
    <s v="The Office S8"/>
    <n v="160"/>
    <x v="7"/>
    <s v="&quot;Gettysburg&quot;"/>
    <s v="Jeffrey Blitz"/>
    <s v="Robert Padnick"/>
    <x v="161"/>
    <x v="0"/>
    <x v="3"/>
    <n v="8008"/>
    <n v="5.5"/>
    <n v="374"/>
    <x v="0"/>
    <x v="7"/>
  </r>
  <r>
    <x v="3"/>
    <x v="2"/>
    <n v="3"/>
    <s v="Community S3"/>
    <n v="58"/>
    <x v="8"/>
    <s v="&quot;Foosball and Nocturnal Vigilantism&quot;"/>
    <s v="Anthony Russo"/>
    <s v="Chris Kula"/>
    <x v="162"/>
    <x v="0"/>
    <x v="2"/>
    <n v="309"/>
    <n v="3.74"/>
    <n v="375"/>
    <x v="0"/>
    <x v="7"/>
  </r>
  <r>
    <x v="2"/>
    <x v="3"/>
    <n v="4"/>
    <s v="Parks and Rec S4"/>
    <n v="55"/>
    <x v="8"/>
    <s v="&quot;The Trial of Leslie Knope&quot;"/>
    <s v="Dean Holland"/>
    <s v="Dan Goor &amp; Michael Schur"/>
    <x v="162"/>
    <x v="0"/>
    <x v="1"/>
    <m/>
    <n v="3.69"/>
    <n v="376"/>
    <x v="0"/>
    <x v="7"/>
  </r>
  <r>
    <x v="0"/>
    <x v="7"/>
    <n v="8"/>
    <s v="The Office S8"/>
    <n v="161"/>
    <x v="8"/>
    <s v="&quot;Mrs. California&quot;"/>
    <s v="Charlie Grandy"/>
    <s v="Dan Greaney"/>
    <x v="162"/>
    <x v="0"/>
    <x v="3"/>
    <n v="8009"/>
    <n v="5.71"/>
    <n v="377"/>
    <x v="0"/>
    <x v="7"/>
  </r>
  <r>
    <x v="3"/>
    <x v="2"/>
    <n v="3"/>
    <s v="Community S3"/>
    <n v="59"/>
    <x v="9"/>
    <s v="&quot;Regional Holiday Music&quot;"/>
    <s v="Tristram Shapeero"/>
    <s v="Steve Basilone &amp; Annie Mebane"/>
    <x v="163"/>
    <x v="0"/>
    <x v="2"/>
    <n v="311"/>
    <n v="3.6"/>
    <n v="378"/>
    <x v="0"/>
    <x v="7"/>
  </r>
  <r>
    <x v="2"/>
    <x v="3"/>
    <n v="4"/>
    <s v="Parks and Rec S4"/>
    <n v="56"/>
    <x v="9"/>
    <s v="&quot;Citizen Knope&quot;"/>
    <s v="Randall Einhorn"/>
    <s v="Dave King"/>
    <x v="163"/>
    <x v="0"/>
    <x v="1"/>
    <m/>
    <n v="3.64"/>
    <n v="379"/>
    <x v="0"/>
    <x v="7"/>
  </r>
  <r>
    <x v="0"/>
    <x v="7"/>
    <n v="8"/>
    <s v="The Office S8"/>
    <n v="162"/>
    <x v="9"/>
    <s v="&quot;Christmas Wishes&quot;"/>
    <s v="Ed Helms"/>
    <s v="Mindy Kaling"/>
    <x v="163"/>
    <x v="0"/>
    <x v="3"/>
    <n v="8010"/>
    <n v="5.79"/>
    <n v="380"/>
    <x v="0"/>
    <x v="7"/>
  </r>
  <r>
    <x v="1"/>
    <x v="5"/>
    <n v="6"/>
    <s v="30 Rock S6"/>
    <n v="104"/>
    <x v="0"/>
    <s v="&quot;Dance Like Nobody's Watching&quot;"/>
    <s v="John Riggi"/>
    <s v="Tina Fey &amp; Tracey Wigfield"/>
    <x v="164"/>
    <x v="0"/>
    <x v="2"/>
    <n v="601"/>
    <n v="4.47"/>
    <n v="381"/>
    <x v="0"/>
    <x v="7"/>
  </r>
  <r>
    <x v="0"/>
    <x v="7"/>
    <n v="8"/>
    <s v="The Office S8"/>
    <n v="163"/>
    <x v="10"/>
    <s v="&quot;Trivia&quot;"/>
    <s v="B. J. Novak"/>
    <s v="Steve Hely"/>
    <x v="164"/>
    <x v="0"/>
    <x v="3"/>
    <n v="8011"/>
    <n v="5.9"/>
    <n v="382"/>
    <x v="0"/>
    <x v="7"/>
  </r>
  <r>
    <x v="2"/>
    <x v="3"/>
    <n v="4"/>
    <s v="Parks and Rec S4"/>
    <n v="57"/>
    <x v="10"/>
    <s v="&quot;The Comeback Kid&quot;"/>
    <s v="Tucker Gates"/>
    <s v="Mike Scully"/>
    <x v="164"/>
    <x v="0"/>
    <x v="0"/>
    <m/>
    <n v="4.09"/>
    <n v="383"/>
    <x v="0"/>
    <x v="7"/>
  </r>
  <r>
    <x v="1"/>
    <x v="5"/>
    <n v="6"/>
    <s v="30 Rock S6"/>
    <n v="105"/>
    <x v="1"/>
    <s v="&quot;Idiots Are People Two!&quot;"/>
    <s v="Beth McCarthy-Miller"/>
    <s v="Robert Carlock"/>
    <x v="165"/>
    <x v="0"/>
    <x v="2"/>
    <n v="602"/>
    <n v="4.05"/>
    <n v="384"/>
    <x v="0"/>
    <x v="7"/>
  </r>
  <r>
    <x v="0"/>
    <x v="7"/>
    <n v="8"/>
    <s v="The Office S8"/>
    <n v="164"/>
    <x v="11"/>
    <s v="&quot;Pool Party&quot;"/>
    <s v="Charles McDougall"/>
    <s v="Owen Ellickson"/>
    <x v="165"/>
    <x v="0"/>
    <x v="3"/>
    <n v="8012"/>
    <n v="6.02"/>
    <n v="385"/>
    <x v="0"/>
    <x v="7"/>
  </r>
  <r>
    <x v="2"/>
    <x v="3"/>
    <n v="4"/>
    <s v="Parks and Rec S4"/>
    <n v="58"/>
    <x v="11"/>
    <s v="&quot;Campaign Ad&quot;"/>
    <s v="Dean Holland"/>
    <s v="Alan Yang"/>
    <x v="165"/>
    <x v="0"/>
    <x v="0"/>
    <m/>
    <n v="4.25"/>
    <n v="386"/>
    <x v="0"/>
    <x v="7"/>
  </r>
  <r>
    <x v="1"/>
    <x v="5"/>
    <n v="6"/>
    <s v="30 Rock S6"/>
    <n v="106"/>
    <x v="2"/>
    <s v="&quot;Idiots Are People Three!&quot;"/>
    <s v="Beth McCarthy-Miller"/>
    <s v="Robert Carlock"/>
    <x v="166"/>
    <x v="0"/>
    <x v="3"/>
    <n v="603"/>
    <n v="3.82"/>
    <n v="387"/>
    <x v="0"/>
    <x v="7"/>
  </r>
  <r>
    <x v="2"/>
    <x v="3"/>
    <n v="4"/>
    <s v="Parks and Rec S4"/>
    <n v="59"/>
    <x v="12"/>
    <s v="&quot;Bowling for Votes&quot;"/>
    <s v="Michael Trim"/>
    <s v="Katie Dippold"/>
    <x v="166"/>
    <x v="0"/>
    <x v="0"/>
    <m/>
    <n v="3.49"/>
    <n v="388"/>
    <x v="0"/>
    <x v="7"/>
  </r>
  <r>
    <x v="1"/>
    <x v="5"/>
    <n v="6"/>
    <s v="30 Rock S6"/>
    <n v="107"/>
    <x v="3"/>
    <s v="&quot;The Ballad of Kenneth Parcell&quot;"/>
    <s v="Jeff Richmond"/>
    <s v="Matt Hubbard"/>
    <x v="166"/>
    <x v="0"/>
    <x v="0"/>
    <n v="604"/>
    <n v="3.98"/>
    <n v="389"/>
    <x v="0"/>
    <x v="7"/>
  </r>
  <r>
    <x v="1"/>
    <x v="5"/>
    <n v="6"/>
    <s v="30 Rock S6"/>
    <n v="108"/>
    <x v="4"/>
    <s v="&quot;Today You Are a Man&quot;"/>
    <s v="Jeff Richmond"/>
    <s v="Ron Weiner"/>
    <x v="167"/>
    <x v="0"/>
    <x v="2"/>
    <n v="605"/>
    <n v="3.23"/>
    <n v="390"/>
    <x v="0"/>
    <x v="7"/>
  </r>
  <r>
    <x v="0"/>
    <x v="7"/>
    <n v="8"/>
    <s v="The Office S8"/>
    <n v="165"/>
    <x v="12"/>
    <s v="&quot;Jury Duty&quot;"/>
    <s v="Eric Appel"/>
    <s v="Aaron Shure"/>
    <x v="167"/>
    <x v="0"/>
    <x v="3"/>
    <n v="8013"/>
    <n v="5.31"/>
    <n v="391"/>
    <x v="0"/>
    <x v="7"/>
  </r>
  <r>
    <x v="2"/>
    <x v="3"/>
    <n v="4"/>
    <s v="Parks and Rec S4"/>
    <n v="60"/>
    <x v="13"/>
    <s v="&quot;Operation Ann&quot;"/>
    <s v="Morgan Sackett"/>
    <s v="Aisha Muharrar"/>
    <x v="167"/>
    <x v="0"/>
    <x v="0"/>
    <m/>
    <n v="3.6"/>
    <n v="392"/>
    <x v="0"/>
    <x v="7"/>
  </r>
  <r>
    <x v="1"/>
    <x v="5"/>
    <n v="6"/>
    <s v="30 Rock S6"/>
    <n v="109"/>
    <x v="5"/>
    <s v="&quot;Hey, Baby, What's Wrong&quot;"/>
    <s v="Michael Engler"/>
    <s v="Kay Cannon"/>
    <x v="168"/>
    <x v="0"/>
    <x v="2"/>
    <n v="606"/>
    <n v="3.88"/>
    <n v="393"/>
    <x v="0"/>
    <x v="7"/>
  </r>
  <r>
    <x v="0"/>
    <x v="7"/>
    <n v="8"/>
    <s v="The Office S8"/>
    <n v="166"/>
    <x v="13"/>
    <s v="&quot;Special Project&quot;"/>
    <s v="David Rogers"/>
    <s v="Amelie Gillette"/>
    <x v="168"/>
    <x v="0"/>
    <x v="3"/>
    <n v="8014"/>
    <n v="5.19"/>
    <n v="394"/>
    <x v="0"/>
    <x v="7"/>
  </r>
  <r>
    <x v="1"/>
    <x v="5"/>
    <n v="6"/>
    <s v="30 Rock S6"/>
    <n v="110"/>
    <x v="6"/>
    <s v="&quot;The Tuxedo Begins&quot;"/>
    <s v="John Riggi"/>
    <s v="Dylan Morgan &amp; Josh Siegal"/>
    <x v="169"/>
    <x v="0"/>
    <x v="2"/>
    <n v="607"/>
    <n v="3.59"/>
    <n v="395"/>
    <x v="0"/>
    <x v="7"/>
  </r>
  <r>
    <x v="1"/>
    <x v="5"/>
    <n v="6"/>
    <s v="30 Rock S6"/>
    <n v="111"/>
    <x v="7"/>
    <s v="&quot;The Tuxedo Begins&quot;"/>
    <s v="John Riggi"/>
    <s v="Dylan Morgan &amp; Josh Siegal"/>
    <x v="169"/>
    <x v="0"/>
    <x v="2"/>
    <n v="608"/>
    <n v="3.59"/>
    <n v="396"/>
    <x v="0"/>
    <x v="7"/>
  </r>
  <r>
    <x v="0"/>
    <x v="7"/>
    <n v="8"/>
    <s v="The Office S8"/>
    <n v="167"/>
    <x v="14"/>
    <s v="&quot;Tallahassee&quot;"/>
    <s v="Matt Sohn"/>
    <s v="Daniel Chun"/>
    <x v="169"/>
    <x v="0"/>
    <x v="3"/>
    <n v="8015"/>
    <n v="4.38"/>
    <n v="397"/>
    <x v="0"/>
    <x v="7"/>
  </r>
  <r>
    <x v="2"/>
    <x v="3"/>
    <n v="4"/>
    <s v="Parks and Rec S4"/>
    <n v="61"/>
    <x v="14"/>
    <s v="&quot;Dave Returns&quot;"/>
    <s v="Robert B. Weide"/>
    <s v="Harris Wittels"/>
    <x v="169"/>
    <x v="0"/>
    <x v="0"/>
    <m/>
    <n v="3.45"/>
    <n v="398"/>
    <x v="0"/>
    <x v="7"/>
  </r>
  <r>
    <x v="1"/>
    <x v="5"/>
    <n v="6"/>
    <s v="30 Rock S6"/>
    <n v="112"/>
    <x v="8"/>
    <s v="&quot;Leap Day&quot;"/>
    <s v="Steve Buscemi"/>
    <s v="Luke Del Tredici"/>
    <x v="170"/>
    <x v="0"/>
    <x v="2"/>
    <n v="609"/>
    <n v="3.7"/>
    <n v="399"/>
    <x v="0"/>
    <x v="7"/>
  </r>
  <r>
    <x v="0"/>
    <x v="7"/>
    <n v="8"/>
    <s v="The Office S8"/>
    <n v="168"/>
    <x v="15"/>
    <s v="&quot;After Hours&quot;"/>
    <s v="Brian Baumgartner"/>
    <s v="Halsted Sullivan &amp; Warren Lieberstein"/>
    <x v="170"/>
    <x v="0"/>
    <x v="3"/>
    <n v="8016"/>
    <n v="5.0199999999999996"/>
    <n v="400"/>
    <x v="0"/>
    <x v="7"/>
  </r>
  <r>
    <x v="2"/>
    <x v="3"/>
    <n v="4"/>
    <s v="Parks and Rec S4"/>
    <n v="62"/>
    <x v="15"/>
    <s v="&quot;Sweet Sixteen&quot;"/>
    <s v="Michael Schur"/>
    <s v="Norm Hiscock"/>
    <x v="170"/>
    <x v="0"/>
    <x v="0"/>
    <m/>
    <n v="3.43"/>
    <n v="401"/>
    <x v="0"/>
    <x v="7"/>
  </r>
  <r>
    <x v="1"/>
    <x v="5"/>
    <n v="6"/>
    <s v="30 Rock S6"/>
    <n v="113"/>
    <x v="9"/>
    <s v="&quot;Alexis Goodlooking and the Case of the Missing Whisky&quot;"/>
    <s v="Michael Slovis"/>
    <s v="John Riggi"/>
    <x v="171"/>
    <x v="0"/>
    <x v="2"/>
    <n v="610"/>
    <n v="3.77"/>
    <n v="402"/>
    <x v="0"/>
    <x v="7"/>
  </r>
  <r>
    <x v="0"/>
    <x v="7"/>
    <n v="8"/>
    <s v="The Office S8"/>
    <n v="169"/>
    <x v="16"/>
    <s v="&quot;Test the Store&quot;"/>
    <s v="Brent Forrester"/>
    <s v="Mindy Kaling"/>
    <x v="171"/>
    <x v="0"/>
    <x v="3"/>
    <n v="8017"/>
    <n v="4.95"/>
    <n v="403"/>
    <x v="0"/>
    <x v="7"/>
  </r>
  <r>
    <x v="2"/>
    <x v="3"/>
    <n v="4"/>
    <s v="Parks and Rec S4"/>
    <n v="63"/>
    <x v="16"/>
    <s v="&quot;Campaign Shake-Up&quot;"/>
    <s v="Dan Goor"/>
    <s v="Dan Goor"/>
    <x v="171"/>
    <x v="0"/>
    <x v="0"/>
    <m/>
    <n v="3.77"/>
    <n v="404"/>
    <x v="0"/>
    <x v="7"/>
  </r>
  <r>
    <x v="1"/>
    <x v="5"/>
    <n v="6"/>
    <s v="30 Rock S6"/>
    <n v="114"/>
    <x v="10"/>
    <s v="&quot;Standards and Practices&quot;"/>
    <s v="Beth McCarthy-Miller"/>
    <s v="Vali Chandrasekaran"/>
    <x v="172"/>
    <x v="0"/>
    <x v="2"/>
    <n v="611"/>
    <n v="3.42"/>
    <n v="405"/>
    <x v="0"/>
    <x v="7"/>
  </r>
  <r>
    <x v="0"/>
    <x v="7"/>
    <n v="8"/>
    <s v="The Office S8"/>
    <n v="170"/>
    <x v="17"/>
    <s v="&quot;Last Day in Florida&quot;"/>
    <s v="Matt Sohn"/>
    <s v="Robert Padnick"/>
    <x v="172"/>
    <x v="0"/>
    <x v="3"/>
    <n v="8018"/>
    <n v="4.8899999999999997"/>
    <n v="406"/>
    <x v="0"/>
    <x v="7"/>
  </r>
  <r>
    <x v="2"/>
    <x v="3"/>
    <n v="4"/>
    <s v="Parks and Rec S4"/>
    <n v="64"/>
    <x v="17"/>
    <s v="&quot;Lucky&quot;"/>
    <s v="Troy Miller"/>
    <s v="Nick Offerman"/>
    <x v="172"/>
    <x v="0"/>
    <x v="0"/>
    <m/>
    <n v="3.66"/>
    <n v="407"/>
    <x v="0"/>
    <x v="7"/>
  </r>
  <r>
    <x v="3"/>
    <x v="2"/>
    <n v="3"/>
    <s v="Community S3"/>
    <n v="60"/>
    <x v="10"/>
    <s v="&quot;Urban Matrimony and the Sandwich Arts&quot;"/>
    <s v="Kyle Newacheck"/>
    <s v="Vera Santamaria"/>
    <x v="173"/>
    <x v="0"/>
    <x v="2"/>
    <n v="312"/>
    <n v="4.75"/>
    <n v="408"/>
    <x v="0"/>
    <x v="7"/>
  </r>
  <r>
    <x v="1"/>
    <x v="5"/>
    <n v="6"/>
    <s v="30 Rock S6"/>
    <n v="115"/>
    <x v="11"/>
    <s v="&quot;St. Patrick's Day&quot;"/>
    <s v="John Riggi"/>
    <s v="Colleen McGuinness"/>
    <x v="173"/>
    <x v="0"/>
    <x v="1"/>
    <n v="612"/>
    <n v="4"/>
    <n v="409"/>
    <x v="0"/>
    <x v="7"/>
  </r>
  <r>
    <x v="0"/>
    <x v="7"/>
    <n v="8"/>
    <s v="The Office S8"/>
    <n v="171"/>
    <x v="18"/>
    <s v="&quot;Get the Girl&quot;"/>
    <s v="Rainn Wilson"/>
    <s v="Charlie Grandy"/>
    <x v="173"/>
    <x v="0"/>
    <x v="3"/>
    <n v="8019"/>
    <n v="4.87"/>
    <n v="410"/>
    <x v="0"/>
    <x v="7"/>
  </r>
  <r>
    <x v="3"/>
    <x v="2"/>
    <n v="3"/>
    <s v="Community S3"/>
    <n v="61"/>
    <x v="11"/>
    <s v="&quot;Contemporary Impressionists&quot;"/>
    <s v="Kyle Newacheck"/>
    <s v="Alex Cooley"/>
    <x v="174"/>
    <x v="0"/>
    <x v="2"/>
    <n v="310"/>
    <n v="3.87"/>
    <n v="411"/>
    <x v="0"/>
    <x v="7"/>
  </r>
  <r>
    <x v="1"/>
    <x v="5"/>
    <n v="6"/>
    <s v="30 Rock S6"/>
    <n v="116"/>
    <x v="12"/>
    <s v="&quot;Grandmentor&quot;"/>
    <s v="Beth McCarthy-Miller"/>
    <s v="Sam Means"/>
    <x v="174"/>
    <x v="0"/>
    <x v="1"/>
    <n v="613"/>
    <n v="3.31"/>
    <n v="412"/>
    <x v="0"/>
    <x v="7"/>
  </r>
  <r>
    <x v="1"/>
    <x v="5"/>
    <n v="6"/>
    <s v="30 Rock S6"/>
    <n v="117"/>
    <x v="13"/>
    <s v="&quot;Kidnapped by Danger&quot;"/>
    <s v="Claire Cowperthwaite"/>
    <s v="Tina Fey"/>
    <x v="174"/>
    <x v="0"/>
    <x v="1"/>
    <n v="614"/>
    <n v="3.42"/>
    <n v="413"/>
    <x v="0"/>
    <x v="7"/>
  </r>
  <r>
    <x v="3"/>
    <x v="2"/>
    <n v="3"/>
    <s v="Community S3"/>
    <n v="62"/>
    <x v="12"/>
    <s v="&quot;Digital Exploration of Interior Design&quot;"/>
    <s v="Dan Eckman"/>
    <s v="Chris McKenna"/>
    <x v="175"/>
    <x v="0"/>
    <x v="2"/>
    <n v="313"/>
    <n v="3.48"/>
    <n v="414"/>
    <x v="0"/>
    <x v="7"/>
  </r>
  <r>
    <x v="1"/>
    <x v="5"/>
    <n v="6"/>
    <s v="30 Rock S6"/>
    <n v="118"/>
    <x v="14"/>
    <s v="&quot;The Shower Principle&quot;"/>
    <s v="Stephen Lee Davis"/>
    <s v="Tom Ceraulo"/>
    <x v="175"/>
    <x v="0"/>
    <x v="1"/>
    <n v="615"/>
    <n v="3.14"/>
    <n v="415"/>
    <x v="0"/>
    <x v="7"/>
  </r>
  <r>
    <x v="3"/>
    <x v="2"/>
    <n v="3"/>
    <s v="Community S3"/>
    <n v="63"/>
    <x v="13"/>
    <s v="&quot;Pillows and Blankets&quot;"/>
    <s v="Tristram Shapeero"/>
    <s v="Andy Bobrow"/>
    <x v="176"/>
    <x v="0"/>
    <x v="2"/>
    <n v="314"/>
    <n v="3"/>
    <n v="416"/>
    <x v="0"/>
    <x v="7"/>
  </r>
  <r>
    <x v="1"/>
    <x v="5"/>
    <n v="6"/>
    <s v="30 Rock S6"/>
    <n v="119"/>
    <x v="15"/>
    <s v="&quot;Nothing Left to Lose&quot;"/>
    <s v="John Riggi"/>
    <s v="Lauren Gurganous &amp; Nina Pedrad"/>
    <x v="176"/>
    <x v="0"/>
    <x v="1"/>
    <n v="616"/>
    <n v="2.79"/>
    <n v="417"/>
    <x v="0"/>
    <x v="7"/>
  </r>
  <r>
    <x v="3"/>
    <x v="2"/>
    <n v="3"/>
    <s v="Community S3"/>
    <n v="64"/>
    <x v="14"/>
    <s v="&quot;Origins of Vampire Mythology&quot;"/>
    <s v="Steven Tsuchida"/>
    <s v="Dan Harmon"/>
    <x v="177"/>
    <x v="0"/>
    <x v="2"/>
    <n v="315"/>
    <n v="3.09"/>
    <n v="418"/>
    <x v="0"/>
    <x v="7"/>
  </r>
  <r>
    <x v="1"/>
    <x v="5"/>
    <n v="6"/>
    <s v="30 Rock S6"/>
    <n v="120"/>
    <x v="16"/>
    <s v="&quot;Meet the Woggels!&quot;"/>
    <s v="Linda Mendoza"/>
    <s v="Ron Weiner"/>
    <x v="177"/>
    <x v="0"/>
    <x v="1"/>
    <n v="617"/>
    <n v="2.98"/>
    <n v="419"/>
    <x v="0"/>
    <x v="7"/>
  </r>
  <r>
    <x v="0"/>
    <x v="7"/>
    <n v="8"/>
    <s v="The Office S8"/>
    <n v="172"/>
    <x v="19"/>
    <s v="&quot;Welcome Party&quot;"/>
    <s v="Ed Helms"/>
    <s v="Steve Hely"/>
    <x v="177"/>
    <x v="0"/>
    <x v="3"/>
    <n v="8020"/>
    <n v="4.3899999999999997"/>
    <n v="420"/>
    <x v="0"/>
    <x v="7"/>
  </r>
  <r>
    <x v="3"/>
    <x v="2"/>
    <n v="3"/>
    <s v="Community S3"/>
    <n v="65"/>
    <x v="15"/>
    <s v="&quot;Virtual Systems Analysis&quot;"/>
    <s v="Tristram Shapeero"/>
    <s v="Matt Murray"/>
    <x v="178"/>
    <x v="0"/>
    <x v="2"/>
    <n v="316"/>
    <n v="2.77"/>
    <n v="421"/>
    <x v="1"/>
    <x v="7"/>
  </r>
  <r>
    <x v="1"/>
    <x v="5"/>
    <n v="6"/>
    <s v="30 Rock S6"/>
    <n v="121"/>
    <x v="17"/>
    <s v="&quot;Murphy Brown Lied to Us&quot;"/>
    <s v="John Riggi"/>
    <s v="Robert Carlock &amp; Vali Chandrasekaran"/>
    <x v="178"/>
    <x v="0"/>
    <x v="1"/>
    <n v="618"/>
    <n v="3.06"/>
    <n v="422"/>
    <x v="1"/>
    <x v="7"/>
  </r>
  <r>
    <x v="0"/>
    <x v="7"/>
    <n v="8"/>
    <s v="The Office S8"/>
    <n v="173"/>
    <x v="20"/>
    <s v="&quot;Angry Andy&quot;"/>
    <s v="Claire Scanlon"/>
    <s v="Justin Spitzer"/>
    <x v="178"/>
    <x v="0"/>
    <x v="3"/>
    <n v="8021"/>
    <n v="4.3499999999999996"/>
    <n v="423"/>
    <x v="1"/>
    <x v="7"/>
  </r>
  <r>
    <x v="2"/>
    <x v="3"/>
    <n v="4"/>
    <s v="Parks and Rec S4"/>
    <n v="65"/>
    <x v="18"/>
    <s v="&quot;Live Ammo&quot;"/>
    <s v="Tristram Shapeero"/>
    <s v="Dave King &amp; Chelsea Peretti"/>
    <x v="178"/>
    <x v="0"/>
    <x v="0"/>
    <m/>
    <n v="3.46"/>
    <n v="424"/>
    <x v="1"/>
    <x v="7"/>
  </r>
  <r>
    <x v="3"/>
    <x v="2"/>
    <n v="3"/>
    <s v="Community S3"/>
    <n v="66"/>
    <x v="16"/>
    <s v="&quot;Basic Lupine Urology&quot;"/>
    <s v="Rob Schrab"/>
    <s v="Megan Ganz"/>
    <x v="179"/>
    <x v="0"/>
    <x v="2"/>
    <n v="317"/>
    <n v="3.21"/>
    <n v="425"/>
    <x v="1"/>
    <x v="7"/>
  </r>
  <r>
    <x v="1"/>
    <x v="5"/>
    <n v="6"/>
    <s v="30 Rock S6"/>
    <n v="122"/>
    <x v="18"/>
    <s v="&quot;Live from Studio 6H&quot;"/>
    <s v="Beth McCarthy Miller"/>
    <s v="Jack Burditt &amp; Tina Fey"/>
    <x v="179"/>
    <x v="0"/>
    <x v="1"/>
    <n v="619"/>
    <n v="3.47"/>
    <n v="426"/>
    <x v="1"/>
    <x v="7"/>
  </r>
  <r>
    <x v="0"/>
    <x v="7"/>
    <n v="8"/>
    <s v="The Office S8"/>
    <n v="174"/>
    <x v="21"/>
    <s v="&quot;Fundraiser&quot;"/>
    <s v="David Rogers"/>
    <s v="Owen Ellickson"/>
    <x v="179"/>
    <x v="0"/>
    <x v="3"/>
    <n v="8022"/>
    <n v="4.17"/>
    <n v="427"/>
    <x v="1"/>
    <x v="7"/>
  </r>
  <r>
    <x v="2"/>
    <x v="3"/>
    <n v="4"/>
    <s v="Parks and Rec S4"/>
    <n v="66"/>
    <x v="19"/>
    <s v="&quot;The Debate&quot;"/>
    <s v="Amy Poehler"/>
    <s v="Amy Poehler"/>
    <x v="179"/>
    <x v="0"/>
    <x v="0"/>
    <m/>
    <n v="3.17"/>
    <n v="428"/>
    <x v="1"/>
    <x v="7"/>
  </r>
  <r>
    <x v="3"/>
    <x v="2"/>
    <n v="3"/>
    <s v="Community S3"/>
    <n v="67"/>
    <x v="17"/>
    <s v="&quot;Course Listing Unavailable&quot;"/>
    <s v="Tristram Shapeero"/>
    <s v="Tim Saccardo"/>
    <x v="180"/>
    <x v="0"/>
    <x v="2"/>
    <n v="318"/>
    <n v="3.2"/>
    <n v="429"/>
    <x v="1"/>
    <x v="7"/>
  </r>
  <r>
    <x v="1"/>
    <x v="5"/>
    <n v="6"/>
    <s v="30 Rock S6"/>
    <n v="123"/>
    <x v="19"/>
    <s v="&quot;Queen of Jordan 2: Mystery of the Phantom Pooper&quot;"/>
    <s v="Ken Whittingham"/>
    <s v="Luke Del Tredici &amp; Tracey Wigfield"/>
    <x v="180"/>
    <x v="0"/>
    <x v="1"/>
    <n v="620"/>
    <n v="3.04"/>
    <n v="430"/>
    <x v="1"/>
    <x v="7"/>
  </r>
  <r>
    <x v="0"/>
    <x v="7"/>
    <n v="8"/>
    <s v="The Office S8"/>
    <n v="175"/>
    <x v="22"/>
    <s v="&quot;Turf War&quot;"/>
    <s v="Daniel Chun"/>
    <s v="Warren Lieberstein &amp; Halsted Sullivan"/>
    <x v="180"/>
    <x v="0"/>
    <x v="3"/>
    <n v="8023"/>
    <n v="4.4400000000000004"/>
    <n v="431"/>
    <x v="1"/>
    <x v="7"/>
  </r>
  <r>
    <x v="2"/>
    <x v="3"/>
    <n v="4"/>
    <s v="Parks and Rec S4"/>
    <n v="67"/>
    <x v="20"/>
    <s v="&quot;Bus Tour&quot;"/>
    <s v="Dean Holland"/>
    <s v="Aisha Muharrar &amp; Alan Yang"/>
    <x v="180"/>
    <x v="0"/>
    <x v="0"/>
    <m/>
    <n v="3.26"/>
    <n v="432"/>
    <x v="1"/>
    <x v="7"/>
  </r>
  <r>
    <x v="3"/>
    <x v="2"/>
    <n v="3"/>
    <s v="Community S3"/>
    <n v="68"/>
    <x v="18"/>
    <s v="&quot;Curriculum Unavailable&quot;"/>
    <s v="Adam Davidson"/>
    <s v="Adam Countee"/>
    <x v="181"/>
    <x v="0"/>
    <x v="2"/>
    <n v="319"/>
    <n v="2.99"/>
    <n v="433"/>
    <x v="1"/>
    <x v="7"/>
  </r>
  <r>
    <x v="1"/>
    <x v="5"/>
    <n v="6"/>
    <s v="30 Rock S6"/>
    <n v="124"/>
    <x v="20"/>
    <s v="&quot;The Return of Avery Jessup&quot;"/>
    <s v="John Riggi"/>
    <s v="Dylan Morgan &amp; Josh Siegal"/>
    <x v="181"/>
    <x v="0"/>
    <x v="1"/>
    <n v="621"/>
    <n v="2.92"/>
    <n v="434"/>
    <x v="1"/>
    <x v="7"/>
  </r>
  <r>
    <x v="0"/>
    <x v="7"/>
    <n v="8"/>
    <s v="The Office S8"/>
    <n v="176"/>
    <x v="23"/>
    <s v="&quot;Free Family Portrait Studio&quot;"/>
    <s v="B. J. Novak"/>
    <s v="B. J. Novak"/>
    <x v="181"/>
    <x v="0"/>
    <x v="3"/>
    <n v="8024"/>
    <n v="4.49"/>
    <n v="435"/>
    <x v="1"/>
    <x v="7"/>
  </r>
  <r>
    <x v="2"/>
    <x v="3"/>
    <n v="4"/>
    <s v="Parks and Rec S4"/>
    <n v="68"/>
    <x v="21"/>
    <s v="&quot;Win, Lose, or Draw&quot;"/>
    <s v="Michael Schur"/>
    <s v="Michael Schur"/>
    <x v="181"/>
    <x v="0"/>
    <x v="0"/>
    <m/>
    <n v="3.42"/>
    <n v="436"/>
    <x v="1"/>
    <x v="7"/>
  </r>
  <r>
    <x v="3"/>
    <x v="2"/>
    <n v="3"/>
    <s v="Community S3"/>
    <n v="69"/>
    <x v="19"/>
    <s v="&quot;Digital Estate Planning&quot;"/>
    <s v="Adam Davidson"/>
    <s v="Matt Warburton"/>
    <x v="182"/>
    <x v="0"/>
    <x v="2"/>
    <n v="322"/>
    <n v="2.97"/>
    <n v="437"/>
    <x v="0"/>
    <x v="7"/>
  </r>
  <r>
    <x v="1"/>
    <x v="5"/>
    <n v="6"/>
    <s v="30 Rock S6"/>
    <n v="125"/>
    <x v="21"/>
    <s v="&quot;What Will Happen to the Gang Next Year?&quot;"/>
    <s v="Michael Engler"/>
    <s v="Matt Hubbard"/>
    <x v="182"/>
    <x v="0"/>
    <x v="1"/>
    <n v="622"/>
    <n v="2.84"/>
    <n v="438"/>
    <x v="0"/>
    <x v="7"/>
  </r>
  <r>
    <x v="3"/>
    <x v="2"/>
    <n v="3"/>
    <s v="Community S3"/>
    <n v="70"/>
    <x v="20"/>
    <s v="&quot;The First Chang Dynasty&quot;"/>
    <s v="Jay Chandrasekhar"/>
    <s v="Matt Fusfeld &amp; Alex Cuthbertson"/>
    <x v="182"/>
    <x v="0"/>
    <x v="3"/>
    <n v="320"/>
    <n v="2.61"/>
    <n v="439"/>
    <x v="0"/>
    <x v="7"/>
  </r>
  <r>
    <x v="3"/>
    <x v="2"/>
    <n v="3"/>
    <s v="Community S3"/>
    <n v="71"/>
    <x v="21"/>
    <s v="&quot;Introduction to Finality&quot;"/>
    <s v="Tristram Shapeero"/>
    <s v="Steve Basilone &amp; Annie Mebane"/>
    <x v="182"/>
    <x v="0"/>
    <x v="0"/>
    <n v="321"/>
    <n v="2.48"/>
    <n v="440"/>
    <x v="0"/>
    <x v="7"/>
  </r>
  <r>
    <x v="0"/>
    <x v="8"/>
    <n v="9"/>
    <s v="The Office S9"/>
    <n v="177"/>
    <x v="0"/>
    <s v="&quot;New Guys&quot;"/>
    <s v="Greg Daniels"/>
    <s v="Greg Daniels"/>
    <x v="183"/>
    <x v="0"/>
    <x v="3"/>
    <n v="9001"/>
    <n v="4.28"/>
    <n v="441"/>
    <x v="0"/>
    <x v="8"/>
  </r>
  <r>
    <x v="2"/>
    <x v="4"/>
    <n v="5"/>
    <s v="Parks and Rec S5"/>
    <n v="69"/>
    <x v="0"/>
    <s v="&quot;Ms. Knope Goes to Washington&quot;"/>
    <s v="Dean Holland"/>
    <s v="Aisha Muharrar"/>
    <x v="183"/>
    <x v="0"/>
    <x v="0"/>
    <m/>
    <n v="3.5"/>
    <n v="442"/>
    <x v="0"/>
    <x v="8"/>
  </r>
  <r>
    <x v="0"/>
    <x v="8"/>
    <n v="9"/>
    <s v="The Office S9"/>
    <n v="178"/>
    <x v="1"/>
    <s v="&quot;Roy's Wedding&quot;"/>
    <s v="Matt Sohn"/>
    <s v="Allison Silverman"/>
    <x v="184"/>
    <x v="0"/>
    <x v="3"/>
    <n v="9002"/>
    <n v="4.13"/>
    <n v="443"/>
    <x v="0"/>
    <x v="8"/>
  </r>
  <r>
    <x v="2"/>
    <x v="4"/>
    <n v="5"/>
    <s v="Parks and Rec S5"/>
    <n v="70"/>
    <x v="1"/>
    <s v="&quot;Soda Tax&quot;"/>
    <s v="Kyle Newacheck"/>
    <s v="Norm Hiscock"/>
    <x v="184"/>
    <x v="0"/>
    <x v="0"/>
    <m/>
    <n v="3.27"/>
    <n v="444"/>
    <x v="0"/>
    <x v="8"/>
  </r>
  <r>
    <x v="1"/>
    <x v="6"/>
    <n v="7"/>
    <s v="30 Rock S7"/>
    <n v="126"/>
    <x v="0"/>
    <s v="&quot;The Beginning of the End&quot;"/>
    <s v="Don Scardino"/>
    <s v="Jack Burditt"/>
    <x v="185"/>
    <x v="0"/>
    <x v="2"/>
    <n v="701"/>
    <n v="3.46"/>
    <n v="445"/>
    <x v="0"/>
    <x v="8"/>
  </r>
  <r>
    <x v="0"/>
    <x v="8"/>
    <n v="9"/>
    <s v="The Office S9"/>
    <n v="179"/>
    <x v="2"/>
    <s v="&quot;Andy's Ancestry&quot;"/>
    <s v="David Rogers"/>
    <s v="Jonathan Green &amp; Gabe Miller"/>
    <x v="185"/>
    <x v="0"/>
    <x v="3"/>
    <n v="9003"/>
    <n v="4.1399999999999997"/>
    <n v="446"/>
    <x v="0"/>
    <x v="8"/>
  </r>
  <r>
    <x v="2"/>
    <x v="4"/>
    <n v="5"/>
    <s v="Parks and Rec S5"/>
    <n v="71"/>
    <x v="2"/>
    <s v="&quot;How a Bill Becomes a Law&quot;"/>
    <s v="Ken Whittingham"/>
    <s v="Dan Goor"/>
    <x v="185"/>
    <x v="0"/>
    <x v="0"/>
    <m/>
    <n v="3.53"/>
    <n v="447"/>
    <x v="0"/>
    <x v="8"/>
  </r>
  <r>
    <x v="1"/>
    <x v="6"/>
    <n v="7"/>
    <s v="30 Rock S7"/>
    <n v="127"/>
    <x v="1"/>
    <s v="&quot;Governor Dunston&quot;"/>
    <s v="Robert Carlock"/>
    <s v="Robert Carlock"/>
    <x v="186"/>
    <x v="0"/>
    <x v="2"/>
    <n v="702"/>
    <n v="3.4"/>
    <n v="448"/>
    <x v="0"/>
    <x v="8"/>
  </r>
  <r>
    <x v="1"/>
    <x v="6"/>
    <n v="7"/>
    <s v="30 Rock S7"/>
    <n v="128"/>
    <x v="2"/>
    <s v="&quot;Stride of Pride&quot;"/>
    <s v="Michael Engler"/>
    <s v="Tina Fey"/>
    <x v="187"/>
    <x v="0"/>
    <x v="2"/>
    <n v="703"/>
    <n v="3.04"/>
    <n v="449"/>
    <x v="0"/>
    <x v="8"/>
  </r>
  <r>
    <x v="0"/>
    <x v="8"/>
    <n v="9"/>
    <s v="The Office S9"/>
    <n v="180"/>
    <x v="3"/>
    <s v="&quot;Work Bus&quot;"/>
    <s v="Bryan Cranston"/>
    <s v="Brent Forrester"/>
    <x v="187"/>
    <x v="0"/>
    <x v="3"/>
    <n v="9004"/>
    <n v="4.28"/>
    <n v="450"/>
    <x v="0"/>
    <x v="8"/>
  </r>
  <r>
    <x v="2"/>
    <x v="4"/>
    <n v="5"/>
    <s v="Parks and Rec S5"/>
    <n v="72"/>
    <x v="3"/>
    <s v="&quot;Sex Education&quot;"/>
    <s v="Craig Zisk"/>
    <s v="Alan Yang"/>
    <x v="187"/>
    <x v="0"/>
    <x v="0"/>
    <m/>
    <n v="3.46"/>
    <n v="451"/>
    <x v="0"/>
    <x v="8"/>
  </r>
  <r>
    <x v="1"/>
    <x v="6"/>
    <n v="7"/>
    <s v="30 Rock S7"/>
    <n v="129"/>
    <x v="3"/>
    <s v="&quot;Unwindulax&quot;"/>
    <s v="James E. Sheridan"/>
    <s v="Matt Hubbard"/>
    <x v="188"/>
    <x v="0"/>
    <x v="2"/>
    <n v="704"/>
    <n v="3.13"/>
    <n v="452"/>
    <x v="0"/>
    <x v="8"/>
  </r>
  <r>
    <x v="0"/>
    <x v="8"/>
    <n v="9"/>
    <s v="The Office S9"/>
    <n v="181"/>
    <x v="4"/>
    <s v="&quot;Here Comes Treble&quot;"/>
    <s v="Claire Scanlon"/>
    <s v="Owen Ellickson"/>
    <x v="188"/>
    <x v="0"/>
    <x v="3"/>
    <n v="9006"/>
    <n v="4"/>
    <n v="453"/>
    <x v="0"/>
    <x v="8"/>
  </r>
  <r>
    <x v="2"/>
    <x v="4"/>
    <n v="5"/>
    <s v="Parks and Rec S5"/>
    <n v="73"/>
    <x v="4"/>
    <s v="&quot;Halloween Surprise&quot;"/>
    <s v="Dean Holland"/>
    <s v="Michael Schur"/>
    <x v="188"/>
    <x v="0"/>
    <x v="0"/>
    <m/>
    <n v="3.34"/>
    <n v="454"/>
    <x v="0"/>
    <x v="8"/>
  </r>
  <r>
    <x v="1"/>
    <x v="6"/>
    <n v="7"/>
    <s v="30 Rock S7"/>
    <n v="130"/>
    <x v="4"/>
    <s v="&quot;There's No I in America&quot;"/>
    <s v="John Riggi"/>
    <s v="Josh Siegal &amp; Dylan Morgan"/>
    <x v="189"/>
    <x v="2"/>
    <x v="2"/>
    <n v="705"/>
    <n v="3.38"/>
    <n v="455"/>
    <x v="0"/>
    <x v="8"/>
  </r>
  <r>
    <x v="0"/>
    <x v="8"/>
    <n v="9"/>
    <s v="The Office S9"/>
    <n v="182"/>
    <x v="5"/>
    <s v="&quot;The Boat&quot;"/>
    <s v="John Krasinski"/>
    <s v="Dan Sterling"/>
    <x v="190"/>
    <x v="0"/>
    <x v="3"/>
    <n v="9007"/>
    <n v="4.83"/>
    <n v="456"/>
    <x v="0"/>
    <x v="8"/>
  </r>
  <r>
    <x v="2"/>
    <x v="4"/>
    <n v="5"/>
    <s v="Parks and Rec S5"/>
    <n v="74"/>
    <x v="5"/>
    <s v="&quot;Ben's Parents&quot;"/>
    <s v="Dean Holland"/>
    <s v="Greg Levine"/>
    <x v="190"/>
    <x v="0"/>
    <x v="0"/>
    <m/>
    <n v="3.46"/>
    <n v="457"/>
    <x v="0"/>
    <x v="8"/>
  </r>
  <r>
    <x v="1"/>
    <x v="6"/>
    <n v="7"/>
    <s v="30 Rock S7"/>
    <n v="131"/>
    <x v="5"/>
    <s v="&quot;Aunt Phatso vs. Jack Donaghy&quot;"/>
    <s v="Don Scardino"/>
    <s v="Luke Del Tredici"/>
    <x v="191"/>
    <x v="0"/>
    <x v="2"/>
    <n v="706"/>
    <n v="3.34"/>
    <n v="458"/>
    <x v="0"/>
    <x v="8"/>
  </r>
  <r>
    <x v="0"/>
    <x v="8"/>
    <n v="9"/>
    <s v="The Office S9"/>
    <n v="183"/>
    <x v="6"/>
    <s v="&quot;The Whale&quot;"/>
    <s v="Rodman Flender"/>
    <s v="Carrie Kemper"/>
    <x v="191"/>
    <x v="0"/>
    <x v="3"/>
    <n v="9008"/>
    <n v="4.16"/>
    <n v="459"/>
    <x v="0"/>
    <x v="8"/>
  </r>
  <r>
    <x v="2"/>
    <x v="4"/>
    <n v="5"/>
    <s v="Parks and Rec S5"/>
    <n v="75"/>
    <x v="6"/>
    <s v="&quot;Leslie vs. April&quot;"/>
    <s v="Wendey Stanzler"/>
    <s v="Harris Wittels"/>
    <x v="191"/>
    <x v="0"/>
    <x v="0"/>
    <m/>
    <n v="3.52"/>
    <n v="460"/>
    <x v="0"/>
    <x v="8"/>
  </r>
  <r>
    <x v="1"/>
    <x v="6"/>
    <n v="7"/>
    <s v="30 Rock S7"/>
    <n v="132"/>
    <x v="6"/>
    <s v="&quot;Mazel Tov, Dummies!&quot;"/>
    <s v="Beth McCarthy-Miller"/>
    <s v="Tracey Wigfield"/>
    <x v="192"/>
    <x v="0"/>
    <x v="2"/>
    <n v="707"/>
    <n v="3.61"/>
    <n v="461"/>
    <x v="0"/>
    <x v="8"/>
  </r>
  <r>
    <x v="0"/>
    <x v="8"/>
    <n v="9"/>
    <s v="The Office S9"/>
    <n v="184"/>
    <x v="7"/>
    <s v="&quot;The Target&quot;"/>
    <s v="Brent Forrester"/>
    <s v="Graham Wagner"/>
    <x v="192"/>
    <x v="0"/>
    <x v="3"/>
    <n v="9009"/>
    <n v="3.88"/>
    <n v="462"/>
    <x v="0"/>
    <x v="8"/>
  </r>
  <r>
    <x v="2"/>
    <x v="4"/>
    <n v="5"/>
    <s v="Parks and Rec S5"/>
    <n v="76"/>
    <x v="7"/>
    <s v="&quot;Pawnee Commons&quot;"/>
    <s v="Morgan Sackett"/>
    <s v="Alexandra Rushfield"/>
    <x v="192"/>
    <x v="0"/>
    <x v="0"/>
    <m/>
    <n v="2.99"/>
    <n v="463"/>
    <x v="0"/>
    <x v="8"/>
  </r>
  <r>
    <x v="1"/>
    <x v="6"/>
    <n v="7"/>
    <s v="30 Rock S7"/>
    <n v="133"/>
    <x v="7"/>
    <s v="&quot;My Whole Life Is Thunder&quot;"/>
    <s v="Linda Mendoza"/>
    <s v="Jack Burditt &amp; Colleen McGuinness"/>
    <x v="193"/>
    <x v="0"/>
    <x v="2"/>
    <n v="708"/>
    <n v="3.22"/>
    <n v="464"/>
    <x v="0"/>
    <x v="8"/>
  </r>
  <r>
    <x v="0"/>
    <x v="8"/>
    <n v="9"/>
    <s v="The Office S9"/>
    <n v="185"/>
    <x v="8"/>
    <s v="&quot;Dwight Christmas&quot;"/>
    <s v="Charles McDougall"/>
    <s v="Robert Padnick"/>
    <x v="193"/>
    <x v="0"/>
    <x v="3"/>
    <n v="9010"/>
    <n v="4.16"/>
    <n v="465"/>
    <x v="0"/>
    <x v="8"/>
  </r>
  <r>
    <x v="2"/>
    <x v="4"/>
    <n v="5"/>
    <s v="Parks and Rec S5"/>
    <n v="77"/>
    <x v="8"/>
    <s v="&quot;Ron and Diane&quot;"/>
    <s v="Dan Goor"/>
    <s v="Megan Amram &amp; Aisha Muharrar"/>
    <x v="193"/>
    <x v="0"/>
    <x v="0"/>
    <m/>
    <n v="3.27"/>
    <n v="466"/>
    <x v="0"/>
    <x v="8"/>
  </r>
  <r>
    <x v="1"/>
    <x v="6"/>
    <n v="7"/>
    <s v="30 Rock S7"/>
    <n v="134"/>
    <x v="8"/>
    <s v="&quot;Game Over&quot;"/>
    <s v="Ken Whittingham"/>
    <s v="Robert Carlock &amp; Sam Means"/>
    <x v="194"/>
    <x v="0"/>
    <x v="2"/>
    <n v="709"/>
    <n v="3.79"/>
    <n v="467"/>
    <x v="0"/>
    <x v="8"/>
  </r>
  <r>
    <x v="0"/>
    <x v="8"/>
    <n v="9"/>
    <s v="The Office S9"/>
    <n v="186"/>
    <x v="9"/>
    <s v="&quot;Lice&quot;"/>
    <s v="Rodman Flender"/>
    <s v="Niki Schwartz-Wright"/>
    <x v="194"/>
    <x v="0"/>
    <x v="3"/>
    <n v="9011"/>
    <n v="4.54"/>
    <n v="468"/>
    <x v="0"/>
    <x v="8"/>
  </r>
  <r>
    <x v="1"/>
    <x v="6"/>
    <n v="7"/>
    <s v="30 Rock S7"/>
    <n v="135"/>
    <x v="9"/>
    <s v="&quot;Florida&quot;"/>
    <s v="Claire Cowperthwaite"/>
    <s v="Tom Ceraulo &amp; Matt Hubbard"/>
    <x v="195"/>
    <x v="0"/>
    <x v="2"/>
    <n v="710"/>
    <n v="3.44"/>
    <n v="469"/>
    <x v="0"/>
    <x v="8"/>
  </r>
  <r>
    <x v="2"/>
    <x v="4"/>
    <n v="5"/>
    <s v="Parks and Rec S5"/>
    <n v="78"/>
    <x v="9"/>
    <s v="&quot;Two Parties&quot;"/>
    <s v="Dean Holland"/>
    <s v="Dave King"/>
    <x v="195"/>
    <x v="0"/>
    <x v="1"/>
    <m/>
    <n v="3.92"/>
    <n v="470"/>
    <x v="0"/>
    <x v="8"/>
  </r>
  <r>
    <x v="0"/>
    <x v="8"/>
    <n v="9"/>
    <s v="The Office S9"/>
    <n v="187"/>
    <x v="10"/>
    <s v="&quot;Suit Warehouse&quot;"/>
    <s v="Matt Sohn"/>
    <s v="Dan Greaney"/>
    <x v="195"/>
    <x v="0"/>
    <x v="3"/>
    <n v="9012"/>
    <n v="4.1500000000000004"/>
    <n v="471"/>
    <x v="0"/>
    <x v="8"/>
  </r>
  <r>
    <x v="1"/>
    <x v="6"/>
    <n v="7"/>
    <s v="30 Rock S7"/>
    <n v="136"/>
    <x v="10"/>
    <s v="&quot;A Goon's Deed in a Weary World&quot;"/>
    <s v="Jeff Richmond"/>
    <s v="Lang Fisher &amp; Nina Pedrad"/>
    <x v="196"/>
    <x v="0"/>
    <x v="2"/>
    <n v="711"/>
    <n v="3.81"/>
    <n v="472"/>
    <x v="0"/>
    <x v="8"/>
  </r>
  <r>
    <x v="2"/>
    <x v="4"/>
    <n v="5"/>
    <s v="Parks and Rec S5"/>
    <n v="79"/>
    <x v="10"/>
    <s v="&quot;Women in Garbage&quot;"/>
    <s v="Norm Hiscock"/>
    <s v="Harris Wittels"/>
    <x v="196"/>
    <x v="0"/>
    <x v="1"/>
    <m/>
    <n v="3.94"/>
    <n v="473"/>
    <x v="0"/>
    <x v="8"/>
  </r>
  <r>
    <x v="0"/>
    <x v="8"/>
    <n v="9"/>
    <s v="The Office S9"/>
    <n v="188"/>
    <x v="11"/>
    <s v="&quot;Customer Loyalty&quot;"/>
    <s v="Kelly Cantley"/>
    <s v="Jonathan Green &amp; Gabe Miller"/>
    <x v="196"/>
    <x v="0"/>
    <x v="3"/>
    <n v="9013"/>
    <n v="4.1900000000000004"/>
    <n v="474"/>
    <x v="0"/>
    <x v="8"/>
  </r>
  <r>
    <x v="1"/>
    <x v="6"/>
    <n v="7"/>
    <s v="30 Rock S7"/>
    <n v="137"/>
    <x v="11"/>
    <s v="&quot;Hogcock!&quot;"/>
    <s v="Beth McCarthy-Miller"/>
    <s v="Jack Burditt &amp; Robert Carlock"/>
    <x v="197"/>
    <x v="0"/>
    <x v="2"/>
    <n v="712"/>
    <n v="4.88"/>
    <n v="475"/>
    <x v="0"/>
    <x v="8"/>
  </r>
  <r>
    <x v="1"/>
    <x v="6"/>
    <n v="7"/>
    <s v="30 Rock S7"/>
    <n v="138"/>
    <x v="12"/>
    <s v="&quot;Last Lunch&quot;"/>
    <s v="Beth McCarthy-Miller"/>
    <s v="Tina Fey &amp; Tracey Wigfield"/>
    <x v="197"/>
    <x v="0"/>
    <x v="2"/>
    <n v="713"/>
    <n v="4.88"/>
    <n v="476"/>
    <x v="0"/>
    <x v="8"/>
  </r>
  <r>
    <x v="0"/>
    <x v="8"/>
    <n v="9"/>
    <s v="The Office S9"/>
    <n v="189"/>
    <x v="12"/>
    <s v="&quot;Junior Salesman&quot;"/>
    <s v="David Rogers"/>
    <s v="Carrie Kemper"/>
    <x v="197"/>
    <x v="0"/>
    <x v="3"/>
    <n v="9014"/>
    <n v="4.45"/>
    <n v="477"/>
    <x v="0"/>
    <x v="8"/>
  </r>
  <r>
    <x v="0"/>
    <x v="8"/>
    <n v="9"/>
    <s v="The Office S9"/>
    <n v="190"/>
    <x v="13"/>
    <s v="&quot;Vandalism&quot;"/>
    <s v="Lee Kirk"/>
    <s v="Owen Ellickson"/>
    <x v="197"/>
    <x v="0"/>
    <x v="3"/>
    <n v="9015"/>
    <n v="3.97"/>
    <n v="478"/>
    <x v="0"/>
    <x v="8"/>
  </r>
  <r>
    <x v="3"/>
    <x v="3"/>
    <n v="4"/>
    <s v="Community S4"/>
    <n v="72"/>
    <x v="0"/>
    <s v="&quot;History 101&quot;"/>
    <s v="Tristram Shapeero"/>
    <s v="Andy Bobrow"/>
    <x v="198"/>
    <x v="0"/>
    <x v="2"/>
    <n v="401"/>
    <n v="3.88"/>
    <n v="479"/>
    <x v="0"/>
    <x v="8"/>
  </r>
  <r>
    <x v="2"/>
    <x v="4"/>
    <n v="5"/>
    <s v="Parks and Rec S5"/>
    <n v="80"/>
    <x v="11"/>
    <s v="&quot;Ann's Decision&quot;"/>
    <s v="Ken Whittingham"/>
    <s v="Nate DiMeo"/>
    <x v="198"/>
    <x v="0"/>
    <x v="1"/>
    <m/>
    <n v="3.76"/>
    <n v="480"/>
    <x v="0"/>
    <x v="8"/>
  </r>
  <r>
    <x v="0"/>
    <x v="8"/>
    <n v="9"/>
    <s v="The Office S9"/>
    <n v="191"/>
    <x v="14"/>
    <s v="&quot;Couples Discount&quot;"/>
    <s v="Troy Miller"/>
    <s v="Allison Silverman"/>
    <x v="198"/>
    <x v="0"/>
    <x v="3"/>
    <n v="9016"/>
    <n v="4.1500000000000004"/>
    <n v="481"/>
    <x v="0"/>
    <x v="8"/>
  </r>
  <r>
    <x v="3"/>
    <x v="3"/>
    <n v="4"/>
    <s v="Community S4"/>
    <n v="73"/>
    <x v="1"/>
    <s v="&quot;Paranormal Parentage&quot;"/>
    <s v="Tristram Shapeero"/>
    <s v="Megan Ganz"/>
    <x v="199"/>
    <x v="0"/>
    <x v="2"/>
    <n v="403"/>
    <n v="2.76"/>
    <n v="482"/>
    <x v="0"/>
    <x v="8"/>
  </r>
  <r>
    <x v="2"/>
    <x v="4"/>
    <n v="5"/>
    <s v="Parks and Rec S5"/>
    <n v="81"/>
    <x v="12"/>
    <s v="&quot;Emergency Response&quot;"/>
    <s v="Dean Holland"/>
    <s v="Norm Hiscock &amp; Joe Mande"/>
    <x v="199"/>
    <x v="0"/>
    <x v="1"/>
    <m/>
    <n v="3.18"/>
    <n v="483"/>
    <x v="0"/>
    <x v="8"/>
  </r>
  <r>
    <x v="0"/>
    <x v="8"/>
    <n v="9"/>
    <s v="The Office S9"/>
    <n v="192"/>
    <x v="15"/>
    <s v="&quot;Moving On&quot;"/>
    <s v="Jon Favreau"/>
    <s v="Graham Wagner"/>
    <x v="199"/>
    <x v="0"/>
    <x v="3"/>
    <n v="9017"/>
    <n v="4.0599999999999996"/>
    <n v="484"/>
    <x v="0"/>
    <x v="8"/>
  </r>
  <r>
    <x v="3"/>
    <x v="3"/>
    <n v="4"/>
    <s v="Community S4"/>
    <n v="74"/>
    <x v="2"/>
    <s v="&quot;Conventions of Space and Time&quot;"/>
    <s v="Michael Patrick Jann"/>
    <s v="Maggie Bandur"/>
    <x v="200"/>
    <x v="0"/>
    <x v="2"/>
    <n v="404"/>
    <n v="3.08"/>
    <n v="485"/>
    <x v="0"/>
    <x v="8"/>
  </r>
  <r>
    <x v="2"/>
    <x v="4"/>
    <n v="5"/>
    <s v="Parks and Rec S5"/>
    <n v="82"/>
    <x v="13"/>
    <s v="&quot;Leslie and Ben&quot;"/>
    <s v="Craig Zisk"/>
    <s v="Michael Schur &amp; Alan Yang"/>
    <x v="200"/>
    <x v="0"/>
    <x v="1"/>
    <m/>
    <n v="3.07"/>
    <n v="486"/>
    <x v="0"/>
    <x v="8"/>
  </r>
  <r>
    <x v="2"/>
    <x v="4"/>
    <n v="5"/>
    <s v="Parks and Rec S5"/>
    <n v="83"/>
    <x v="14"/>
    <s v="&quot;Correspondents' Lunch&quot;"/>
    <s v="Nick Offerman"/>
    <s v="Alexandra Rushfield"/>
    <x v="200"/>
    <x v="0"/>
    <x v="1"/>
    <m/>
    <n v="2.95"/>
    <n v="487"/>
    <x v="0"/>
    <x v="8"/>
  </r>
  <r>
    <x v="3"/>
    <x v="3"/>
    <n v="4"/>
    <s v="Community S4"/>
    <n v="75"/>
    <x v="3"/>
    <s v="&quot;Alternative History of the German Invasion&quot;"/>
    <s v="Steven Tsuchida"/>
    <s v="Ben Wexler"/>
    <x v="201"/>
    <x v="0"/>
    <x v="2"/>
    <n v="402"/>
    <n v="2.83"/>
    <n v="488"/>
    <x v="0"/>
    <x v="8"/>
  </r>
  <r>
    <x v="3"/>
    <x v="3"/>
    <n v="4"/>
    <s v="Community S4"/>
    <n v="76"/>
    <x v="4"/>
    <s v="&quot;Cooperative Escapism in Familial Relations&quot;"/>
    <s v="Tristram Shapeero"/>
    <s v="Steve Basilone &amp; Annie Mebane"/>
    <x v="202"/>
    <x v="0"/>
    <x v="2"/>
    <n v="405"/>
    <n v="3.29"/>
    <n v="489"/>
    <x v="0"/>
    <x v="8"/>
  </r>
  <r>
    <x v="3"/>
    <x v="3"/>
    <n v="4"/>
    <s v="Community S4"/>
    <n v="77"/>
    <x v="5"/>
    <s v="&quot;Advanced Documentary Filmmaking&quot;"/>
    <s v="Jay Chandrasekhar"/>
    <s v="Hunter Covington"/>
    <x v="203"/>
    <x v="0"/>
    <x v="2"/>
    <n v="408"/>
    <n v="2.58"/>
    <n v="490"/>
    <x v="0"/>
    <x v="8"/>
  </r>
  <r>
    <x v="2"/>
    <x v="4"/>
    <n v="5"/>
    <s v="Parks and Rec S5"/>
    <n v="84"/>
    <x v="15"/>
    <s v="&quot;Bailout&quot;"/>
    <s v="Craig Zisk"/>
    <s v="Joe Mande"/>
    <x v="203"/>
    <x v="0"/>
    <x v="1"/>
    <m/>
    <n v="3"/>
    <n v="491"/>
    <x v="0"/>
    <x v="8"/>
  </r>
  <r>
    <x v="0"/>
    <x v="8"/>
    <n v="9"/>
    <s v="The Office S9"/>
    <n v="193"/>
    <x v="16"/>
    <s v="&quot;The Farm&quot;"/>
    <s v="Paul Lieberstein"/>
    <s v="Paul Lieberstein"/>
    <x v="203"/>
    <x v="0"/>
    <x v="3"/>
    <n v="9005"/>
    <n v="3.54"/>
    <n v="492"/>
    <x v="0"/>
    <x v="8"/>
  </r>
  <r>
    <x v="3"/>
    <x v="3"/>
    <n v="4"/>
    <s v="Community S4"/>
    <n v="78"/>
    <x v="6"/>
    <s v="&quot;Economics of Marine Biology&quot;"/>
    <s v="Tricia Brock"/>
    <s v="Tim Saccardo"/>
    <x v="204"/>
    <x v="0"/>
    <x v="2"/>
    <n v="406"/>
    <n v="2.95"/>
    <n v="493"/>
    <x v="0"/>
    <x v="8"/>
  </r>
  <r>
    <x v="3"/>
    <x v="3"/>
    <n v="4"/>
    <s v="Community S4"/>
    <n v="79"/>
    <x v="7"/>
    <s v="&quot;Herstory of Dance&quot;"/>
    <s v="Tristram Shapeero"/>
    <s v="Jack Kukoda"/>
    <x v="205"/>
    <x v="0"/>
    <x v="2"/>
    <n v="407"/>
    <n v="2.3199999999999998"/>
    <n v="494"/>
    <x v="0"/>
    <x v="8"/>
  </r>
  <r>
    <x v="2"/>
    <x v="4"/>
    <n v="5"/>
    <s v="Parks and Rec S5"/>
    <n v="85"/>
    <x v="16"/>
    <s v="&quot;Partridge&quot;"/>
    <s v="Tristram Shapeero"/>
    <s v="Dave King"/>
    <x v="205"/>
    <x v="0"/>
    <x v="1"/>
    <m/>
    <n v="2.93"/>
    <n v="495"/>
    <x v="0"/>
    <x v="8"/>
  </r>
  <r>
    <x v="0"/>
    <x v="8"/>
    <n v="9"/>
    <s v="The Office S9"/>
    <n v="194"/>
    <x v="17"/>
    <s v="&quot;Promos&quot;"/>
    <s v="Jennifer Celotta"/>
    <s v="Tim McAuliffe"/>
    <x v="205"/>
    <x v="0"/>
    <x v="3"/>
    <n v="9018"/>
    <n v="3.44"/>
    <n v="496"/>
    <x v="0"/>
    <x v="8"/>
  </r>
  <r>
    <x v="3"/>
    <x v="3"/>
    <n v="4"/>
    <s v="Community S4"/>
    <n v="80"/>
    <x v="8"/>
    <s v="&quot;Intro to Felt Surrogacy&quot;"/>
    <s v="Tristram Shapeero"/>
    <s v="Gene Hong"/>
    <x v="206"/>
    <x v="0"/>
    <x v="2"/>
    <n v="413"/>
    <n v="2.84"/>
    <n v="497"/>
    <x v="0"/>
    <x v="8"/>
  </r>
  <r>
    <x v="2"/>
    <x v="4"/>
    <n v="5"/>
    <s v="Parks and Rec S5"/>
    <n v="86"/>
    <x v="17"/>
    <s v="&quot;Animal Control&quot;"/>
    <s v="Craig Zisk"/>
    <s v="Megan Amram"/>
    <x v="206"/>
    <x v="0"/>
    <x v="1"/>
    <m/>
    <n v="3.15"/>
    <n v="498"/>
    <x v="0"/>
    <x v="8"/>
  </r>
  <r>
    <x v="0"/>
    <x v="8"/>
    <n v="9"/>
    <s v="The Office S9"/>
    <n v="195"/>
    <x v="18"/>
    <s v="&quot;Stairmageddon&quot;"/>
    <s v="Matt Sohn"/>
    <s v="Dan Sterling"/>
    <x v="206"/>
    <x v="0"/>
    <x v="3"/>
    <n v="9019"/>
    <n v="3.83"/>
    <n v="499"/>
    <x v="0"/>
    <x v="8"/>
  </r>
  <r>
    <x v="3"/>
    <x v="3"/>
    <n v="4"/>
    <s v="Community S4"/>
    <n v="81"/>
    <x v="9"/>
    <s v="&quot;Intro to Knots&quot;"/>
    <s v="Tristram Shapeero"/>
    <s v="Andy Bobrow"/>
    <x v="207"/>
    <x v="0"/>
    <x v="2"/>
    <n v="409"/>
    <n v="3.13"/>
    <n v="500"/>
    <x v="0"/>
    <x v="8"/>
  </r>
  <r>
    <x v="2"/>
    <x v="4"/>
    <n v="5"/>
    <s v="Parks and Rec S5"/>
    <n v="87"/>
    <x v="18"/>
    <s v="&quot;Article Two&quot;"/>
    <s v="Amy Poehler"/>
    <s v="Matt Murray"/>
    <x v="207"/>
    <x v="0"/>
    <x v="1"/>
    <m/>
    <n v="3.35"/>
    <n v="501"/>
    <x v="0"/>
    <x v="8"/>
  </r>
  <r>
    <x v="2"/>
    <x v="4"/>
    <n v="5"/>
    <s v="Parks and Rec S5"/>
    <n v="88"/>
    <x v="19"/>
    <s v="&quot;Jerry's Retirement&quot;"/>
    <s v="Nicole Holofcener"/>
    <s v="Norm Hiscock &amp; Aisha Muharrar"/>
    <x v="207"/>
    <x v="0"/>
    <x v="1"/>
    <m/>
    <n v="3.34"/>
    <n v="502"/>
    <x v="0"/>
    <x v="8"/>
  </r>
  <r>
    <x v="3"/>
    <x v="3"/>
    <n v="4"/>
    <s v="Community S4"/>
    <n v="82"/>
    <x v="10"/>
    <s v="&quot;Basic Human Anatomy&quot;"/>
    <s v="Beth McCarthy-Miller"/>
    <s v="Jim Rash"/>
    <x v="208"/>
    <x v="0"/>
    <x v="2"/>
    <n v="410"/>
    <n v="2.33"/>
    <n v="503"/>
    <x v="0"/>
    <x v="8"/>
  </r>
  <r>
    <x v="2"/>
    <x v="4"/>
    <n v="5"/>
    <s v="Parks and Rec S5"/>
    <n v="89"/>
    <x v="20"/>
    <s v="&quot;Swing Vote&quot;"/>
    <s v="Alan Yang"/>
    <s v="Joe Mande &amp; Alan Yang"/>
    <x v="208"/>
    <x v="0"/>
    <x v="1"/>
    <m/>
    <n v="2.59"/>
    <n v="504"/>
    <x v="0"/>
    <x v="8"/>
  </r>
  <r>
    <x v="0"/>
    <x v="8"/>
    <n v="9"/>
    <s v="The Office S9"/>
    <n v="196"/>
    <x v="19"/>
    <s v="&quot;Paper Airplane&quot;"/>
    <s v="Jesse Peretz"/>
    <s v="Halsted Sullivan &amp; Warren Lieberstein"/>
    <x v="208"/>
    <x v="0"/>
    <x v="3"/>
    <n v="9020"/>
    <n v="3.25"/>
    <n v="505"/>
    <x v="0"/>
    <x v="8"/>
  </r>
  <r>
    <x v="3"/>
    <x v="3"/>
    <n v="4"/>
    <s v="Community S4"/>
    <n v="83"/>
    <x v="11"/>
    <s v="&quot;Heroic Origins&quot;"/>
    <s v="Victor Nelli, Jr."/>
    <s v="Steve Basilone &amp; Annie Mebane &amp; Maggie Bandur"/>
    <x v="209"/>
    <x v="0"/>
    <x v="2"/>
    <n v="412"/>
    <n v="2.67"/>
    <n v="506"/>
    <x v="0"/>
    <x v="8"/>
  </r>
  <r>
    <x v="2"/>
    <x v="4"/>
    <n v="5"/>
    <s v="Parks and Rec S5"/>
    <n v="90"/>
    <x v="21"/>
    <s v="&quot;Are You Better Off?&quot;"/>
    <s v="Dean Holland"/>
    <s v="Michael Schur"/>
    <x v="209"/>
    <x v="0"/>
    <x v="1"/>
    <m/>
    <n v="2.99"/>
    <n v="507"/>
    <x v="0"/>
    <x v="8"/>
  </r>
  <r>
    <x v="0"/>
    <x v="8"/>
    <n v="9"/>
    <s v="The Office S9"/>
    <n v="197"/>
    <x v="20"/>
    <s v="&quot;Livin' the Dream&quot;"/>
    <s v="Jeffrey Blitz"/>
    <s v="Niki Schwartz-Wright"/>
    <x v="209"/>
    <x v="0"/>
    <x v="3"/>
    <n v="9021"/>
    <n v="3.51"/>
    <n v="508"/>
    <x v="0"/>
    <x v="8"/>
  </r>
  <r>
    <x v="3"/>
    <x v="3"/>
    <n v="4"/>
    <s v="Community S4"/>
    <n v="84"/>
    <x v="12"/>
    <s v="&quot;Advanced Introduction to Finality&quot;"/>
    <s v="Tristram Shapeero"/>
    <s v="Megan Ganz"/>
    <x v="210"/>
    <x v="0"/>
    <x v="2"/>
    <n v="411"/>
    <n v="3.08"/>
    <n v="509"/>
    <x v="0"/>
    <x v="8"/>
  </r>
  <r>
    <x v="0"/>
    <x v="8"/>
    <n v="9"/>
    <s v="The Office S9"/>
    <n v="198"/>
    <x v="21"/>
    <s v="&quot;A.A.R.M.&quot;"/>
    <s v="David Rogers"/>
    <s v="Brent Forrester"/>
    <x v="210"/>
    <x v="0"/>
    <x v="3"/>
    <n v="9022"/>
    <n v="4.5599999999999996"/>
    <n v="510"/>
    <x v="0"/>
    <x v="8"/>
  </r>
  <r>
    <x v="0"/>
    <x v="8"/>
    <n v="9"/>
    <s v="The Office S9"/>
    <n v="199"/>
    <x v="22"/>
    <s v="&quot;A.A.R.M.&quot;"/>
    <s v="David Rogers"/>
    <s v="Brent Forrester"/>
    <x v="210"/>
    <x v="0"/>
    <x v="0"/>
    <n v="9023"/>
    <n v="4.5599999999999996"/>
    <n v="511"/>
    <x v="0"/>
    <x v="8"/>
  </r>
  <r>
    <x v="0"/>
    <x v="8"/>
    <n v="9"/>
    <s v="The Office S9"/>
    <n v="200"/>
    <x v="23"/>
    <s v="&quot;Finale&quot;*"/>
    <s v="Ken Kwapis"/>
    <s v="Greg Daniels"/>
    <x v="211"/>
    <x v="0"/>
    <x v="3"/>
    <n v="9024"/>
    <n v="5.69"/>
    <n v="512"/>
    <x v="0"/>
    <x v="8"/>
  </r>
  <r>
    <x v="0"/>
    <x v="8"/>
    <n v="9"/>
    <s v="The Office S9"/>
    <n v="201"/>
    <x v="24"/>
    <s v="&quot;Finale&quot;*"/>
    <s v="Ken Kwapis"/>
    <s v="Greg Daniels"/>
    <x v="211"/>
    <x v="0"/>
    <x v="0"/>
    <n v="9025"/>
    <n v="5.69"/>
    <n v="513"/>
    <x v="0"/>
    <x v="8"/>
  </r>
  <r>
    <x v="2"/>
    <x v="5"/>
    <n v="6"/>
    <s v="Parks and Rec S6"/>
    <n v="91"/>
    <x v="0"/>
    <s v="&quot;London&quot;"/>
    <s v="Dean Holland"/>
    <s v="Michael Schur"/>
    <x v="212"/>
    <x v="0"/>
    <x v="2"/>
    <m/>
    <n v="3.27"/>
    <n v="514"/>
    <x v="0"/>
    <x v="9"/>
  </r>
  <r>
    <x v="2"/>
    <x v="5"/>
    <n v="6"/>
    <s v="Parks and Rec S6"/>
    <n v="92"/>
    <x v="1"/>
    <s v="&quot;London&quot;"/>
    <s v="Dean Holland"/>
    <s v="Michael Schur"/>
    <x v="212"/>
    <x v="0"/>
    <x v="2"/>
    <m/>
    <n v="3.27"/>
    <n v="515"/>
    <x v="0"/>
    <x v="9"/>
  </r>
  <r>
    <x v="2"/>
    <x v="5"/>
    <n v="6"/>
    <s v="Parks and Rec S6"/>
    <n v="93"/>
    <x v="2"/>
    <s v="&quot;The Pawnee-Eagleton Tip Off Classic&quot;"/>
    <s v="Nicole Holofcener"/>
    <s v="Alan Yang"/>
    <x v="213"/>
    <x v="0"/>
    <x v="2"/>
    <m/>
    <n v="3.14"/>
    <n v="516"/>
    <x v="0"/>
    <x v="9"/>
  </r>
  <r>
    <x v="2"/>
    <x v="5"/>
    <n v="6"/>
    <s v="Parks and Rec S6"/>
    <n v="94"/>
    <x v="3"/>
    <s v="&quot;Doppelg√§ngers&quot;"/>
    <s v="Jay Karas"/>
    <s v="Donick Cary"/>
    <x v="214"/>
    <x v="0"/>
    <x v="2"/>
    <m/>
    <n v="3.23"/>
    <n v="517"/>
    <x v="0"/>
    <x v="9"/>
  </r>
  <r>
    <x v="2"/>
    <x v="5"/>
    <n v="6"/>
    <s v="Parks and Rec S6"/>
    <n v="95"/>
    <x v="4"/>
    <s v="&quot;Gin It Up!&quot;"/>
    <s v="Jorma Taccone"/>
    <s v="Matt Murray"/>
    <x v="215"/>
    <x v="0"/>
    <x v="2"/>
    <m/>
    <n v="3.27"/>
    <n v="518"/>
    <x v="0"/>
    <x v="9"/>
  </r>
  <r>
    <x v="2"/>
    <x v="5"/>
    <n v="6"/>
    <s v="Parks and Rec S6"/>
    <n v="96"/>
    <x v="5"/>
    <s v="&quot;Filibuster&quot;"/>
    <s v="Morgan Sackett"/>
    <s v="Harris Wittels"/>
    <x v="216"/>
    <x v="0"/>
    <x v="2"/>
    <m/>
    <n v="3.03"/>
    <n v="519"/>
    <x v="0"/>
    <x v="9"/>
  </r>
  <r>
    <x v="2"/>
    <x v="5"/>
    <n v="6"/>
    <s v="Parks and Rec S6"/>
    <n v="97"/>
    <x v="6"/>
    <s v="&quot;Recall Vote&quot;"/>
    <s v="Wendey Stanzler"/>
    <s v="Aisha Muharrar"/>
    <x v="216"/>
    <x v="0"/>
    <x v="2"/>
    <m/>
    <n v="3.03"/>
    <n v="520"/>
    <x v="0"/>
    <x v="9"/>
  </r>
  <r>
    <x v="2"/>
    <x v="5"/>
    <n v="6"/>
    <s v="Parks and Rec S6"/>
    <n v="98"/>
    <x v="7"/>
    <s v="&quot;Fluoride&quot;"/>
    <s v="Michael Trim"/>
    <s v="Matt Hubbard"/>
    <x v="217"/>
    <x v="0"/>
    <x v="2"/>
    <m/>
    <n v="2.81"/>
    <n v="521"/>
    <x v="0"/>
    <x v="9"/>
  </r>
  <r>
    <x v="2"/>
    <x v="5"/>
    <n v="6"/>
    <s v="Parks and Rec S6"/>
    <n v="99"/>
    <x v="8"/>
    <s v="&quot;The Cones of Dunshire&quot;"/>
    <s v="Julie Anne Robinson"/>
    <s v="Dave King"/>
    <x v="217"/>
    <x v="0"/>
    <x v="2"/>
    <m/>
    <n v="2.81"/>
    <n v="522"/>
    <x v="0"/>
    <x v="9"/>
  </r>
  <r>
    <x v="3"/>
    <x v="4"/>
    <n v="5"/>
    <s v="Community S5"/>
    <n v="85"/>
    <x v="0"/>
    <s v="&quot;Repilot&quot;"/>
    <s v="Tristram Shapeero"/>
    <s v="Dan Harmon &amp; Chris McKenna"/>
    <x v="218"/>
    <x v="0"/>
    <x v="2"/>
    <n v="501"/>
    <n v="3.49"/>
    <n v="523"/>
    <x v="0"/>
    <x v="9"/>
  </r>
  <r>
    <x v="3"/>
    <x v="4"/>
    <n v="5"/>
    <s v="Community S5"/>
    <n v="86"/>
    <x v="1"/>
    <s v="&quot;Introduction to Teaching&quot;"/>
    <s v="Jay Chandrasekhar"/>
    <s v="Andy Bobrow"/>
    <x v="218"/>
    <x v="0"/>
    <x v="2"/>
    <n v="502"/>
    <n v="3.49"/>
    <n v="524"/>
    <x v="0"/>
    <x v="9"/>
  </r>
  <r>
    <x v="3"/>
    <x v="4"/>
    <n v="5"/>
    <s v="Community S5"/>
    <n v="87"/>
    <x v="2"/>
    <s v="&quot;Basic Intergluteal Numismatics&quot;"/>
    <s v="Tristram Shapeero"/>
    <s v="Erik Sommers"/>
    <x v="219"/>
    <x v="0"/>
    <x v="2"/>
    <n v="505"/>
    <n v="3.58"/>
    <n v="525"/>
    <x v="0"/>
    <x v="9"/>
  </r>
  <r>
    <x v="2"/>
    <x v="5"/>
    <n v="6"/>
    <s v="Parks and Rec S6"/>
    <n v="100"/>
    <x v="9"/>
    <s v="&quot;Second Chunce&quot;"/>
    <s v="Dean Holland"/>
    <s v="Amy Poehler &amp; Michael Schur"/>
    <x v="219"/>
    <x v="0"/>
    <x v="1"/>
    <m/>
    <n v="3.43"/>
    <n v="526"/>
    <x v="0"/>
    <x v="9"/>
  </r>
  <r>
    <x v="3"/>
    <x v="4"/>
    <n v="5"/>
    <s v="Community S5"/>
    <n v="88"/>
    <x v="3"/>
    <s v="&quot;Cooperative Polygraphy&quot;"/>
    <s v="Tristram Shapeero"/>
    <s v="Alex Rubens"/>
    <x v="220"/>
    <x v="0"/>
    <x v="2"/>
    <n v="503"/>
    <n v="3.07"/>
    <n v="527"/>
    <x v="0"/>
    <x v="9"/>
  </r>
  <r>
    <x v="2"/>
    <x v="5"/>
    <n v="6"/>
    <s v="Parks and Rec S6"/>
    <n v="101"/>
    <x v="10"/>
    <s v="&quot;New Beginnings&quot;"/>
    <s v="Alan Yang"/>
    <s v="Sam Means"/>
    <x v="220"/>
    <x v="0"/>
    <x v="1"/>
    <m/>
    <n v="3.05"/>
    <n v="528"/>
    <x v="0"/>
    <x v="9"/>
  </r>
  <r>
    <x v="3"/>
    <x v="4"/>
    <n v="5"/>
    <s v="Community S5"/>
    <n v="89"/>
    <x v="4"/>
    <s v="&quot;Geothermal Escapism&quot;"/>
    <s v="Joe Russo"/>
    <s v="Tim Saccardo"/>
    <x v="221"/>
    <x v="0"/>
    <x v="2"/>
    <n v="504"/>
    <n v="3.02"/>
    <n v="529"/>
    <x v="0"/>
    <x v="9"/>
  </r>
  <r>
    <x v="2"/>
    <x v="5"/>
    <n v="6"/>
    <s v="Parks and Rec S6"/>
    <n v="102"/>
    <x v="11"/>
    <s v="&quot;Farmers Market&quot;"/>
    <s v="Adam Scott"/>
    <s v="Joe Mande"/>
    <x v="221"/>
    <x v="0"/>
    <x v="1"/>
    <m/>
    <n v="2.98"/>
    <n v="530"/>
    <x v="0"/>
    <x v="9"/>
  </r>
  <r>
    <x v="3"/>
    <x v="4"/>
    <n v="5"/>
    <s v="Community S5"/>
    <n v="90"/>
    <x v="5"/>
    <s v="&quot;Analysis of Cork-Based Networking&quot;"/>
    <s v="Tristram Shapeero"/>
    <s v="Monica Padrick"/>
    <x v="222"/>
    <x v="0"/>
    <x v="2"/>
    <n v="506"/>
    <n v="3.01"/>
    <n v="531"/>
    <x v="0"/>
    <x v="9"/>
  </r>
  <r>
    <x v="2"/>
    <x v="5"/>
    <n v="6"/>
    <s v="Parks and Rec S6"/>
    <n v="103"/>
    <x v="12"/>
    <s v="&quot;Ann and Chris&quot;"/>
    <s v="Dean Holland"/>
    <s v="Aisha Muharrar &amp; Michael Schur"/>
    <x v="222"/>
    <x v="0"/>
    <x v="1"/>
    <m/>
    <n v="3.03"/>
    <n v="532"/>
    <x v="0"/>
    <x v="9"/>
  </r>
  <r>
    <x v="3"/>
    <x v="4"/>
    <n v="5"/>
    <s v="Community S5"/>
    <n v="91"/>
    <x v="6"/>
    <s v="&quot;Bondage and Beta Male Sexuality&quot;"/>
    <s v="Tristram Shapeero"/>
    <s v="Dan Guterman"/>
    <x v="223"/>
    <x v="0"/>
    <x v="2"/>
    <n v="507"/>
    <n v="2.56"/>
    <n v="533"/>
    <x v="0"/>
    <x v="9"/>
  </r>
  <r>
    <x v="2"/>
    <x v="5"/>
    <n v="6"/>
    <s v="Parks and Rec S6"/>
    <n v="104"/>
    <x v="13"/>
    <s v="&quot;Anniversaries&quot;"/>
    <s v="Morgan Sackett"/>
    <s v="Megan Amram"/>
    <x v="223"/>
    <x v="0"/>
    <x v="1"/>
    <m/>
    <n v="2.52"/>
    <n v="534"/>
    <x v="0"/>
    <x v="9"/>
  </r>
  <r>
    <x v="3"/>
    <x v="4"/>
    <n v="5"/>
    <s v="Community S5"/>
    <n v="92"/>
    <x v="7"/>
    <s v="&quot;App Development and Condiments&quot;"/>
    <s v="Rob Schrab"/>
    <s v="Jordan Blum &amp; Parker Deay"/>
    <x v="224"/>
    <x v="0"/>
    <x v="2"/>
    <n v="508"/>
    <n v="2.79"/>
    <n v="535"/>
    <x v="0"/>
    <x v="9"/>
  </r>
  <r>
    <x v="2"/>
    <x v="5"/>
    <n v="6"/>
    <s v="Parks and Rec S6"/>
    <n v="105"/>
    <x v="14"/>
    <s v="&quot;The Wall&quot;"/>
    <s v="Ken Whittingham"/>
    <s v="Jen Statsky"/>
    <x v="224"/>
    <x v="0"/>
    <x v="1"/>
    <m/>
    <n v="2.95"/>
    <n v="536"/>
    <x v="0"/>
    <x v="9"/>
  </r>
  <r>
    <x v="3"/>
    <x v="4"/>
    <n v="5"/>
    <s v="Community S5"/>
    <n v="93"/>
    <x v="8"/>
    <s v="&quot;VCR Maintenance and Educational Publishing&quot;"/>
    <s v="Tristram Shapeero"/>
    <s v="Donald Diego"/>
    <x v="225"/>
    <x v="0"/>
    <x v="2"/>
    <n v="509"/>
    <n v="2.77"/>
    <n v="537"/>
    <x v="0"/>
    <x v="9"/>
  </r>
  <r>
    <x v="2"/>
    <x v="5"/>
    <n v="6"/>
    <s v="Parks and Rec S6"/>
    <n v="106"/>
    <x v="15"/>
    <s v="&quot;New Slogan&quot;"/>
    <s v="Dean Holland"/>
    <s v="Alan Yang &amp; Sam Means"/>
    <x v="225"/>
    <x v="0"/>
    <x v="1"/>
    <m/>
    <n v="2.72"/>
    <n v="538"/>
    <x v="0"/>
    <x v="9"/>
  </r>
  <r>
    <x v="3"/>
    <x v="4"/>
    <n v="5"/>
    <s v="Community S5"/>
    <n v="94"/>
    <x v="9"/>
    <s v="&quot;Advanced Advanced Dungeons &amp; Dragons&quot;"/>
    <s v="Joe Russo"/>
    <s v="Matt Roller"/>
    <x v="226"/>
    <x v="0"/>
    <x v="2"/>
    <n v="510"/>
    <n v="3.32"/>
    <n v="539"/>
    <x v="0"/>
    <x v="9"/>
  </r>
  <r>
    <x v="2"/>
    <x v="5"/>
    <n v="6"/>
    <s v="Parks and Rec S6"/>
    <n v="107"/>
    <x v="16"/>
    <s v="&quot;Galentine's Day&quot;"/>
    <s v="Beth McCarthy-Miller"/>
    <s v="Emma Fletcher &amp; Rachna Fruchbom"/>
    <x v="226"/>
    <x v="0"/>
    <x v="1"/>
    <m/>
    <n v="3.05"/>
    <n v="540"/>
    <x v="0"/>
    <x v="9"/>
  </r>
  <r>
    <x v="3"/>
    <x v="4"/>
    <n v="5"/>
    <s v="Community S5"/>
    <n v="95"/>
    <x v="10"/>
    <s v="&quot;G.I. Jeff&quot;"/>
    <s v="Rob Schrab"/>
    <s v="Dino Stamatopoulos"/>
    <x v="227"/>
    <x v="0"/>
    <x v="2"/>
    <n v="513"/>
    <n v="2.5"/>
    <n v="541"/>
    <x v="0"/>
    <x v="9"/>
  </r>
  <r>
    <x v="2"/>
    <x v="5"/>
    <n v="6"/>
    <s v="Parks and Rec S6"/>
    <n v="108"/>
    <x v="17"/>
    <s v="&quot;Prom&quot;"/>
    <s v="Ken Whittingham"/>
    <s v="Matt Murray &amp; Harris Wittels"/>
    <x v="227"/>
    <x v="0"/>
    <x v="1"/>
    <m/>
    <n v="2.67"/>
    <n v="542"/>
    <x v="0"/>
    <x v="9"/>
  </r>
  <r>
    <x v="3"/>
    <x v="4"/>
    <n v="5"/>
    <s v="Community S5"/>
    <n v="96"/>
    <x v="11"/>
    <s v="&quot;Basic Story&quot;"/>
    <s v="Jay Chandrasekhar"/>
    <s v="Carol Kolb"/>
    <x v="228"/>
    <x v="0"/>
    <x v="2"/>
    <n v="512"/>
    <n v="2.56"/>
    <n v="543"/>
    <x v="0"/>
    <x v="9"/>
  </r>
  <r>
    <x v="2"/>
    <x v="5"/>
    <n v="6"/>
    <s v="Parks and Rec S6"/>
    <n v="109"/>
    <x v="18"/>
    <s v="&quot;Flu Season 2&quot;"/>
    <s v="Nick Offerman"/>
    <s v="Megan Amram &amp; Dave King"/>
    <x v="228"/>
    <x v="0"/>
    <x v="1"/>
    <m/>
    <n v="2.56"/>
    <n v="544"/>
    <x v="0"/>
    <x v="9"/>
  </r>
  <r>
    <x v="3"/>
    <x v="4"/>
    <n v="5"/>
    <s v="Community S5"/>
    <n v="97"/>
    <x v="12"/>
    <s v="&quot;Basic Sandwich&quot;"/>
    <s v="Rob Schrab"/>
    <s v="Ryan Ridley"/>
    <x v="229"/>
    <x v="0"/>
    <x v="2"/>
    <n v="511"/>
    <n v="2.87"/>
    <n v="545"/>
    <x v="0"/>
    <x v="9"/>
  </r>
  <r>
    <x v="2"/>
    <x v="5"/>
    <n v="6"/>
    <s v="Parks and Rec S6"/>
    <n v="110"/>
    <x v="19"/>
    <s v="&quot;One in 8,000&quot;"/>
    <s v="Dean Holland"/>
    <s v="Donick Cary &amp; Joe Mande"/>
    <x v="229"/>
    <x v="0"/>
    <x v="1"/>
    <m/>
    <n v="2.39"/>
    <n v="546"/>
    <x v="0"/>
    <x v="9"/>
  </r>
  <r>
    <x v="2"/>
    <x v="5"/>
    <n v="6"/>
    <s v="Parks and Rec S6"/>
    <n v="111"/>
    <x v="20"/>
    <s v="&quot;Moving Up&quot;"/>
    <s v="Michael Schur"/>
    <s v="Aisha Muharrar &amp; Alan Yang"/>
    <x v="230"/>
    <x v="0"/>
    <x v="1"/>
    <m/>
    <n v="2.71"/>
    <n v="547"/>
    <x v="0"/>
    <x v="9"/>
  </r>
  <r>
    <x v="2"/>
    <x v="5"/>
    <n v="6"/>
    <s v="Parks and Rec S6"/>
    <n v="112"/>
    <x v="21"/>
    <s v="&quot;Moving Up&quot;"/>
    <s v="Michael Schur"/>
    <s v="Aisha Muharrar &amp; Alan Yang"/>
    <x v="230"/>
    <x v="0"/>
    <x v="3"/>
    <m/>
    <n v="2.71"/>
    <n v="548"/>
    <x v="0"/>
    <x v="9"/>
  </r>
  <r>
    <x v="2"/>
    <x v="6"/>
    <n v="7"/>
    <s v="Parks and Rec S7"/>
    <n v="113"/>
    <x v="0"/>
    <s v="&quot;2017&quot;"/>
    <s v="Dean Holland"/>
    <s v="Alan Yang &amp; Matt Murray"/>
    <x v="231"/>
    <x v="1"/>
    <x v="2"/>
    <m/>
    <n v="3.75"/>
    <n v="549"/>
    <x v="0"/>
    <x v="10"/>
  </r>
  <r>
    <x v="2"/>
    <x v="6"/>
    <n v="7"/>
    <s v="Parks and Rec S7"/>
    <n v="114"/>
    <x v="1"/>
    <s v="&quot;Ron and Jammy&quot;"/>
    <s v="Dean Holland"/>
    <s v="Harris Wittels"/>
    <x v="231"/>
    <x v="1"/>
    <x v="1"/>
    <m/>
    <n v="3.25"/>
    <n v="550"/>
    <x v="0"/>
    <x v="10"/>
  </r>
  <r>
    <x v="2"/>
    <x v="6"/>
    <n v="7"/>
    <s v="Parks and Rec S7"/>
    <n v="115"/>
    <x v="2"/>
    <s v="&quot;William Henry Harrison&quot;"/>
    <s v="Tom Magill"/>
    <s v="Megan Amram"/>
    <x v="232"/>
    <x v="1"/>
    <x v="2"/>
    <m/>
    <n v="3.87"/>
    <n v="551"/>
    <x v="0"/>
    <x v="10"/>
  </r>
  <r>
    <x v="2"/>
    <x v="6"/>
    <n v="7"/>
    <s v="Parks and Rec S7"/>
    <n v="116"/>
    <x v="3"/>
    <s v="&quot;Leslie and Ron&quot;"/>
    <s v="Beth McCarthy-Miller"/>
    <s v="Michael Schur"/>
    <x v="232"/>
    <x v="1"/>
    <x v="1"/>
    <m/>
    <n v="3.3"/>
    <n v="552"/>
    <x v="0"/>
    <x v="10"/>
  </r>
  <r>
    <x v="2"/>
    <x v="6"/>
    <n v="7"/>
    <s v="Parks and Rec S7"/>
    <n v="117"/>
    <x v="4"/>
    <s v="&quot;Gryzzlbox&quot;"/>
    <s v="Amy Poehler"/>
    <s v="Donick Cary"/>
    <x v="233"/>
    <x v="1"/>
    <x v="2"/>
    <m/>
    <n v="3.48"/>
    <n v="553"/>
    <x v="0"/>
    <x v="10"/>
  </r>
  <r>
    <x v="2"/>
    <x v="6"/>
    <n v="7"/>
    <s v="Parks and Rec S7"/>
    <n v="118"/>
    <x v="5"/>
    <s v="&quot;Save JJ's&quot;"/>
    <s v="Ken Whittingham"/>
    <s v="Joe Mande"/>
    <x v="233"/>
    <x v="1"/>
    <x v="1"/>
    <m/>
    <n v="2.97"/>
    <n v="554"/>
    <x v="0"/>
    <x v="10"/>
  </r>
  <r>
    <x v="2"/>
    <x v="6"/>
    <n v="7"/>
    <s v="Parks and Rec S7"/>
    <n v="119"/>
    <x v="6"/>
    <s v="&quot;Donna and Joe&quot;"/>
    <s v="Ken Whittingham"/>
    <s v="Aisha Muharrar"/>
    <x v="234"/>
    <x v="1"/>
    <x v="2"/>
    <m/>
    <n v="3.45"/>
    <n v="555"/>
    <x v="0"/>
    <x v="10"/>
  </r>
  <r>
    <x v="2"/>
    <x v="6"/>
    <n v="7"/>
    <s v="Parks and Rec S7"/>
    <n v="120"/>
    <x v="7"/>
    <s v="&quot;Ms. Ludgate-Dwyer Goes to Washington&quot;"/>
    <s v="Morgan Sackett"/>
    <s v="Dave King"/>
    <x v="235"/>
    <x v="1"/>
    <x v="2"/>
    <m/>
    <n v="3.06"/>
    <n v="556"/>
    <x v="0"/>
    <x v="10"/>
  </r>
  <r>
    <x v="2"/>
    <x v="6"/>
    <n v="7"/>
    <s v="Parks and Rec S7"/>
    <n v="121"/>
    <x v="8"/>
    <s v="&quot;Pie-Mary&quot;"/>
    <s v="Greg Daniels"/>
    <s v="Emma Fletcher &amp; Rachna Fruchbom"/>
    <x v="235"/>
    <x v="1"/>
    <x v="1"/>
    <m/>
    <n v="2.4700000000000002"/>
    <n v="557"/>
    <x v="0"/>
    <x v="10"/>
  </r>
  <r>
    <x v="2"/>
    <x v="6"/>
    <n v="7"/>
    <s v="Parks and Rec S7"/>
    <n v="122"/>
    <x v="9"/>
    <s v="&quot;The Johnny Karate Super Awesome Musical Explosion Show&quot;"/>
    <s v="Dean Holland"/>
    <s v="Matt Hubbard"/>
    <x v="236"/>
    <x v="1"/>
    <x v="2"/>
    <m/>
    <n v="2.94"/>
    <n v="558"/>
    <x v="0"/>
    <x v="10"/>
  </r>
  <r>
    <x v="2"/>
    <x v="6"/>
    <n v="7"/>
    <s v="Parks and Rec S7"/>
    <n v="123"/>
    <x v="10"/>
    <s v="&quot;Two Funerals&quot;"/>
    <s v="Craig Zisk"/>
    <s v="Jen Statsky"/>
    <x v="236"/>
    <x v="1"/>
    <x v="1"/>
    <m/>
    <n v="2.4700000000000002"/>
    <n v="559"/>
    <x v="0"/>
    <x v="10"/>
  </r>
  <r>
    <x v="2"/>
    <x v="6"/>
    <n v="7"/>
    <s v="Parks and Rec S7"/>
    <n v="124"/>
    <x v="11"/>
    <s v="&quot;One Last Ride&quot;"/>
    <s v="Michael Schur"/>
    <s v="Michael Schur &amp; Amy Poehler"/>
    <x v="237"/>
    <x v="1"/>
    <x v="2"/>
    <m/>
    <n v="4.1500000000000004"/>
    <n v="560"/>
    <x v="0"/>
    <x v="10"/>
  </r>
  <r>
    <x v="2"/>
    <x v="6"/>
    <n v="7"/>
    <s v="Parks and Rec S7"/>
    <n v="125"/>
    <x v="12"/>
    <s v="&quot;One Last Ride&quot;"/>
    <s v="Michael Schur"/>
    <s v="Michael Schur &amp; Amy Poehler"/>
    <x v="237"/>
    <x v="1"/>
    <x v="1"/>
    <m/>
    <n v="4.1500000000000004"/>
    <n v="561"/>
    <x v="0"/>
    <x v="10"/>
  </r>
  <r>
    <x v="3"/>
    <x v="5"/>
    <n v="6"/>
    <s v="Community S6"/>
    <n v="98"/>
    <x v="0"/>
    <s v="&quot;Ladders&quot;"/>
    <s v="Rob Schrab"/>
    <s v="Dan Harmon &amp; Chris McKenna"/>
    <x v="238"/>
    <x v="1"/>
    <x v="8"/>
    <n v="602"/>
    <m/>
    <n v="562"/>
    <x v="0"/>
    <x v="10"/>
  </r>
  <r>
    <x v="3"/>
    <x v="5"/>
    <n v="6"/>
    <s v="Community S6"/>
    <n v="99"/>
    <x v="1"/>
    <s v="&quot;Lawnmower Maintenance and Postnatal Care&quot;"/>
    <s v="Jim Rash &amp; Nat Faxon"/>
    <s v="Alex Rubens"/>
    <x v="238"/>
    <x v="1"/>
    <x v="8"/>
    <n v="601"/>
    <m/>
    <n v="563"/>
    <x v="0"/>
    <x v="10"/>
  </r>
  <r>
    <x v="3"/>
    <x v="5"/>
    <n v="6"/>
    <s v="Community S6"/>
    <n v="100"/>
    <x v="2"/>
    <s v="&quot;Basic Crisis Room Decorum&quot;"/>
    <s v="Bobcat Goldthwait"/>
    <s v="Monica Padrick"/>
    <x v="239"/>
    <x v="1"/>
    <x v="8"/>
    <n v="605"/>
    <m/>
    <n v="564"/>
    <x v="0"/>
    <x v="10"/>
  </r>
  <r>
    <x v="3"/>
    <x v="5"/>
    <n v="6"/>
    <s v="Community S6"/>
    <n v="101"/>
    <x v="3"/>
    <s v="&quot;Queer Studies and Advanced Waxing&quot;"/>
    <s v="Jim Rash &amp; Nat Faxon"/>
    <s v="Matt Lawton"/>
    <x v="240"/>
    <x v="1"/>
    <x v="8"/>
    <n v="603"/>
    <m/>
    <n v="565"/>
    <x v="0"/>
    <x v="10"/>
  </r>
  <r>
    <x v="3"/>
    <x v="5"/>
    <n v="6"/>
    <s v="Community S6"/>
    <n v="102"/>
    <x v="4"/>
    <s v="&quot;Laws of Robotics and Party Rights&quot;"/>
    <s v="Rob Schrab"/>
    <s v="Dean Young"/>
    <x v="241"/>
    <x v="1"/>
    <x v="8"/>
    <n v="604"/>
    <m/>
    <n v="566"/>
    <x v="0"/>
    <x v="10"/>
  </r>
  <r>
    <x v="3"/>
    <x v="5"/>
    <n v="6"/>
    <s v="Community S6"/>
    <n v="103"/>
    <x v="5"/>
    <s v="&quot;Basic Email Security&quot;"/>
    <s v="Jay Chandrasekhar"/>
    <s v="Matt Roller"/>
    <x v="242"/>
    <x v="1"/>
    <x v="8"/>
    <n v="606"/>
    <m/>
    <n v="567"/>
    <x v="0"/>
    <x v="10"/>
  </r>
  <r>
    <x v="3"/>
    <x v="5"/>
    <n v="6"/>
    <s v="Community S6"/>
    <n v="104"/>
    <x v="6"/>
    <s v="&quot;Advanced Safety Features&quot;"/>
    <s v="Rob Schrab"/>
    <s v="Carol Kolb"/>
    <x v="243"/>
    <x v="1"/>
    <x v="8"/>
    <n v="607"/>
    <m/>
    <n v="568"/>
    <x v="0"/>
    <x v="10"/>
  </r>
  <r>
    <x v="3"/>
    <x v="5"/>
    <n v="6"/>
    <s v="Community S6"/>
    <n v="105"/>
    <x v="7"/>
    <s v="&quot;Intro to Recycled Cinema&quot;"/>
    <s v="Victor Nelli, Jr."/>
    <s v="Clay Lapari"/>
    <x v="244"/>
    <x v="1"/>
    <x v="8"/>
    <n v="608"/>
    <m/>
    <n v="569"/>
    <x v="0"/>
    <x v="10"/>
  </r>
  <r>
    <x v="3"/>
    <x v="5"/>
    <n v="6"/>
    <s v="Community S6"/>
    <n v="106"/>
    <x v="8"/>
    <s v="&quot;Grifting 101&quot;"/>
    <s v="Rob Schrab"/>
    <s v="Ryan Ridley"/>
    <x v="245"/>
    <x v="1"/>
    <x v="8"/>
    <n v="609"/>
    <m/>
    <n v="570"/>
    <x v="0"/>
    <x v="10"/>
  </r>
  <r>
    <x v="3"/>
    <x v="5"/>
    <n v="6"/>
    <s v="Community S6"/>
    <n v="107"/>
    <x v="9"/>
    <s v="&quot;Basic RV Repair and Palmistry&quot;"/>
    <s v="Jay Chandrasekhar"/>
    <s v="Dan Guterman"/>
    <x v="246"/>
    <x v="1"/>
    <x v="8"/>
    <n v="610"/>
    <m/>
    <n v="571"/>
    <x v="0"/>
    <x v="10"/>
  </r>
  <r>
    <x v="3"/>
    <x v="5"/>
    <n v="6"/>
    <s v="Community S6"/>
    <n v="108"/>
    <x v="10"/>
    <s v="&quot;Modern Espionage&quot;"/>
    <s v="Rob Schrab"/>
    <s v="Mark Stegemann"/>
    <x v="247"/>
    <x v="1"/>
    <x v="8"/>
    <n v="611"/>
    <m/>
    <n v="572"/>
    <x v="0"/>
    <x v="10"/>
  </r>
  <r>
    <x v="3"/>
    <x v="5"/>
    <n v="6"/>
    <s v="Community S6"/>
    <n v="109"/>
    <x v="11"/>
    <s v="&quot;Wedding Videography&quot;"/>
    <s v="Adam Davidson"/>
    <s v="Briggs Hatton"/>
    <x v="248"/>
    <x v="1"/>
    <x v="8"/>
    <n v="612"/>
    <m/>
    <n v="573"/>
    <x v="0"/>
    <x v="10"/>
  </r>
  <r>
    <x v="3"/>
    <x v="5"/>
    <n v="6"/>
    <s v="Community S6"/>
    <n v="110"/>
    <x v="12"/>
    <s v="&quot;Emotional Consequences of Broadcast Television&quot;"/>
    <s v="Rob Schrab"/>
    <s v="Dan Harmon &amp; Chris McKenna"/>
    <x v="249"/>
    <x v="1"/>
    <x v="8"/>
    <n v="613"/>
    <m/>
    <n v="574"/>
    <x v="0"/>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98AA810-8A74-224D-A4D2-8DC554FBCA64}" name="PivotTable17" cacheId="6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O16:S22" firstHeaderRow="1" firstDataRow="2" firstDataCol="1" rowPageCount="1" colPageCount="1"/>
  <pivotFields count="20">
    <pivotField axis="axisRow" showAll="0">
      <items count="5">
        <item x="1"/>
        <item x="3"/>
        <item x="2"/>
        <item x="0"/>
        <item t="default"/>
      </items>
    </pivotField>
    <pivotField showAll="0"/>
    <pivotField showAll="0"/>
    <pivotField showAll="0"/>
    <pivotField showAll="0"/>
    <pivotField showAll="0"/>
    <pivotField showAll="0"/>
    <pivotField showAll="0"/>
    <pivotField showAll="0"/>
    <pivotField showAll="0">
      <items count="2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t="default"/>
      </items>
    </pivotField>
    <pivotField showAll="0"/>
    <pivotField showAll="0"/>
    <pivotField showAll="0"/>
    <pivotField dataField="1" showAll="0"/>
    <pivotField showAll="0"/>
    <pivotField axis="axisPage" multipleItemSelectionAllowed="1" showAll="0">
      <items count="3">
        <item h="1" x="0"/>
        <item x="1"/>
        <item t="default"/>
      </items>
    </pivotField>
    <pivotField axis="axisCol" showAll="0">
      <items count="12">
        <item x="0"/>
        <item x="2"/>
        <item x="4"/>
        <item x="5"/>
        <item x="1"/>
        <item x="3"/>
        <item x="6"/>
        <item x="7"/>
        <item x="8"/>
        <item x="9"/>
        <item x="10"/>
        <item t="default"/>
      </items>
    </pivotField>
    <pivotField showAll="0" defaultSubtotal="0"/>
    <pivotField showAll="0" defaultSubtotal="0"/>
    <pivotField showAll="0" defaultSubtotal="0">
      <items count="13">
        <item x="0"/>
        <item x="1"/>
        <item x="2"/>
        <item x="3"/>
        <item x="4"/>
        <item x="5"/>
        <item x="6"/>
        <item x="7"/>
        <item x="8"/>
        <item x="9"/>
        <item x="10"/>
        <item x="11"/>
        <item x="12"/>
      </items>
    </pivotField>
  </pivotFields>
  <rowFields count="1">
    <field x="0"/>
  </rowFields>
  <rowItems count="5">
    <i>
      <x/>
    </i>
    <i>
      <x v="1"/>
    </i>
    <i>
      <x v="2"/>
    </i>
    <i>
      <x v="3"/>
    </i>
    <i t="grand">
      <x/>
    </i>
  </rowItems>
  <colFields count="1">
    <field x="16"/>
  </colFields>
  <colItems count="4">
    <i>
      <x v="3"/>
    </i>
    <i>
      <x v="6"/>
    </i>
    <i>
      <x v="7"/>
    </i>
    <i t="grand">
      <x/>
    </i>
  </colItems>
  <pageFields count="1">
    <pageField fld="15" hier="-1"/>
  </pageFields>
  <dataFields count="1">
    <dataField name="Sum of U.S. viewers(millions)" fld="13" baseField="0" baseItem="0"/>
  </dataFields>
  <chartFormats count="56">
    <chartFormat chart="5" format="96" series="1">
      <pivotArea type="data" outline="0" fieldPosition="0">
        <references count="2">
          <reference field="4294967294" count="1" selected="0">
            <x v="0"/>
          </reference>
          <reference field="16" count="1" selected="0">
            <x v="3"/>
          </reference>
        </references>
      </pivotArea>
    </chartFormat>
    <chartFormat chart="5" format="97">
      <pivotArea type="data" outline="0" fieldPosition="0">
        <references count="3">
          <reference field="4294967294" count="1" selected="0">
            <x v="0"/>
          </reference>
          <reference field="0" count="1" selected="0">
            <x v="0"/>
          </reference>
          <reference field="16" count="1" selected="0">
            <x v="3"/>
          </reference>
        </references>
      </pivotArea>
    </chartFormat>
    <chartFormat chart="5" format="98">
      <pivotArea type="data" outline="0" fieldPosition="0">
        <references count="3">
          <reference field="4294967294" count="1" selected="0">
            <x v="0"/>
          </reference>
          <reference field="0" count="1" selected="0">
            <x v="1"/>
          </reference>
          <reference field="16" count="1" selected="0">
            <x v="3"/>
          </reference>
        </references>
      </pivotArea>
    </chartFormat>
    <chartFormat chart="5" format="99">
      <pivotArea type="data" outline="0" fieldPosition="0">
        <references count="3">
          <reference field="4294967294" count="1" selected="0">
            <x v="0"/>
          </reference>
          <reference field="0" count="1" selected="0">
            <x v="2"/>
          </reference>
          <reference field="16" count="1" selected="0">
            <x v="3"/>
          </reference>
        </references>
      </pivotArea>
    </chartFormat>
    <chartFormat chart="5" format="100">
      <pivotArea type="data" outline="0" fieldPosition="0">
        <references count="3">
          <reference field="4294967294" count="1" selected="0">
            <x v="0"/>
          </reference>
          <reference field="0" count="1" selected="0">
            <x v="3"/>
          </reference>
          <reference field="16" count="1" selected="0">
            <x v="3"/>
          </reference>
        </references>
      </pivotArea>
    </chartFormat>
    <chartFormat chart="5" format="101" series="1">
      <pivotArea type="data" outline="0" fieldPosition="0">
        <references count="2">
          <reference field="4294967294" count="1" selected="0">
            <x v="0"/>
          </reference>
          <reference field="16" count="1" selected="0">
            <x v="6"/>
          </reference>
        </references>
      </pivotArea>
    </chartFormat>
    <chartFormat chart="5" format="102">
      <pivotArea type="data" outline="0" fieldPosition="0">
        <references count="3">
          <reference field="4294967294" count="1" selected="0">
            <x v="0"/>
          </reference>
          <reference field="0" count="1" selected="0">
            <x v="0"/>
          </reference>
          <reference field="16" count="1" selected="0">
            <x v="6"/>
          </reference>
        </references>
      </pivotArea>
    </chartFormat>
    <chartFormat chart="5" format="103">
      <pivotArea type="data" outline="0" fieldPosition="0">
        <references count="3">
          <reference field="4294967294" count="1" selected="0">
            <x v="0"/>
          </reference>
          <reference field="0" count="1" selected="0">
            <x v="1"/>
          </reference>
          <reference field="16" count="1" selected="0">
            <x v="6"/>
          </reference>
        </references>
      </pivotArea>
    </chartFormat>
    <chartFormat chart="5" format="104">
      <pivotArea type="data" outline="0" fieldPosition="0">
        <references count="3">
          <reference field="4294967294" count="1" selected="0">
            <x v="0"/>
          </reference>
          <reference field="0" count="1" selected="0">
            <x v="2"/>
          </reference>
          <reference field="16" count="1" selected="0">
            <x v="6"/>
          </reference>
        </references>
      </pivotArea>
    </chartFormat>
    <chartFormat chart="5" format="105">
      <pivotArea type="data" outline="0" fieldPosition="0">
        <references count="3">
          <reference field="4294967294" count="1" selected="0">
            <x v="0"/>
          </reference>
          <reference field="0" count="1" selected="0">
            <x v="3"/>
          </reference>
          <reference field="16" count="1" selected="0">
            <x v="6"/>
          </reference>
        </references>
      </pivotArea>
    </chartFormat>
    <chartFormat chart="5" format="106" series="1">
      <pivotArea type="data" outline="0" fieldPosition="0">
        <references count="2">
          <reference field="4294967294" count="1" selected="0">
            <x v="0"/>
          </reference>
          <reference field="16" count="1" selected="0">
            <x v="7"/>
          </reference>
        </references>
      </pivotArea>
    </chartFormat>
    <chartFormat chart="5" format="107">
      <pivotArea type="data" outline="0" fieldPosition="0">
        <references count="3">
          <reference field="4294967294" count="1" selected="0">
            <x v="0"/>
          </reference>
          <reference field="0" count="1" selected="0">
            <x v="0"/>
          </reference>
          <reference field="16" count="1" selected="0">
            <x v="7"/>
          </reference>
        </references>
      </pivotArea>
    </chartFormat>
    <chartFormat chart="5" format="108">
      <pivotArea type="data" outline="0" fieldPosition="0">
        <references count="3">
          <reference field="4294967294" count="1" selected="0">
            <x v="0"/>
          </reference>
          <reference field="0" count="1" selected="0">
            <x v="1"/>
          </reference>
          <reference field="16" count="1" selected="0">
            <x v="7"/>
          </reference>
        </references>
      </pivotArea>
    </chartFormat>
    <chartFormat chart="5" format="109">
      <pivotArea type="data" outline="0" fieldPosition="0">
        <references count="3">
          <reference field="4294967294" count="1" selected="0">
            <x v="0"/>
          </reference>
          <reference field="0" count="1" selected="0">
            <x v="2"/>
          </reference>
          <reference field="16" count="1" selected="0">
            <x v="7"/>
          </reference>
        </references>
      </pivotArea>
    </chartFormat>
    <chartFormat chart="5" format="110">
      <pivotArea type="data" outline="0" fieldPosition="0">
        <references count="3">
          <reference field="4294967294" count="1" selected="0">
            <x v="0"/>
          </reference>
          <reference field="0" count="1" selected="0">
            <x v="3"/>
          </reference>
          <reference field="16" count="1" selected="0">
            <x v="7"/>
          </reference>
        </references>
      </pivotArea>
    </chartFormat>
    <chartFormat chart="0" format="111" series="1">
      <pivotArea type="data" outline="0" fieldPosition="0">
        <references count="2">
          <reference field="4294967294" count="1" selected="0">
            <x v="0"/>
          </reference>
          <reference field="16" count="1" selected="0">
            <x v="3"/>
          </reference>
        </references>
      </pivotArea>
    </chartFormat>
    <chartFormat chart="0" format="112">
      <pivotArea type="data" outline="0" fieldPosition="0">
        <references count="3">
          <reference field="4294967294" count="1" selected="0">
            <x v="0"/>
          </reference>
          <reference field="0" count="1" selected="0">
            <x v="0"/>
          </reference>
          <reference field="16" count="1" selected="0">
            <x v="3"/>
          </reference>
        </references>
      </pivotArea>
    </chartFormat>
    <chartFormat chart="0" format="113">
      <pivotArea type="data" outline="0" fieldPosition="0">
        <references count="3">
          <reference field="4294967294" count="1" selected="0">
            <x v="0"/>
          </reference>
          <reference field="0" count="1" selected="0">
            <x v="1"/>
          </reference>
          <reference field="16" count="1" selected="0">
            <x v="3"/>
          </reference>
        </references>
      </pivotArea>
    </chartFormat>
    <chartFormat chart="0" format="114">
      <pivotArea type="data" outline="0" fieldPosition="0">
        <references count="3">
          <reference field="4294967294" count="1" selected="0">
            <x v="0"/>
          </reference>
          <reference field="0" count="1" selected="0">
            <x v="2"/>
          </reference>
          <reference field="16" count="1" selected="0">
            <x v="3"/>
          </reference>
        </references>
      </pivotArea>
    </chartFormat>
    <chartFormat chart="0" format="115">
      <pivotArea type="data" outline="0" fieldPosition="0">
        <references count="3">
          <reference field="4294967294" count="1" selected="0">
            <x v="0"/>
          </reference>
          <reference field="0" count="1" selected="0">
            <x v="3"/>
          </reference>
          <reference field="16" count="1" selected="0">
            <x v="3"/>
          </reference>
        </references>
      </pivotArea>
    </chartFormat>
    <chartFormat chart="0" format="116" series="1">
      <pivotArea type="data" outline="0" fieldPosition="0">
        <references count="2">
          <reference field="4294967294" count="1" selected="0">
            <x v="0"/>
          </reference>
          <reference field="16" count="1" selected="0">
            <x v="6"/>
          </reference>
        </references>
      </pivotArea>
    </chartFormat>
    <chartFormat chart="0" format="117">
      <pivotArea type="data" outline="0" fieldPosition="0">
        <references count="3">
          <reference field="4294967294" count="1" selected="0">
            <x v="0"/>
          </reference>
          <reference field="0" count="1" selected="0">
            <x v="0"/>
          </reference>
          <reference field="16" count="1" selected="0">
            <x v="6"/>
          </reference>
        </references>
      </pivotArea>
    </chartFormat>
    <chartFormat chart="0" format="118">
      <pivotArea type="data" outline="0" fieldPosition="0">
        <references count="3">
          <reference field="4294967294" count="1" selected="0">
            <x v="0"/>
          </reference>
          <reference field="0" count="1" selected="0">
            <x v="1"/>
          </reference>
          <reference field="16" count="1" selected="0">
            <x v="6"/>
          </reference>
        </references>
      </pivotArea>
    </chartFormat>
    <chartFormat chart="0" format="119">
      <pivotArea type="data" outline="0" fieldPosition="0">
        <references count="3">
          <reference field="4294967294" count="1" selected="0">
            <x v="0"/>
          </reference>
          <reference field="0" count="1" selected="0">
            <x v="2"/>
          </reference>
          <reference field="16" count="1" selected="0">
            <x v="6"/>
          </reference>
        </references>
      </pivotArea>
    </chartFormat>
    <chartFormat chart="0" format="120">
      <pivotArea type="data" outline="0" fieldPosition="0">
        <references count="3">
          <reference field="4294967294" count="1" selected="0">
            <x v="0"/>
          </reference>
          <reference field="0" count="1" selected="0">
            <x v="3"/>
          </reference>
          <reference field="16" count="1" selected="0">
            <x v="6"/>
          </reference>
        </references>
      </pivotArea>
    </chartFormat>
    <chartFormat chart="0" format="121" series="1">
      <pivotArea type="data" outline="0" fieldPosition="0">
        <references count="2">
          <reference field="4294967294" count="1" selected="0">
            <x v="0"/>
          </reference>
          <reference field="16" count="1" selected="0">
            <x v="7"/>
          </reference>
        </references>
      </pivotArea>
    </chartFormat>
    <chartFormat chart="0" format="122">
      <pivotArea type="data" outline="0" fieldPosition="0">
        <references count="3">
          <reference field="4294967294" count="1" selected="0">
            <x v="0"/>
          </reference>
          <reference field="0" count="1" selected="0">
            <x v="0"/>
          </reference>
          <reference field="16" count="1" selected="0">
            <x v="7"/>
          </reference>
        </references>
      </pivotArea>
    </chartFormat>
    <chartFormat chart="0" format="123">
      <pivotArea type="data" outline="0" fieldPosition="0">
        <references count="3">
          <reference field="4294967294" count="1" selected="0">
            <x v="0"/>
          </reference>
          <reference field="0" count="1" selected="0">
            <x v="1"/>
          </reference>
          <reference field="16" count="1" selected="0">
            <x v="7"/>
          </reference>
        </references>
      </pivotArea>
    </chartFormat>
    <chartFormat chart="0" format="124">
      <pivotArea type="data" outline="0" fieldPosition="0">
        <references count="3">
          <reference field="4294967294" count="1" selected="0">
            <x v="0"/>
          </reference>
          <reference field="0" count="1" selected="0">
            <x v="2"/>
          </reference>
          <reference field="16" count="1" selected="0">
            <x v="7"/>
          </reference>
        </references>
      </pivotArea>
    </chartFormat>
    <chartFormat chart="0" format="125">
      <pivotArea type="data" outline="0" fieldPosition="0">
        <references count="3">
          <reference field="4294967294" count="1" selected="0">
            <x v="0"/>
          </reference>
          <reference field="0" count="1" selected="0">
            <x v="3"/>
          </reference>
          <reference field="16" count="1" selected="0">
            <x v="7"/>
          </reference>
        </references>
      </pivotArea>
    </chartFormat>
    <chartFormat chart="9" format="141" series="1">
      <pivotArea type="data" outline="0" fieldPosition="0">
        <references count="2">
          <reference field="4294967294" count="1" selected="0">
            <x v="0"/>
          </reference>
          <reference field="16" count="1" selected="0">
            <x v="3"/>
          </reference>
        </references>
      </pivotArea>
    </chartFormat>
    <chartFormat chart="9" format="142">
      <pivotArea type="data" outline="0" fieldPosition="0">
        <references count="3">
          <reference field="4294967294" count="1" selected="0">
            <x v="0"/>
          </reference>
          <reference field="0" count="1" selected="0">
            <x v="0"/>
          </reference>
          <reference field="16" count="1" selected="0">
            <x v="3"/>
          </reference>
        </references>
      </pivotArea>
    </chartFormat>
    <chartFormat chart="9" format="143">
      <pivotArea type="data" outline="0" fieldPosition="0">
        <references count="3">
          <reference field="4294967294" count="1" selected="0">
            <x v="0"/>
          </reference>
          <reference field="0" count="1" selected="0">
            <x v="1"/>
          </reference>
          <reference field="16" count="1" selected="0">
            <x v="3"/>
          </reference>
        </references>
      </pivotArea>
    </chartFormat>
    <chartFormat chart="9" format="144">
      <pivotArea type="data" outline="0" fieldPosition="0">
        <references count="3">
          <reference field="4294967294" count="1" selected="0">
            <x v="0"/>
          </reference>
          <reference field="0" count="1" selected="0">
            <x v="2"/>
          </reference>
          <reference field="16" count="1" selected="0">
            <x v="3"/>
          </reference>
        </references>
      </pivotArea>
    </chartFormat>
    <chartFormat chart="9" format="145">
      <pivotArea type="data" outline="0" fieldPosition="0">
        <references count="3">
          <reference field="4294967294" count="1" selected="0">
            <x v="0"/>
          </reference>
          <reference field="0" count="1" selected="0">
            <x v="3"/>
          </reference>
          <reference field="16" count="1" selected="0">
            <x v="3"/>
          </reference>
        </references>
      </pivotArea>
    </chartFormat>
    <chartFormat chart="9" format="146" series="1">
      <pivotArea type="data" outline="0" fieldPosition="0">
        <references count="2">
          <reference field="4294967294" count="1" selected="0">
            <x v="0"/>
          </reference>
          <reference field="16" count="1" selected="0">
            <x v="6"/>
          </reference>
        </references>
      </pivotArea>
    </chartFormat>
    <chartFormat chart="9" format="147">
      <pivotArea type="data" outline="0" fieldPosition="0">
        <references count="3">
          <reference field="4294967294" count="1" selected="0">
            <x v="0"/>
          </reference>
          <reference field="0" count="1" selected="0">
            <x v="0"/>
          </reference>
          <reference field="16" count="1" selected="0">
            <x v="6"/>
          </reference>
        </references>
      </pivotArea>
    </chartFormat>
    <chartFormat chart="9" format="148">
      <pivotArea type="data" outline="0" fieldPosition="0">
        <references count="3">
          <reference field="4294967294" count="1" selected="0">
            <x v="0"/>
          </reference>
          <reference field="0" count="1" selected="0">
            <x v="1"/>
          </reference>
          <reference field="16" count="1" selected="0">
            <x v="6"/>
          </reference>
        </references>
      </pivotArea>
    </chartFormat>
    <chartFormat chart="9" format="149">
      <pivotArea type="data" outline="0" fieldPosition="0">
        <references count="3">
          <reference field="4294967294" count="1" selected="0">
            <x v="0"/>
          </reference>
          <reference field="0" count="1" selected="0">
            <x v="2"/>
          </reference>
          <reference field="16" count="1" selected="0">
            <x v="6"/>
          </reference>
        </references>
      </pivotArea>
    </chartFormat>
    <chartFormat chart="9" format="150">
      <pivotArea type="data" outline="0" fieldPosition="0">
        <references count="3">
          <reference field="4294967294" count="1" selected="0">
            <x v="0"/>
          </reference>
          <reference field="0" count="1" selected="0">
            <x v="3"/>
          </reference>
          <reference field="16" count="1" selected="0">
            <x v="6"/>
          </reference>
        </references>
      </pivotArea>
    </chartFormat>
    <chartFormat chart="9" format="151" series="1">
      <pivotArea type="data" outline="0" fieldPosition="0">
        <references count="2">
          <reference field="4294967294" count="1" selected="0">
            <x v="0"/>
          </reference>
          <reference field="16" count="1" selected="0">
            <x v="7"/>
          </reference>
        </references>
      </pivotArea>
    </chartFormat>
    <chartFormat chart="9" format="152">
      <pivotArea type="data" outline="0" fieldPosition="0">
        <references count="3">
          <reference field="4294967294" count="1" selected="0">
            <x v="0"/>
          </reference>
          <reference field="0" count="1" selected="0">
            <x v="0"/>
          </reference>
          <reference field="16" count="1" selected="0">
            <x v="7"/>
          </reference>
        </references>
      </pivotArea>
    </chartFormat>
    <chartFormat chart="9" format="153">
      <pivotArea type="data" outline="0" fieldPosition="0">
        <references count="3">
          <reference field="4294967294" count="1" selected="0">
            <x v="0"/>
          </reference>
          <reference field="0" count="1" selected="0">
            <x v="1"/>
          </reference>
          <reference field="16" count="1" selected="0">
            <x v="7"/>
          </reference>
        </references>
      </pivotArea>
    </chartFormat>
    <chartFormat chart="9" format="154">
      <pivotArea type="data" outline="0" fieldPosition="0">
        <references count="3">
          <reference field="4294967294" count="1" selected="0">
            <x v="0"/>
          </reference>
          <reference field="0" count="1" selected="0">
            <x v="2"/>
          </reference>
          <reference field="16" count="1" selected="0">
            <x v="7"/>
          </reference>
        </references>
      </pivotArea>
    </chartFormat>
    <chartFormat chart="9" format="155">
      <pivotArea type="data" outline="0" fieldPosition="0">
        <references count="3">
          <reference field="4294967294" count="1" selected="0">
            <x v="0"/>
          </reference>
          <reference field="0" count="1" selected="0">
            <x v="3"/>
          </reference>
          <reference field="16" count="1" selected="0">
            <x v="7"/>
          </reference>
        </references>
      </pivotArea>
    </chartFormat>
    <chartFormat chart="10" format="0" series="1">
      <pivotArea type="data" outline="0" fieldPosition="0">
        <references count="2">
          <reference field="4294967294" count="1" selected="0">
            <x v="0"/>
          </reference>
          <reference field="16" count="1" selected="0">
            <x v="3"/>
          </reference>
        </references>
      </pivotArea>
    </chartFormat>
    <chartFormat chart="10" format="1" series="1">
      <pivotArea type="data" outline="0" fieldPosition="0">
        <references count="2">
          <reference field="4294967294" count="1" selected="0">
            <x v="0"/>
          </reference>
          <reference field="16" count="1" selected="0">
            <x v="6"/>
          </reference>
        </references>
      </pivotArea>
    </chartFormat>
    <chartFormat chart="10" format="2" series="1">
      <pivotArea type="data" outline="0" fieldPosition="0">
        <references count="2">
          <reference field="4294967294" count="1" selected="0">
            <x v="0"/>
          </reference>
          <reference field="16" count="1" selected="0">
            <x v="7"/>
          </reference>
        </references>
      </pivotArea>
    </chartFormat>
    <chartFormat chart="12" format="0" series="1">
      <pivotArea type="data" outline="0" fieldPosition="0">
        <references count="2">
          <reference field="4294967294" count="1" selected="0">
            <x v="0"/>
          </reference>
          <reference field="16" count="1" selected="0">
            <x v="3"/>
          </reference>
        </references>
      </pivotArea>
    </chartFormat>
    <chartFormat chart="12" format="1" series="1">
      <pivotArea type="data" outline="0" fieldPosition="0">
        <references count="2">
          <reference field="4294967294" count="1" selected="0">
            <x v="0"/>
          </reference>
          <reference field="16" count="1" selected="0">
            <x v="6"/>
          </reference>
        </references>
      </pivotArea>
    </chartFormat>
    <chartFormat chart="12" format="2" series="1">
      <pivotArea type="data" outline="0" fieldPosition="0">
        <references count="2">
          <reference field="4294967294" count="1" selected="0">
            <x v="0"/>
          </reference>
          <reference field="16" count="1" selected="0">
            <x v="7"/>
          </reference>
        </references>
      </pivotArea>
    </chartFormat>
    <chartFormat chart="12" format="3" series="1">
      <pivotArea type="data" outline="0" fieldPosition="0">
        <references count="1">
          <reference field="4294967294" count="1" selected="0">
            <x v="0"/>
          </reference>
        </references>
      </pivotArea>
    </chartFormat>
    <chartFormat chart="10" format="3" series="1">
      <pivotArea type="data" outline="0" fieldPosition="0">
        <references count="1">
          <reference field="4294967294" count="1" selected="0">
            <x v="0"/>
          </reference>
        </references>
      </pivotArea>
    </chartFormat>
    <chartFormat chart="9" format="156" series="1">
      <pivotArea type="data" outline="0" fieldPosition="0">
        <references count="1">
          <reference field="4294967294" count="1" selected="0">
            <x v="0"/>
          </reference>
        </references>
      </pivotArea>
    </chartFormat>
    <chartFormat chart="5" format="111" series="1">
      <pivotArea type="data" outline="0" fieldPosition="0">
        <references count="1">
          <reference field="4294967294" count="1" selected="0">
            <x v="0"/>
          </reference>
        </references>
      </pivotArea>
    </chartFormat>
    <chartFormat chart="0" format="126" series="1">
      <pivotArea type="data" outline="0" fieldPosition="0">
        <references count="1">
          <reference field="4294967294" count="1" selected="0">
            <x v="0"/>
          </reference>
        </references>
      </pivotArea>
    </chartFormat>
  </chartFormat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A32F057-1969-4D47-825B-FBE3E4B92546}" name="PivotTable16" cacheId="6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O49:Q55" firstHeaderRow="1" firstDataRow="2" firstDataCol="1" rowPageCount="1" colPageCount="1"/>
  <pivotFields count="20">
    <pivotField axis="axisRow" showAll="0">
      <items count="5">
        <item x="1"/>
        <item x="3"/>
        <item x="2"/>
        <item x="0"/>
        <item t="default"/>
      </items>
    </pivotField>
    <pivotField showAll="0"/>
    <pivotField showAll="0"/>
    <pivotField showAll="0"/>
    <pivotField showAll="0"/>
    <pivotField showAll="0"/>
    <pivotField showAll="0"/>
    <pivotField showAll="0"/>
    <pivotField showAll="0"/>
    <pivotField showAll="0">
      <items count="2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t="default"/>
      </items>
    </pivotField>
    <pivotField showAll="0"/>
    <pivotField showAll="0"/>
    <pivotField showAll="0"/>
    <pivotField dataField="1" showAll="0"/>
    <pivotField showAll="0"/>
    <pivotField axis="axisPage" multipleItemSelectionAllowed="1" showAll="0">
      <items count="3">
        <item h="1" x="0"/>
        <item x="1"/>
        <item t="default"/>
      </items>
    </pivotField>
    <pivotField axis="axisCol" showAll="0">
      <items count="12">
        <item h="1" x="0"/>
        <item h="1" x="2"/>
        <item h="1" x="4"/>
        <item h="1" x="5"/>
        <item h="1" x="1"/>
        <item h="1" x="3"/>
        <item h="1" x="6"/>
        <item x="7"/>
        <item h="1" x="8"/>
        <item h="1" x="9"/>
        <item h="1" x="10"/>
        <item t="default"/>
      </items>
    </pivotField>
    <pivotField showAll="0" defaultSubtotal="0"/>
    <pivotField showAll="0" defaultSubtotal="0"/>
    <pivotField showAll="0" defaultSubtotal="0">
      <items count="13">
        <item x="0"/>
        <item x="1"/>
        <item x="2"/>
        <item x="3"/>
        <item x="4"/>
        <item x="5"/>
        <item x="6"/>
        <item x="7"/>
        <item x="8"/>
        <item x="9"/>
        <item x="10"/>
        <item x="11"/>
        <item x="12"/>
      </items>
    </pivotField>
  </pivotFields>
  <rowFields count="1">
    <field x="0"/>
  </rowFields>
  <rowItems count="5">
    <i>
      <x/>
    </i>
    <i>
      <x v="1"/>
    </i>
    <i>
      <x v="2"/>
    </i>
    <i>
      <x v="3"/>
    </i>
    <i t="grand">
      <x/>
    </i>
  </rowItems>
  <colFields count="1">
    <field x="16"/>
  </colFields>
  <colItems count="2">
    <i>
      <x v="7"/>
    </i>
    <i t="grand">
      <x/>
    </i>
  </colItems>
  <pageFields count="1">
    <pageField fld="15" hier="-1"/>
  </pageFields>
  <dataFields count="1">
    <dataField name="Sum of U.S. viewers(millions)" fld="13" baseField="0" baseItem="0"/>
  </dataFields>
  <chartFormats count="56">
    <chartFormat chart="5" format="96" series="1">
      <pivotArea type="data" outline="0" fieldPosition="0">
        <references count="2">
          <reference field="4294967294" count="1" selected="0">
            <x v="0"/>
          </reference>
          <reference field="16" count="1" selected="0">
            <x v="3"/>
          </reference>
        </references>
      </pivotArea>
    </chartFormat>
    <chartFormat chart="5" format="97">
      <pivotArea type="data" outline="0" fieldPosition="0">
        <references count="3">
          <reference field="4294967294" count="1" selected="0">
            <x v="0"/>
          </reference>
          <reference field="0" count="1" selected="0">
            <x v="0"/>
          </reference>
          <reference field="16" count="1" selected="0">
            <x v="3"/>
          </reference>
        </references>
      </pivotArea>
    </chartFormat>
    <chartFormat chart="5" format="98">
      <pivotArea type="data" outline="0" fieldPosition="0">
        <references count="3">
          <reference field="4294967294" count="1" selected="0">
            <x v="0"/>
          </reference>
          <reference field="0" count="1" selected="0">
            <x v="1"/>
          </reference>
          <reference field="16" count="1" selected="0">
            <x v="3"/>
          </reference>
        </references>
      </pivotArea>
    </chartFormat>
    <chartFormat chart="5" format="99">
      <pivotArea type="data" outline="0" fieldPosition="0">
        <references count="3">
          <reference field="4294967294" count="1" selected="0">
            <x v="0"/>
          </reference>
          <reference field="0" count="1" selected="0">
            <x v="2"/>
          </reference>
          <reference field="16" count="1" selected="0">
            <x v="3"/>
          </reference>
        </references>
      </pivotArea>
    </chartFormat>
    <chartFormat chart="5" format="100">
      <pivotArea type="data" outline="0" fieldPosition="0">
        <references count="3">
          <reference field="4294967294" count="1" selected="0">
            <x v="0"/>
          </reference>
          <reference field="0" count="1" selected="0">
            <x v="3"/>
          </reference>
          <reference field="16" count="1" selected="0">
            <x v="3"/>
          </reference>
        </references>
      </pivotArea>
    </chartFormat>
    <chartFormat chart="5" format="101" series="1">
      <pivotArea type="data" outline="0" fieldPosition="0">
        <references count="2">
          <reference field="4294967294" count="1" selected="0">
            <x v="0"/>
          </reference>
          <reference field="16" count="1" selected="0">
            <x v="6"/>
          </reference>
        </references>
      </pivotArea>
    </chartFormat>
    <chartFormat chart="5" format="102">
      <pivotArea type="data" outline="0" fieldPosition="0">
        <references count="3">
          <reference field="4294967294" count="1" selected="0">
            <x v="0"/>
          </reference>
          <reference field="0" count="1" selected="0">
            <x v="0"/>
          </reference>
          <reference field="16" count="1" selected="0">
            <x v="6"/>
          </reference>
        </references>
      </pivotArea>
    </chartFormat>
    <chartFormat chart="5" format="103">
      <pivotArea type="data" outline="0" fieldPosition="0">
        <references count="3">
          <reference field="4294967294" count="1" selected="0">
            <x v="0"/>
          </reference>
          <reference field="0" count="1" selected="0">
            <x v="1"/>
          </reference>
          <reference field="16" count="1" selected="0">
            <x v="6"/>
          </reference>
        </references>
      </pivotArea>
    </chartFormat>
    <chartFormat chart="5" format="104">
      <pivotArea type="data" outline="0" fieldPosition="0">
        <references count="3">
          <reference field="4294967294" count="1" selected="0">
            <x v="0"/>
          </reference>
          <reference field="0" count="1" selected="0">
            <x v="2"/>
          </reference>
          <reference field="16" count="1" selected="0">
            <x v="6"/>
          </reference>
        </references>
      </pivotArea>
    </chartFormat>
    <chartFormat chart="5" format="105">
      <pivotArea type="data" outline="0" fieldPosition="0">
        <references count="3">
          <reference field="4294967294" count="1" selected="0">
            <x v="0"/>
          </reference>
          <reference field="0" count="1" selected="0">
            <x v="3"/>
          </reference>
          <reference field="16" count="1" selected="0">
            <x v="6"/>
          </reference>
        </references>
      </pivotArea>
    </chartFormat>
    <chartFormat chart="5" format="106" series="1">
      <pivotArea type="data" outline="0" fieldPosition="0">
        <references count="2">
          <reference field="4294967294" count="1" selected="0">
            <x v="0"/>
          </reference>
          <reference field="16" count="1" selected="0">
            <x v="7"/>
          </reference>
        </references>
      </pivotArea>
    </chartFormat>
    <chartFormat chart="5" format="107">
      <pivotArea type="data" outline="0" fieldPosition="0">
        <references count="3">
          <reference field="4294967294" count="1" selected="0">
            <x v="0"/>
          </reference>
          <reference field="0" count="1" selected="0">
            <x v="0"/>
          </reference>
          <reference field="16" count="1" selected="0">
            <x v="7"/>
          </reference>
        </references>
      </pivotArea>
    </chartFormat>
    <chartFormat chart="5" format="108">
      <pivotArea type="data" outline="0" fieldPosition="0">
        <references count="3">
          <reference field="4294967294" count="1" selected="0">
            <x v="0"/>
          </reference>
          <reference field="0" count="1" selected="0">
            <x v="1"/>
          </reference>
          <reference field="16" count="1" selected="0">
            <x v="7"/>
          </reference>
        </references>
      </pivotArea>
    </chartFormat>
    <chartFormat chart="5" format="109">
      <pivotArea type="data" outline="0" fieldPosition="0">
        <references count="3">
          <reference field="4294967294" count="1" selected="0">
            <x v="0"/>
          </reference>
          <reference field="0" count="1" selected="0">
            <x v="2"/>
          </reference>
          <reference field="16" count="1" selected="0">
            <x v="7"/>
          </reference>
        </references>
      </pivotArea>
    </chartFormat>
    <chartFormat chart="5" format="110">
      <pivotArea type="data" outline="0" fieldPosition="0">
        <references count="3">
          <reference field="4294967294" count="1" selected="0">
            <x v="0"/>
          </reference>
          <reference field="0" count="1" selected="0">
            <x v="3"/>
          </reference>
          <reference field="16" count="1" selected="0">
            <x v="7"/>
          </reference>
        </references>
      </pivotArea>
    </chartFormat>
    <chartFormat chart="0" format="111" series="1">
      <pivotArea type="data" outline="0" fieldPosition="0">
        <references count="2">
          <reference field="4294967294" count="1" selected="0">
            <x v="0"/>
          </reference>
          <reference field="16" count="1" selected="0">
            <x v="3"/>
          </reference>
        </references>
      </pivotArea>
    </chartFormat>
    <chartFormat chart="0" format="112">
      <pivotArea type="data" outline="0" fieldPosition="0">
        <references count="3">
          <reference field="4294967294" count="1" selected="0">
            <x v="0"/>
          </reference>
          <reference field="0" count="1" selected="0">
            <x v="0"/>
          </reference>
          <reference field="16" count="1" selected="0">
            <x v="3"/>
          </reference>
        </references>
      </pivotArea>
    </chartFormat>
    <chartFormat chart="0" format="113">
      <pivotArea type="data" outline="0" fieldPosition="0">
        <references count="3">
          <reference field="4294967294" count="1" selected="0">
            <x v="0"/>
          </reference>
          <reference field="0" count="1" selected="0">
            <x v="1"/>
          </reference>
          <reference field="16" count="1" selected="0">
            <x v="3"/>
          </reference>
        </references>
      </pivotArea>
    </chartFormat>
    <chartFormat chart="0" format="114">
      <pivotArea type="data" outline="0" fieldPosition="0">
        <references count="3">
          <reference field="4294967294" count="1" selected="0">
            <x v="0"/>
          </reference>
          <reference field="0" count="1" selected="0">
            <x v="2"/>
          </reference>
          <reference field="16" count="1" selected="0">
            <x v="3"/>
          </reference>
        </references>
      </pivotArea>
    </chartFormat>
    <chartFormat chart="0" format="115">
      <pivotArea type="data" outline="0" fieldPosition="0">
        <references count="3">
          <reference field="4294967294" count="1" selected="0">
            <x v="0"/>
          </reference>
          <reference field="0" count="1" selected="0">
            <x v="3"/>
          </reference>
          <reference field="16" count="1" selected="0">
            <x v="3"/>
          </reference>
        </references>
      </pivotArea>
    </chartFormat>
    <chartFormat chart="0" format="116" series="1">
      <pivotArea type="data" outline="0" fieldPosition="0">
        <references count="2">
          <reference field="4294967294" count="1" selected="0">
            <x v="0"/>
          </reference>
          <reference field="16" count="1" selected="0">
            <x v="6"/>
          </reference>
        </references>
      </pivotArea>
    </chartFormat>
    <chartFormat chart="0" format="117">
      <pivotArea type="data" outline="0" fieldPosition="0">
        <references count="3">
          <reference field="4294967294" count="1" selected="0">
            <x v="0"/>
          </reference>
          <reference field="0" count="1" selected="0">
            <x v="0"/>
          </reference>
          <reference field="16" count="1" selected="0">
            <x v="6"/>
          </reference>
        </references>
      </pivotArea>
    </chartFormat>
    <chartFormat chart="0" format="118">
      <pivotArea type="data" outline="0" fieldPosition="0">
        <references count="3">
          <reference field="4294967294" count="1" selected="0">
            <x v="0"/>
          </reference>
          <reference field="0" count="1" selected="0">
            <x v="1"/>
          </reference>
          <reference field="16" count="1" selected="0">
            <x v="6"/>
          </reference>
        </references>
      </pivotArea>
    </chartFormat>
    <chartFormat chart="0" format="119">
      <pivotArea type="data" outline="0" fieldPosition="0">
        <references count="3">
          <reference field="4294967294" count="1" selected="0">
            <x v="0"/>
          </reference>
          <reference field="0" count="1" selected="0">
            <x v="2"/>
          </reference>
          <reference field="16" count="1" selected="0">
            <x v="6"/>
          </reference>
        </references>
      </pivotArea>
    </chartFormat>
    <chartFormat chart="0" format="120">
      <pivotArea type="data" outline="0" fieldPosition="0">
        <references count="3">
          <reference field="4294967294" count="1" selected="0">
            <x v="0"/>
          </reference>
          <reference field="0" count="1" selected="0">
            <x v="3"/>
          </reference>
          <reference field="16" count="1" selected="0">
            <x v="6"/>
          </reference>
        </references>
      </pivotArea>
    </chartFormat>
    <chartFormat chart="0" format="121" series="1">
      <pivotArea type="data" outline="0" fieldPosition="0">
        <references count="2">
          <reference field="4294967294" count="1" selected="0">
            <x v="0"/>
          </reference>
          <reference field="16" count="1" selected="0">
            <x v="7"/>
          </reference>
        </references>
      </pivotArea>
    </chartFormat>
    <chartFormat chart="0" format="122">
      <pivotArea type="data" outline="0" fieldPosition="0">
        <references count="3">
          <reference field="4294967294" count="1" selected="0">
            <x v="0"/>
          </reference>
          <reference field="0" count="1" selected="0">
            <x v="0"/>
          </reference>
          <reference field="16" count="1" selected="0">
            <x v="7"/>
          </reference>
        </references>
      </pivotArea>
    </chartFormat>
    <chartFormat chart="0" format="123">
      <pivotArea type="data" outline="0" fieldPosition="0">
        <references count="3">
          <reference field="4294967294" count="1" selected="0">
            <x v="0"/>
          </reference>
          <reference field="0" count="1" selected="0">
            <x v="1"/>
          </reference>
          <reference field="16" count="1" selected="0">
            <x v="7"/>
          </reference>
        </references>
      </pivotArea>
    </chartFormat>
    <chartFormat chart="0" format="124">
      <pivotArea type="data" outline="0" fieldPosition="0">
        <references count="3">
          <reference field="4294967294" count="1" selected="0">
            <x v="0"/>
          </reference>
          <reference field="0" count="1" selected="0">
            <x v="2"/>
          </reference>
          <reference field="16" count="1" selected="0">
            <x v="7"/>
          </reference>
        </references>
      </pivotArea>
    </chartFormat>
    <chartFormat chart="0" format="125">
      <pivotArea type="data" outline="0" fieldPosition="0">
        <references count="3">
          <reference field="4294967294" count="1" selected="0">
            <x v="0"/>
          </reference>
          <reference field="0" count="1" selected="0">
            <x v="3"/>
          </reference>
          <reference field="16" count="1" selected="0">
            <x v="7"/>
          </reference>
        </references>
      </pivotArea>
    </chartFormat>
    <chartFormat chart="9" format="141" series="1">
      <pivotArea type="data" outline="0" fieldPosition="0">
        <references count="2">
          <reference field="4294967294" count="1" selected="0">
            <x v="0"/>
          </reference>
          <reference field="16" count="1" selected="0">
            <x v="3"/>
          </reference>
        </references>
      </pivotArea>
    </chartFormat>
    <chartFormat chart="9" format="142">
      <pivotArea type="data" outline="0" fieldPosition="0">
        <references count="3">
          <reference field="4294967294" count="1" selected="0">
            <x v="0"/>
          </reference>
          <reference field="0" count="1" selected="0">
            <x v="0"/>
          </reference>
          <reference field="16" count="1" selected="0">
            <x v="3"/>
          </reference>
        </references>
      </pivotArea>
    </chartFormat>
    <chartFormat chart="9" format="143">
      <pivotArea type="data" outline="0" fieldPosition="0">
        <references count="3">
          <reference field="4294967294" count="1" selected="0">
            <x v="0"/>
          </reference>
          <reference field="0" count="1" selected="0">
            <x v="1"/>
          </reference>
          <reference field="16" count="1" selected="0">
            <x v="3"/>
          </reference>
        </references>
      </pivotArea>
    </chartFormat>
    <chartFormat chart="9" format="144">
      <pivotArea type="data" outline="0" fieldPosition="0">
        <references count="3">
          <reference field="4294967294" count="1" selected="0">
            <x v="0"/>
          </reference>
          <reference field="0" count="1" selected="0">
            <x v="2"/>
          </reference>
          <reference field="16" count="1" selected="0">
            <x v="3"/>
          </reference>
        </references>
      </pivotArea>
    </chartFormat>
    <chartFormat chart="9" format="145">
      <pivotArea type="data" outline="0" fieldPosition="0">
        <references count="3">
          <reference field="4294967294" count="1" selected="0">
            <x v="0"/>
          </reference>
          <reference field="0" count="1" selected="0">
            <x v="3"/>
          </reference>
          <reference field="16" count="1" selected="0">
            <x v="3"/>
          </reference>
        </references>
      </pivotArea>
    </chartFormat>
    <chartFormat chart="9" format="146" series="1">
      <pivotArea type="data" outline="0" fieldPosition="0">
        <references count="2">
          <reference field="4294967294" count="1" selected="0">
            <x v="0"/>
          </reference>
          <reference field="16" count="1" selected="0">
            <x v="6"/>
          </reference>
        </references>
      </pivotArea>
    </chartFormat>
    <chartFormat chart="9" format="147">
      <pivotArea type="data" outline="0" fieldPosition="0">
        <references count="3">
          <reference field="4294967294" count="1" selected="0">
            <x v="0"/>
          </reference>
          <reference field="0" count="1" selected="0">
            <x v="0"/>
          </reference>
          <reference field="16" count="1" selected="0">
            <x v="6"/>
          </reference>
        </references>
      </pivotArea>
    </chartFormat>
    <chartFormat chart="9" format="148">
      <pivotArea type="data" outline="0" fieldPosition="0">
        <references count="3">
          <reference field="4294967294" count="1" selected="0">
            <x v="0"/>
          </reference>
          <reference field="0" count="1" selected="0">
            <x v="1"/>
          </reference>
          <reference field="16" count="1" selected="0">
            <x v="6"/>
          </reference>
        </references>
      </pivotArea>
    </chartFormat>
    <chartFormat chart="9" format="149">
      <pivotArea type="data" outline="0" fieldPosition="0">
        <references count="3">
          <reference field="4294967294" count="1" selected="0">
            <x v="0"/>
          </reference>
          <reference field="0" count="1" selected="0">
            <x v="2"/>
          </reference>
          <reference field="16" count="1" selected="0">
            <x v="6"/>
          </reference>
        </references>
      </pivotArea>
    </chartFormat>
    <chartFormat chart="9" format="150">
      <pivotArea type="data" outline="0" fieldPosition="0">
        <references count="3">
          <reference field="4294967294" count="1" selected="0">
            <x v="0"/>
          </reference>
          <reference field="0" count="1" selected="0">
            <x v="3"/>
          </reference>
          <reference field="16" count="1" selected="0">
            <x v="6"/>
          </reference>
        </references>
      </pivotArea>
    </chartFormat>
    <chartFormat chart="9" format="151" series="1">
      <pivotArea type="data" outline="0" fieldPosition="0">
        <references count="2">
          <reference field="4294967294" count="1" selected="0">
            <x v="0"/>
          </reference>
          <reference field="16" count="1" selected="0">
            <x v="7"/>
          </reference>
        </references>
      </pivotArea>
    </chartFormat>
    <chartFormat chart="9" format="152">
      <pivotArea type="data" outline="0" fieldPosition="0">
        <references count="3">
          <reference field="4294967294" count="1" selected="0">
            <x v="0"/>
          </reference>
          <reference field="0" count="1" selected="0">
            <x v="0"/>
          </reference>
          <reference field="16" count="1" selected="0">
            <x v="7"/>
          </reference>
        </references>
      </pivotArea>
    </chartFormat>
    <chartFormat chart="9" format="153">
      <pivotArea type="data" outline="0" fieldPosition="0">
        <references count="3">
          <reference field="4294967294" count="1" selected="0">
            <x v="0"/>
          </reference>
          <reference field="0" count="1" selected="0">
            <x v="1"/>
          </reference>
          <reference field="16" count="1" selected="0">
            <x v="7"/>
          </reference>
        </references>
      </pivotArea>
    </chartFormat>
    <chartFormat chart="9" format="154">
      <pivotArea type="data" outline="0" fieldPosition="0">
        <references count="3">
          <reference field="4294967294" count="1" selected="0">
            <x v="0"/>
          </reference>
          <reference field="0" count="1" selected="0">
            <x v="2"/>
          </reference>
          <reference field="16" count="1" selected="0">
            <x v="7"/>
          </reference>
        </references>
      </pivotArea>
    </chartFormat>
    <chartFormat chart="9" format="155">
      <pivotArea type="data" outline="0" fieldPosition="0">
        <references count="3">
          <reference field="4294967294" count="1" selected="0">
            <x v="0"/>
          </reference>
          <reference field="0" count="1" selected="0">
            <x v="3"/>
          </reference>
          <reference field="16" count="1" selected="0">
            <x v="7"/>
          </reference>
        </references>
      </pivotArea>
    </chartFormat>
    <chartFormat chart="10" format="0" series="1">
      <pivotArea type="data" outline="0" fieldPosition="0">
        <references count="2">
          <reference field="4294967294" count="1" selected="0">
            <x v="0"/>
          </reference>
          <reference field="16" count="1" selected="0">
            <x v="3"/>
          </reference>
        </references>
      </pivotArea>
    </chartFormat>
    <chartFormat chart="10" format="1" series="1">
      <pivotArea type="data" outline="0" fieldPosition="0">
        <references count="2">
          <reference field="4294967294" count="1" selected="0">
            <x v="0"/>
          </reference>
          <reference field="16" count="1" selected="0">
            <x v="6"/>
          </reference>
        </references>
      </pivotArea>
    </chartFormat>
    <chartFormat chart="10" format="2" series="1">
      <pivotArea type="data" outline="0" fieldPosition="0">
        <references count="2">
          <reference field="4294967294" count="1" selected="0">
            <x v="0"/>
          </reference>
          <reference field="16" count="1" selected="0">
            <x v="7"/>
          </reference>
        </references>
      </pivotArea>
    </chartFormat>
    <chartFormat chart="12" format="0" series="1">
      <pivotArea type="data" outline="0" fieldPosition="0">
        <references count="2">
          <reference field="4294967294" count="1" selected="0">
            <x v="0"/>
          </reference>
          <reference field="16" count="1" selected="0">
            <x v="3"/>
          </reference>
        </references>
      </pivotArea>
    </chartFormat>
    <chartFormat chart="12" format="1" series="1">
      <pivotArea type="data" outline="0" fieldPosition="0">
        <references count="2">
          <reference field="4294967294" count="1" selected="0">
            <x v="0"/>
          </reference>
          <reference field="16" count="1" selected="0">
            <x v="6"/>
          </reference>
        </references>
      </pivotArea>
    </chartFormat>
    <chartFormat chart="12" format="2" series="1">
      <pivotArea type="data" outline="0" fieldPosition="0">
        <references count="2">
          <reference field="4294967294" count="1" selected="0">
            <x v="0"/>
          </reference>
          <reference field="16" count="1" selected="0">
            <x v="7"/>
          </reference>
        </references>
      </pivotArea>
    </chartFormat>
    <chartFormat chart="12" format="3" series="1">
      <pivotArea type="data" outline="0" fieldPosition="0">
        <references count="1">
          <reference field="4294967294" count="1" selected="0">
            <x v="0"/>
          </reference>
        </references>
      </pivotArea>
    </chartFormat>
    <chartFormat chart="10" format="3" series="1">
      <pivotArea type="data" outline="0" fieldPosition="0">
        <references count="1">
          <reference field="4294967294" count="1" selected="0">
            <x v="0"/>
          </reference>
        </references>
      </pivotArea>
    </chartFormat>
    <chartFormat chart="9" format="156" series="1">
      <pivotArea type="data" outline="0" fieldPosition="0">
        <references count="1">
          <reference field="4294967294" count="1" selected="0">
            <x v="0"/>
          </reference>
        </references>
      </pivotArea>
    </chartFormat>
    <chartFormat chart="5" format="111" series="1">
      <pivotArea type="data" outline="0" fieldPosition="0">
        <references count="1">
          <reference field="4294967294" count="1" selected="0">
            <x v="0"/>
          </reference>
        </references>
      </pivotArea>
    </chartFormat>
    <chartFormat chart="0" format="126" series="1">
      <pivotArea type="data" outline="0" fieldPosition="0">
        <references count="1">
          <reference field="4294967294" count="1" selected="0">
            <x v="0"/>
          </reference>
        </references>
      </pivotArea>
    </chartFormat>
  </chartFormat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2C097DD-152A-F344-B7F4-8C02168FCBF3}" name="PivotTable15" cacheId="6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location ref="O38:Q44" firstHeaderRow="1" firstDataRow="2" firstDataCol="1" rowPageCount="1" colPageCount="1"/>
  <pivotFields count="20">
    <pivotField axis="axisRow" showAll="0">
      <items count="5">
        <item x="1"/>
        <item x="3"/>
        <item x="2"/>
        <item x="0"/>
        <item t="default"/>
      </items>
    </pivotField>
    <pivotField showAll="0"/>
    <pivotField showAll="0"/>
    <pivotField showAll="0"/>
    <pivotField showAll="0"/>
    <pivotField showAll="0"/>
    <pivotField showAll="0"/>
    <pivotField showAll="0"/>
    <pivotField showAll="0"/>
    <pivotField showAll="0">
      <items count="2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t="default"/>
      </items>
    </pivotField>
    <pivotField showAll="0"/>
    <pivotField showAll="0"/>
    <pivotField showAll="0"/>
    <pivotField dataField="1" showAll="0"/>
    <pivotField showAll="0"/>
    <pivotField axis="axisPage" multipleItemSelectionAllowed="1" showAll="0">
      <items count="3">
        <item h="1" x="0"/>
        <item x="1"/>
        <item t="default"/>
      </items>
    </pivotField>
    <pivotField axis="axisCol" showAll="0">
      <items count="12">
        <item h="1" x="0"/>
        <item h="1" x="2"/>
        <item h="1" x="4"/>
        <item h="1" x="5"/>
        <item h="1" x="1"/>
        <item h="1" x="3"/>
        <item x="6"/>
        <item h="1" x="7"/>
        <item h="1" x="8"/>
        <item h="1" x="9"/>
        <item h="1" x="10"/>
        <item t="default"/>
      </items>
    </pivotField>
    <pivotField showAll="0" defaultSubtotal="0"/>
    <pivotField showAll="0" defaultSubtotal="0"/>
    <pivotField showAll="0" defaultSubtotal="0">
      <items count="13">
        <item x="0"/>
        <item x="1"/>
        <item x="2"/>
        <item x="3"/>
        <item x="4"/>
        <item x="5"/>
        <item x="6"/>
        <item x="7"/>
        <item x="8"/>
        <item x="9"/>
        <item x="10"/>
        <item x="11"/>
        <item x="12"/>
      </items>
    </pivotField>
  </pivotFields>
  <rowFields count="1">
    <field x="0"/>
  </rowFields>
  <rowItems count="5">
    <i>
      <x/>
    </i>
    <i>
      <x v="1"/>
    </i>
    <i>
      <x v="2"/>
    </i>
    <i>
      <x v="3"/>
    </i>
    <i t="grand">
      <x/>
    </i>
  </rowItems>
  <colFields count="1">
    <field x="16"/>
  </colFields>
  <colItems count="2">
    <i>
      <x v="6"/>
    </i>
    <i t="grand">
      <x/>
    </i>
  </colItems>
  <pageFields count="1">
    <pageField fld="15" hier="-1"/>
  </pageFields>
  <dataFields count="1">
    <dataField name="Sum of U.S. viewers(millions)" fld="13" baseField="0" baseItem="0"/>
  </dataFields>
  <chartFormats count="56">
    <chartFormat chart="5" format="96" series="1">
      <pivotArea type="data" outline="0" fieldPosition="0">
        <references count="2">
          <reference field="4294967294" count="1" selected="0">
            <x v="0"/>
          </reference>
          <reference field="16" count="1" selected="0">
            <x v="3"/>
          </reference>
        </references>
      </pivotArea>
    </chartFormat>
    <chartFormat chart="5" format="97">
      <pivotArea type="data" outline="0" fieldPosition="0">
        <references count="3">
          <reference field="4294967294" count="1" selected="0">
            <x v="0"/>
          </reference>
          <reference field="0" count="1" selected="0">
            <x v="0"/>
          </reference>
          <reference field="16" count="1" selected="0">
            <x v="3"/>
          </reference>
        </references>
      </pivotArea>
    </chartFormat>
    <chartFormat chart="5" format="98">
      <pivotArea type="data" outline="0" fieldPosition="0">
        <references count="3">
          <reference field="4294967294" count="1" selected="0">
            <x v="0"/>
          </reference>
          <reference field="0" count="1" selected="0">
            <x v="1"/>
          </reference>
          <reference field="16" count="1" selected="0">
            <x v="3"/>
          </reference>
        </references>
      </pivotArea>
    </chartFormat>
    <chartFormat chart="5" format="99">
      <pivotArea type="data" outline="0" fieldPosition="0">
        <references count="3">
          <reference field="4294967294" count="1" selected="0">
            <x v="0"/>
          </reference>
          <reference field="0" count="1" selected="0">
            <x v="2"/>
          </reference>
          <reference field="16" count="1" selected="0">
            <x v="3"/>
          </reference>
        </references>
      </pivotArea>
    </chartFormat>
    <chartFormat chart="5" format="100">
      <pivotArea type="data" outline="0" fieldPosition="0">
        <references count="3">
          <reference field="4294967294" count="1" selected="0">
            <x v="0"/>
          </reference>
          <reference field="0" count="1" selected="0">
            <x v="3"/>
          </reference>
          <reference field="16" count="1" selected="0">
            <x v="3"/>
          </reference>
        </references>
      </pivotArea>
    </chartFormat>
    <chartFormat chart="5" format="101" series="1">
      <pivotArea type="data" outline="0" fieldPosition="0">
        <references count="2">
          <reference field="4294967294" count="1" selected="0">
            <x v="0"/>
          </reference>
          <reference field="16" count="1" selected="0">
            <x v="6"/>
          </reference>
        </references>
      </pivotArea>
    </chartFormat>
    <chartFormat chart="5" format="102">
      <pivotArea type="data" outline="0" fieldPosition="0">
        <references count="3">
          <reference field="4294967294" count="1" selected="0">
            <x v="0"/>
          </reference>
          <reference field="0" count="1" selected="0">
            <x v="0"/>
          </reference>
          <reference field="16" count="1" selected="0">
            <x v="6"/>
          </reference>
        </references>
      </pivotArea>
    </chartFormat>
    <chartFormat chart="5" format="103">
      <pivotArea type="data" outline="0" fieldPosition="0">
        <references count="3">
          <reference field="4294967294" count="1" selected="0">
            <x v="0"/>
          </reference>
          <reference field="0" count="1" selected="0">
            <x v="1"/>
          </reference>
          <reference field="16" count="1" selected="0">
            <x v="6"/>
          </reference>
        </references>
      </pivotArea>
    </chartFormat>
    <chartFormat chart="5" format="104">
      <pivotArea type="data" outline="0" fieldPosition="0">
        <references count="3">
          <reference field="4294967294" count="1" selected="0">
            <x v="0"/>
          </reference>
          <reference field="0" count="1" selected="0">
            <x v="2"/>
          </reference>
          <reference field="16" count="1" selected="0">
            <x v="6"/>
          </reference>
        </references>
      </pivotArea>
    </chartFormat>
    <chartFormat chart="5" format="105">
      <pivotArea type="data" outline="0" fieldPosition="0">
        <references count="3">
          <reference field="4294967294" count="1" selected="0">
            <x v="0"/>
          </reference>
          <reference field="0" count="1" selected="0">
            <x v="3"/>
          </reference>
          <reference field="16" count="1" selected="0">
            <x v="6"/>
          </reference>
        </references>
      </pivotArea>
    </chartFormat>
    <chartFormat chart="5" format="106" series="1">
      <pivotArea type="data" outline="0" fieldPosition="0">
        <references count="2">
          <reference field="4294967294" count="1" selected="0">
            <x v="0"/>
          </reference>
          <reference field="16" count="1" selected="0">
            <x v="7"/>
          </reference>
        </references>
      </pivotArea>
    </chartFormat>
    <chartFormat chart="5" format="107">
      <pivotArea type="data" outline="0" fieldPosition="0">
        <references count="3">
          <reference field="4294967294" count="1" selected="0">
            <x v="0"/>
          </reference>
          <reference field="0" count="1" selected="0">
            <x v="0"/>
          </reference>
          <reference field="16" count="1" selected="0">
            <x v="7"/>
          </reference>
        </references>
      </pivotArea>
    </chartFormat>
    <chartFormat chart="5" format="108">
      <pivotArea type="data" outline="0" fieldPosition="0">
        <references count="3">
          <reference field="4294967294" count="1" selected="0">
            <x v="0"/>
          </reference>
          <reference field="0" count="1" selected="0">
            <x v="1"/>
          </reference>
          <reference field="16" count="1" selected="0">
            <x v="7"/>
          </reference>
        </references>
      </pivotArea>
    </chartFormat>
    <chartFormat chart="5" format="109">
      <pivotArea type="data" outline="0" fieldPosition="0">
        <references count="3">
          <reference field="4294967294" count="1" selected="0">
            <x v="0"/>
          </reference>
          <reference field="0" count="1" selected="0">
            <x v="2"/>
          </reference>
          <reference field="16" count="1" selected="0">
            <x v="7"/>
          </reference>
        </references>
      </pivotArea>
    </chartFormat>
    <chartFormat chart="5" format="110">
      <pivotArea type="data" outline="0" fieldPosition="0">
        <references count="3">
          <reference field="4294967294" count="1" selected="0">
            <x v="0"/>
          </reference>
          <reference field="0" count="1" selected="0">
            <x v="3"/>
          </reference>
          <reference field="16" count="1" selected="0">
            <x v="7"/>
          </reference>
        </references>
      </pivotArea>
    </chartFormat>
    <chartFormat chart="0" format="111" series="1">
      <pivotArea type="data" outline="0" fieldPosition="0">
        <references count="2">
          <reference field="4294967294" count="1" selected="0">
            <x v="0"/>
          </reference>
          <reference field="16" count="1" selected="0">
            <x v="3"/>
          </reference>
        </references>
      </pivotArea>
    </chartFormat>
    <chartFormat chart="0" format="112">
      <pivotArea type="data" outline="0" fieldPosition="0">
        <references count="3">
          <reference field="4294967294" count="1" selected="0">
            <x v="0"/>
          </reference>
          <reference field="0" count="1" selected="0">
            <x v="0"/>
          </reference>
          <reference field="16" count="1" selected="0">
            <x v="3"/>
          </reference>
        </references>
      </pivotArea>
    </chartFormat>
    <chartFormat chart="0" format="113">
      <pivotArea type="data" outline="0" fieldPosition="0">
        <references count="3">
          <reference field="4294967294" count="1" selected="0">
            <x v="0"/>
          </reference>
          <reference field="0" count="1" selected="0">
            <x v="1"/>
          </reference>
          <reference field="16" count="1" selected="0">
            <x v="3"/>
          </reference>
        </references>
      </pivotArea>
    </chartFormat>
    <chartFormat chart="0" format="114">
      <pivotArea type="data" outline="0" fieldPosition="0">
        <references count="3">
          <reference field="4294967294" count="1" selected="0">
            <x v="0"/>
          </reference>
          <reference field="0" count="1" selected="0">
            <x v="2"/>
          </reference>
          <reference field="16" count="1" selected="0">
            <x v="3"/>
          </reference>
        </references>
      </pivotArea>
    </chartFormat>
    <chartFormat chart="0" format="115">
      <pivotArea type="data" outline="0" fieldPosition="0">
        <references count="3">
          <reference field="4294967294" count="1" selected="0">
            <x v="0"/>
          </reference>
          <reference field="0" count="1" selected="0">
            <x v="3"/>
          </reference>
          <reference field="16" count="1" selected="0">
            <x v="3"/>
          </reference>
        </references>
      </pivotArea>
    </chartFormat>
    <chartFormat chart="0" format="116" series="1">
      <pivotArea type="data" outline="0" fieldPosition="0">
        <references count="2">
          <reference field="4294967294" count="1" selected="0">
            <x v="0"/>
          </reference>
          <reference field="16" count="1" selected="0">
            <x v="6"/>
          </reference>
        </references>
      </pivotArea>
    </chartFormat>
    <chartFormat chart="0" format="121" series="1">
      <pivotArea type="data" outline="0" fieldPosition="0">
        <references count="2">
          <reference field="4294967294" count="1" selected="0">
            <x v="0"/>
          </reference>
          <reference field="16" count="1" selected="0">
            <x v="7"/>
          </reference>
        </references>
      </pivotArea>
    </chartFormat>
    <chartFormat chart="0" format="122">
      <pivotArea type="data" outline="0" fieldPosition="0">
        <references count="3">
          <reference field="4294967294" count="1" selected="0">
            <x v="0"/>
          </reference>
          <reference field="0" count="1" selected="0">
            <x v="0"/>
          </reference>
          <reference field="16" count="1" selected="0">
            <x v="7"/>
          </reference>
        </references>
      </pivotArea>
    </chartFormat>
    <chartFormat chart="0" format="123">
      <pivotArea type="data" outline="0" fieldPosition="0">
        <references count="3">
          <reference field="4294967294" count="1" selected="0">
            <x v="0"/>
          </reference>
          <reference field="0" count="1" selected="0">
            <x v="1"/>
          </reference>
          <reference field="16" count="1" selected="0">
            <x v="7"/>
          </reference>
        </references>
      </pivotArea>
    </chartFormat>
    <chartFormat chart="0" format="124">
      <pivotArea type="data" outline="0" fieldPosition="0">
        <references count="3">
          <reference field="4294967294" count="1" selected="0">
            <x v="0"/>
          </reference>
          <reference field="0" count="1" selected="0">
            <x v="2"/>
          </reference>
          <reference field="16" count="1" selected="0">
            <x v="7"/>
          </reference>
        </references>
      </pivotArea>
    </chartFormat>
    <chartFormat chart="0" format="125">
      <pivotArea type="data" outline="0" fieldPosition="0">
        <references count="3">
          <reference field="4294967294" count="1" selected="0">
            <x v="0"/>
          </reference>
          <reference field="0" count="1" selected="0">
            <x v="3"/>
          </reference>
          <reference field="16" count="1" selected="0">
            <x v="7"/>
          </reference>
        </references>
      </pivotArea>
    </chartFormat>
    <chartFormat chart="9" format="141" series="1">
      <pivotArea type="data" outline="0" fieldPosition="0">
        <references count="2">
          <reference field="4294967294" count="1" selected="0">
            <x v="0"/>
          </reference>
          <reference field="16" count="1" selected="0">
            <x v="3"/>
          </reference>
        </references>
      </pivotArea>
    </chartFormat>
    <chartFormat chart="9" format="142">
      <pivotArea type="data" outline="0" fieldPosition="0">
        <references count="3">
          <reference field="4294967294" count="1" selected="0">
            <x v="0"/>
          </reference>
          <reference field="0" count="1" selected="0">
            <x v="0"/>
          </reference>
          <reference field="16" count="1" selected="0">
            <x v="3"/>
          </reference>
        </references>
      </pivotArea>
    </chartFormat>
    <chartFormat chart="9" format="143">
      <pivotArea type="data" outline="0" fieldPosition="0">
        <references count="3">
          <reference field="4294967294" count="1" selected="0">
            <x v="0"/>
          </reference>
          <reference field="0" count="1" selected="0">
            <x v="1"/>
          </reference>
          <reference field="16" count="1" selected="0">
            <x v="3"/>
          </reference>
        </references>
      </pivotArea>
    </chartFormat>
    <chartFormat chart="9" format="144">
      <pivotArea type="data" outline="0" fieldPosition="0">
        <references count="3">
          <reference field="4294967294" count="1" selected="0">
            <x v="0"/>
          </reference>
          <reference field="0" count="1" selected="0">
            <x v="2"/>
          </reference>
          <reference field="16" count="1" selected="0">
            <x v="3"/>
          </reference>
        </references>
      </pivotArea>
    </chartFormat>
    <chartFormat chart="9" format="145">
      <pivotArea type="data" outline="0" fieldPosition="0">
        <references count="3">
          <reference field="4294967294" count="1" selected="0">
            <x v="0"/>
          </reference>
          <reference field="0" count="1" selected="0">
            <x v="3"/>
          </reference>
          <reference field="16" count="1" selected="0">
            <x v="3"/>
          </reference>
        </references>
      </pivotArea>
    </chartFormat>
    <chartFormat chart="9" format="146" series="1">
      <pivotArea type="data" outline="0" fieldPosition="0">
        <references count="2">
          <reference field="4294967294" count="1" selected="0">
            <x v="0"/>
          </reference>
          <reference field="16" count="1" selected="0">
            <x v="6"/>
          </reference>
        </references>
      </pivotArea>
    </chartFormat>
    <chartFormat chart="9" format="147">
      <pivotArea type="data" outline="0" fieldPosition="0">
        <references count="3">
          <reference field="4294967294" count="1" selected="0">
            <x v="0"/>
          </reference>
          <reference field="0" count="1" selected="0">
            <x v="0"/>
          </reference>
          <reference field="16" count="1" selected="0">
            <x v="6"/>
          </reference>
        </references>
      </pivotArea>
    </chartFormat>
    <chartFormat chart="9" format="148">
      <pivotArea type="data" outline="0" fieldPosition="0">
        <references count="3">
          <reference field="4294967294" count="1" selected="0">
            <x v="0"/>
          </reference>
          <reference field="0" count="1" selected="0">
            <x v="1"/>
          </reference>
          <reference field="16" count="1" selected="0">
            <x v="6"/>
          </reference>
        </references>
      </pivotArea>
    </chartFormat>
    <chartFormat chart="9" format="149">
      <pivotArea type="data" outline="0" fieldPosition="0">
        <references count="3">
          <reference field="4294967294" count="1" selected="0">
            <x v="0"/>
          </reference>
          <reference field="0" count="1" selected="0">
            <x v="2"/>
          </reference>
          <reference field="16" count="1" selected="0">
            <x v="6"/>
          </reference>
        </references>
      </pivotArea>
    </chartFormat>
    <chartFormat chart="9" format="150">
      <pivotArea type="data" outline="0" fieldPosition="0">
        <references count="3">
          <reference field="4294967294" count="1" selected="0">
            <x v="0"/>
          </reference>
          <reference field="0" count="1" selected="0">
            <x v="3"/>
          </reference>
          <reference field="16" count="1" selected="0">
            <x v="6"/>
          </reference>
        </references>
      </pivotArea>
    </chartFormat>
    <chartFormat chart="9" format="151" series="1">
      <pivotArea type="data" outline="0" fieldPosition="0">
        <references count="2">
          <reference field="4294967294" count="1" selected="0">
            <x v="0"/>
          </reference>
          <reference field="16" count="1" selected="0">
            <x v="7"/>
          </reference>
        </references>
      </pivotArea>
    </chartFormat>
    <chartFormat chart="9" format="152">
      <pivotArea type="data" outline="0" fieldPosition="0">
        <references count="3">
          <reference field="4294967294" count="1" selected="0">
            <x v="0"/>
          </reference>
          <reference field="0" count="1" selected="0">
            <x v="0"/>
          </reference>
          <reference field="16" count="1" selected="0">
            <x v="7"/>
          </reference>
        </references>
      </pivotArea>
    </chartFormat>
    <chartFormat chart="9" format="153">
      <pivotArea type="data" outline="0" fieldPosition="0">
        <references count="3">
          <reference field="4294967294" count="1" selected="0">
            <x v="0"/>
          </reference>
          <reference field="0" count="1" selected="0">
            <x v="1"/>
          </reference>
          <reference field="16" count="1" selected="0">
            <x v="7"/>
          </reference>
        </references>
      </pivotArea>
    </chartFormat>
    <chartFormat chart="9" format="154">
      <pivotArea type="data" outline="0" fieldPosition="0">
        <references count="3">
          <reference field="4294967294" count="1" selected="0">
            <x v="0"/>
          </reference>
          <reference field="0" count="1" selected="0">
            <x v="2"/>
          </reference>
          <reference field="16" count="1" selected="0">
            <x v="7"/>
          </reference>
        </references>
      </pivotArea>
    </chartFormat>
    <chartFormat chart="9" format="155">
      <pivotArea type="data" outline="0" fieldPosition="0">
        <references count="3">
          <reference field="4294967294" count="1" selected="0">
            <x v="0"/>
          </reference>
          <reference field="0" count="1" selected="0">
            <x v="3"/>
          </reference>
          <reference field="16" count="1" selected="0">
            <x v="7"/>
          </reference>
        </references>
      </pivotArea>
    </chartFormat>
    <chartFormat chart="10" format="0" series="1">
      <pivotArea type="data" outline="0" fieldPosition="0">
        <references count="2">
          <reference field="4294967294" count="1" selected="0">
            <x v="0"/>
          </reference>
          <reference field="16" count="1" selected="0">
            <x v="3"/>
          </reference>
        </references>
      </pivotArea>
    </chartFormat>
    <chartFormat chart="10" format="1" series="1">
      <pivotArea type="data" outline="0" fieldPosition="0">
        <references count="2">
          <reference field="4294967294" count="1" selected="0">
            <x v="0"/>
          </reference>
          <reference field="16" count="1" selected="0">
            <x v="6"/>
          </reference>
        </references>
      </pivotArea>
    </chartFormat>
    <chartFormat chart="10" format="2" series="1">
      <pivotArea type="data" outline="0" fieldPosition="0">
        <references count="2">
          <reference field="4294967294" count="1" selected="0">
            <x v="0"/>
          </reference>
          <reference field="16" count="1" selected="0">
            <x v="7"/>
          </reference>
        </references>
      </pivotArea>
    </chartFormat>
    <chartFormat chart="12" format="0" series="1">
      <pivotArea type="data" outline="0" fieldPosition="0">
        <references count="2">
          <reference field="4294967294" count="1" selected="0">
            <x v="0"/>
          </reference>
          <reference field="16" count="1" selected="0">
            <x v="3"/>
          </reference>
        </references>
      </pivotArea>
    </chartFormat>
    <chartFormat chart="12" format="1" series="1">
      <pivotArea type="data" outline="0" fieldPosition="0">
        <references count="2">
          <reference field="4294967294" count="1" selected="0">
            <x v="0"/>
          </reference>
          <reference field="16" count="1" selected="0">
            <x v="6"/>
          </reference>
        </references>
      </pivotArea>
    </chartFormat>
    <chartFormat chart="12" format="2" series="1">
      <pivotArea type="data" outline="0" fieldPosition="0">
        <references count="2">
          <reference field="4294967294" count="1" selected="0">
            <x v="0"/>
          </reference>
          <reference field="16" count="1" selected="0">
            <x v="7"/>
          </reference>
        </references>
      </pivotArea>
    </chartFormat>
    <chartFormat chart="17" format="0" series="1">
      <pivotArea type="data" outline="0" fieldPosition="0">
        <references count="2">
          <reference field="4294967294" count="1" selected="0">
            <x v="0"/>
          </reference>
          <reference field="16" count="1" selected="0">
            <x v="6"/>
          </reference>
        </references>
      </pivotArea>
    </chartFormat>
    <chartFormat chart="17" format="1">
      <pivotArea type="data" outline="0" fieldPosition="0">
        <references count="3">
          <reference field="4294967294" count="1" selected="0">
            <x v="0"/>
          </reference>
          <reference field="0" count="1" selected="0">
            <x v="0"/>
          </reference>
          <reference field="16" count="1" selected="0">
            <x v="6"/>
          </reference>
        </references>
      </pivotArea>
    </chartFormat>
    <chartFormat chart="17" format="2">
      <pivotArea type="data" outline="0" fieldPosition="0">
        <references count="3">
          <reference field="4294967294" count="1" selected="0">
            <x v="0"/>
          </reference>
          <reference field="0" count="1" selected="0">
            <x v="2"/>
          </reference>
          <reference field="16" count="1" selected="0">
            <x v="6"/>
          </reference>
        </references>
      </pivotArea>
    </chartFormat>
    <chartFormat chart="17" format="3">
      <pivotArea type="data" outline="0" fieldPosition="0">
        <references count="3">
          <reference field="4294967294" count="1" selected="0">
            <x v="0"/>
          </reference>
          <reference field="0" count="1" selected="0">
            <x v="3"/>
          </reference>
          <reference field="16" count="1" selected="0">
            <x v="6"/>
          </reference>
        </references>
      </pivotArea>
    </chartFormat>
    <chartFormat chart="17" format="4">
      <pivotArea type="data" outline="0" fieldPosition="0">
        <references count="3">
          <reference field="4294967294" count="1" selected="0">
            <x v="0"/>
          </reference>
          <reference field="0" count="1" selected="0">
            <x v="1"/>
          </reference>
          <reference field="16" count="1" selected="0">
            <x v="6"/>
          </reference>
        </references>
      </pivotArea>
    </chartFormat>
    <chartFormat chart="20" format="0" series="1">
      <pivotArea type="data" outline="0" fieldPosition="0">
        <references count="2">
          <reference field="4294967294" count="1" selected="0">
            <x v="0"/>
          </reference>
          <reference field="16" count="1" selected="0">
            <x v="6"/>
          </reference>
        </references>
      </pivotArea>
    </chartFormat>
    <chartFormat chart="20" format="1">
      <pivotArea type="data" outline="0" fieldPosition="0">
        <references count="3">
          <reference field="4294967294" count="1" selected="0">
            <x v="0"/>
          </reference>
          <reference field="0" count="1" selected="0">
            <x v="3"/>
          </reference>
          <reference field="16" count="1" selected="0">
            <x v="6"/>
          </reference>
        </references>
      </pivotArea>
    </chartFormat>
    <chartFormat chart="20" format="2">
      <pivotArea type="data" outline="0" fieldPosition="0">
        <references count="3">
          <reference field="4294967294" count="1" selected="0">
            <x v="0"/>
          </reference>
          <reference field="0" count="1" selected="0">
            <x v="0"/>
          </reference>
          <reference field="16" count="1" selected="0">
            <x v="6"/>
          </reference>
        </references>
      </pivotArea>
    </chartFormat>
    <chartFormat chart="20" format="3">
      <pivotArea type="data" outline="0" fieldPosition="0">
        <references count="3">
          <reference field="4294967294" count="1" selected="0">
            <x v="0"/>
          </reference>
          <reference field="0" count="1" selected="0">
            <x v="2"/>
          </reference>
          <reference field="16" count="1" selected="0">
            <x v="6"/>
          </reference>
        </references>
      </pivotArea>
    </chartFormat>
  </chartFormat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00B16D5-ABD0-5D49-BE98-F18209C33205}" name="PivotTable14" cacheId="6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O27:Q33" firstHeaderRow="1" firstDataRow="2" firstDataCol="1" rowPageCount="1" colPageCount="1"/>
  <pivotFields count="20">
    <pivotField axis="axisRow" showAll="0">
      <items count="5">
        <item x="1"/>
        <item x="3"/>
        <item x="2"/>
        <item x="0"/>
        <item t="default"/>
      </items>
    </pivotField>
    <pivotField showAll="0"/>
    <pivotField showAll="0"/>
    <pivotField showAll="0"/>
    <pivotField showAll="0"/>
    <pivotField showAll="0"/>
    <pivotField showAll="0"/>
    <pivotField showAll="0"/>
    <pivotField showAll="0"/>
    <pivotField showAll="0">
      <items count="2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t="default"/>
      </items>
    </pivotField>
    <pivotField showAll="0"/>
    <pivotField showAll="0"/>
    <pivotField showAll="0"/>
    <pivotField dataField="1" showAll="0"/>
    <pivotField showAll="0"/>
    <pivotField axis="axisPage" multipleItemSelectionAllowed="1" showAll="0">
      <items count="3">
        <item h="1" x="0"/>
        <item x="1"/>
        <item t="default"/>
      </items>
    </pivotField>
    <pivotField axis="axisCol" showAll="0">
      <items count="12">
        <item h="1" x="0"/>
        <item h="1" x="2"/>
        <item h="1" x="4"/>
        <item x="5"/>
        <item h="1" x="1"/>
        <item h="1" x="3"/>
        <item h="1" x="6"/>
        <item h="1" x="7"/>
        <item h="1" x="8"/>
        <item h="1" x="9"/>
        <item h="1" x="10"/>
        <item t="default"/>
      </items>
    </pivotField>
    <pivotField showAll="0" defaultSubtotal="0"/>
    <pivotField showAll="0" defaultSubtotal="0"/>
    <pivotField showAll="0" defaultSubtotal="0">
      <items count="13">
        <item x="0"/>
        <item x="1"/>
        <item x="2"/>
        <item x="3"/>
        <item x="4"/>
        <item x="5"/>
        <item x="6"/>
        <item x="7"/>
        <item x="8"/>
        <item x="9"/>
        <item x="10"/>
        <item x="11"/>
        <item x="12"/>
      </items>
    </pivotField>
  </pivotFields>
  <rowFields count="1">
    <field x="0"/>
  </rowFields>
  <rowItems count="5">
    <i>
      <x/>
    </i>
    <i>
      <x v="1"/>
    </i>
    <i>
      <x v="2"/>
    </i>
    <i>
      <x v="3"/>
    </i>
    <i t="grand">
      <x/>
    </i>
  </rowItems>
  <colFields count="1">
    <field x="16"/>
  </colFields>
  <colItems count="2">
    <i>
      <x v="3"/>
    </i>
    <i t="grand">
      <x/>
    </i>
  </colItems>
  <pageFields count="1">
    <pageField fld="15" hier="-1"/>
  </pageFields>
  <dataFields count="1">
    <dataField name="Sum of U.S. viewers(millions)" fld="13" baseField="0" baseItem="0"/>
  </dataFields>
  <chartFormats count="16">
    <chartFormat chart="0" format="111" series="1">
      <pivotArea type="data" outline="0" fieldPosition="0">
        <references count="2">
          <reference field="4294967294" count="1" selected="0">
            <x v="0"/>
          </reference>
          <reference field="16" count="1" selected="0">
            <x v="3"/>
          </reference>
        </references>
      </pivotArea>
    </chartFormat>
    <chartFormat chart="0" format="112">
      <pivotArea type="data" outline="0" fieldPosition="0">
        <references count="3">
          <reference field="4294967294" count="1" selected="0">
            <x v="0"/>
          </reference>
          <reference field="0" count="1" selected="0">
            <x v="0"/>
          </reference>
          <reference field="16" count="1" selected="0">
            <x v="3"/>
          </reference>
        </references>
      </pivotArea>
    </chartFormat>
    <chartFormat chart="0" format="113">
      <pivotArea type="data" outline="0" fieldPosition="0">
        <references count="3">
          <reference field="4294967294" count="1" selected="0">
            <x v="0"/>
          </reference>
          <reference field="0" count="1" selected="0">
            <x v="1"/>
          </reference>
          <reference field="16" count="1" selected="0">
            <x v="3"/>
          </reference>
        </references>
      </pivotArea>
    </chartFormat>
    <chartFormat chart="0" format="114">
      <pivotArea type="data" outline="0" fieldPosition="0">
        <references count="3">
          <reference field="4294967294" count="1" selected="0">
            <x v="0"/>
          </reference>
          <reference field="0" count="1" selected="0">
            <x v="2"/>
          </reference>
          <reference field="16" count="1" selected="0">
            <x v="3"/>
          </reference>
        </references>
      </pivotArea>
    </chartFormat>
    <chartFormat chart="0" format="115">
      <pivotArea type="data" outline="0" fieldPosition="0">
        <references count="3">
          <reference field="4294967294" count="1" selected="0">
            <x v="0"/>
          </reference>
          <reference field="0" count="1" selected="0">
            <x v="3"/>
          </reference>
          <reference field="16" count="1" selected="0">
            <x v="3"/>
          </reference>
        </references>
      </pivotArea>
    </chartFormat>
    <chartFormat chart="0" format="116" series="1">
      <pivotArea type="data" outline="0" fieldPosition="0">
        <references count="2">
          <reference field="4294967294" count="1" selected="0">
            <x v="0"/>
          </reference>
          <reference field="16" count="1" selected="0">
            <x v="6"/>
          </reference>
        </references>
      </pivotArea>
    </chartFormat>
    <chartFormat chart="0" format="117">
      <pivotArea type="data" outline="0" fieldPosition="0">
        <references count="3">
          <reference field="4294967294" count="1" selected="0">
            <x v="0"/>
          </reference>
          <reference field="0" count="1" selected="0">
            <x v="0"/>
          </reference>
          <reference field="16" count="1" selected="0">
            <x v="6"/>
          </reference>
        </references>
      </pivotArea>
    </chartFormat>
    <chartFormat chart="0" format="118">
      <pivotArea type="data" outline="0" fieldPosition="0">
        <references count="3">
          <reference field="4294967294" count="1" selected="0">
            <x v="0"/>
          </reference>
          <reference field="0" count="1" selected="0">
            <x v="1"/>
          </reference>
          <reference field="16" count="1" selected="0">
            <x v="6"/>
          </reference>
        </references>
      </pivotArea>
    </chartFormat>
    <chartFormat chart="0" format="119">
      <pivotArea type="data" outline="0" fieldPosition="0">
        <references count="3">
          <reference field="4294967294" count="1" selected="0">
            <x v="0"/>
          </reference>
          <reference field="0" count="1" selected="0">
            <x v="2"/>
          </reference>
          <reference field="16" count="1" selected="0">
            <x v="6"/>
          </reference>
        </references>
      </pivotArea>
    </chartFormat>
    <chartFormat chart="0" format="120">
      <pivotArea type="data" outline="0" fieldPosition="0">
        <references count="3">
          <reference field="4294967294" count="1" selected="0">
            <x v="0"/>
          </reference>
          <reference field="0" count="1" selected="0">
            <x v="3"/>
          </reference>
          <reference field="16" count="1" selected="0">
            <x v="6"/>
          </reference>
        </references>
      </pivotArea>
    </chartFormat>
    <chartFormat chart="0" format="121" series="1">
      <pivotArea type="data" outline="0" fieldPosition="0">
        <references count="2">
          <reference field="4294967294" count="1" selected="0">
            <x v="0"/>
          </reference>
          <reference field="16" count="1" selected="0">
            <x v="7"/>
          </reference>
        </references>
      </pivotArea>
    </chartFormat>
    <chartFormat chart="0" format="122">
      <pivotArea type="data" outline="0" fieldPosition="0">
        <references count="3">
          <reference field="4294967294" count="1" selected="0">
            <x v="0"/>
          </reference>
          <reference field="0" count="1" selected="0">
            <x v="0"/>
          </reference>
          <reference field="16" count="1" selected="0">
            <x v="7"/>
          </reference>
        </references>
      </pivotArea>
    </chartFormat>
    <chartFormat chart="0" format="123">
      <pivotArea type="data" outline="0" fieldPosition="0">
        <references count="3">
          <reference field="4294967294" count="1" selected="0">
            <x v="0"/>
          </reference>
          <reference field="0" count="1" selected="0">
            <x v="1"/>
          </reference>
          <reference field="16" count="1" selected="0">
            <x v="7"/>
          </reference>
        </references>
      </pivotArea>
    </chartFormat>
    <chartFormat chart="0" format="124">
      <pivotArea type="data" outline="0" fieldPosition="0">
        <references count="3">
          <reference field="4294967294" count="1" selected="0">
            <x v="0"/>
          </reference>
          <reference field="0" count="1" selected="0">
            <x v="2"/>
          </reference>
          <reference field="16" count="1" selected="0">
            <x v="7"/>
          </reference>
        </references>
      </pivotArea>
    </chartFormat>
    <chartFormat chart="0" format="125">
      <pivotArea type="data" outline="0" fieldPosition="0">
        <references count="3">
          <reference field="4294967294" count="1" selected="0">
            <x v="0"/>
          </reference>
          <reference field="0" count="1" selected="0">
            <x v="3"/>
          </reference>
          <reference field="16" count="1" selected="0">
            <x v="7"/>
          </reference>
        </references>
      </pivotArea>
    </chartFormat>
    <chartFormat chart="0" format="126" series="1">
      <pivotArea type="data" outline="0" fieldPosition="0">
        <references count="1">
          <reference field="4294967294" count="1" selected="0">
            <x v="0"/>
          </reference>
        </references>
      </pivotArea>
    </chartFormat>
  </chartFormat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4CDCACA-518D-4D44-B7D2-97C0A86DE6B0}" name="PivotTable13" cacheId="6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H16:M252" firstHeaderRow="1" firstDataRow="2" firstDataCol="1"/>
  <pivotFields count="20">
    <pivotField axis="axisCol" showAll="0">
      <items count="5">
        <item x="1"/>
        <item x="3"/>
        <item x="2"/>
        <item x="0"/>
        <item t="default"/>
      </items>
    </pivotField>
    <pivotField axis="axisRow" showAll="0">
      <items count="10">
        <item x="0"/>
        <item x="1"/>
        <item x="2"/>
        <item x="3"/>
        <item x="4"/>
        <item x="5"/>
        <item x="6"/>
        <item x="7"/>
        <item x="8"/>
        <item t="default"/>
      </items>
    </pivotField>
    <pivotField showAll="0"/>
    <pivotField showAll="0"/>
    <pivotField showAll="0"/>
    <pivotField axis="axisRow" showAll="0">
      <items count="29">
        <item x="0"/>
        <item x="1"/>
        <item x="2"/>
        <item x="3"/>
        <item x="4"/>
        <item x="5"/>
        <item x="6"/>
        <item x="7"/>
        <item x="8"/>
        <item x="9"/>
        <item x="10"/>
        <item x="11"/>
        <item x="12"/>
        <item x="13"/>
        <item x="14"/>
        <item x="15"/>
        <item x="16"/>
        <item x="17"/>
        <item x="18"/>
        <item x="19"/>
        <item x="20"/>
        <item x="21"/>
        <item x="22"/>
        <item x="23"/>
        <item x="24"/>
        <item x="25"/>
        <item x="26"/>
        <item x="27"/>
        <item t="default"/>
      </items>
    </pivotField>
    <pivotField showAll="0"/>
    <pivotField showAll="0"/>
    <pivotField showAll="0"/>
    <pivotField showAll="0">
      <items count="2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t="default"/>
      </items>
    </pivotField>
    <pivotField showAll="0"/>
    <pivotField showAll="0"/>
    <pivotField showAll="0"/>
    <pivotField dataField="1" showAll="0"/>
    <pivotField showAll="0"/>
    <pivotField showAll="0"/>
    <pivotField showAll="0"/>
    <pivotField showAll="0" defaultSubtotal="0"/>
    <pivotField showAll="0" defaultSubtotal="0"/>
    <pivotField showAll="0" defaultSubtotal="0">
      <items count="13">
        <item x="0"/>
        <item x="1"/>
        <item x="2"/>
        <item x="3"/>
        <item x="4"/>
        <item x="5"/>
        <item x="6"/>
        <item x="7"/>
        <item x="8"/>
        <item x="9"/>
        <item x="10"/>
        <item x="11"/>
        <item x="12"/>
      </items>
    </pivotField>
  </pivotFields>
  <rowFields count="2">
    <field x="1"/>
    <field x="5"/>
  </rowFields>
  <rowItems count="235">
    <i>
      <x/>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x v="1"/>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x v="2"/>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x v="3"/>
    </i>
    <i r="1">
      <x/>
    </i>
    <i r="1">
      <x v="1"/>
    </i>
    <i r="1">
      <x v="2"/>
    </i>
    <i r="1">
      <x v="3"/>
    </i>
    <i r="1">
      <x v="4"/>
    </i>
    <i r="1">
      <x v="5"/>
    </i>
    <i r="1">
      <x v="6"/>
    </i>
    <i r="1">
      <x v="7"/>
    </i>
    <i r="1">
      <x v="8"/>
    </i>
    <i r="1">
      <x v="9"/>
    </i>
    <i r="1">
      <x v="10"/>
    </i>
    <i r="1">
      <x v="11"/>
    </i>
    <i r="1">
      <x v="12"/>
    </i>
    <i r="1">
      <x v="13"/>
    </i>
    <i r="1">
      <x v="14"/>
    </i>
    <i r="1">
      <x v="15"/>
    </i>
    <i r="1">
      <x v="16"/>
    </i>
    <i r="1">
      <x v="17"/>
    </i>
    <i r="1">
      <x v="18"/>
    </i>
    <i r="1">
      <x v="19"/>
    </i>
    <i r="1">
      <x v="20"/>
    </i>
    <i r="1">
      <x v="21"/>
    </i>
    <i>
      <x v="4"/>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x v="5"/>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x v="6"/>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x v="7"/>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x v="8"/>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t="grand">
      <x/>
    </i>
  </rowItems>
  <colFields count="1">
    <field x="0"/>
  </colFields>
  <colItems count="5">
    <i>
      <x/>
    </i>
    <i>
      <x v="1"/>
    </i>
    <i>
      <x v="2"/>
    </i>
    <i>
      <x v="3"/>
    </i>
    <i t="grand">
      <x/>
    </i>
  </colItems>
  <dataFields count="1">
    <dataField name="Sum of U.S. viewers(millions)" fld="13" baseField="0" baseItem="0"/>
  </dataFields>
  <chartFormats count="4">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2"/>
          </reference>
        </references>
      </pivotArea>
    </chartFormat>
    <chartFormat chart="0" format="3" series="1">
      <pivotArea type="data" outline="0" fieldPosition="0">
        <references count="2">
          <reference field="4294967294" count="1" selected="0">
            <x v="0"/>
          </reference>
          <reference field="0" count="1" selected="0">
            <x v="3"/>
          </reference>
        </references>
      </pivotArea>
    </chartFormat>
  </chartFormats>
  <pivotTableStyleInfo name="PivotStyleLight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1E4D948-87D5-6E42-8390-1C66D1B7A4F5}" name="PivotTable12" cacheId="6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O64:W286" firstHeaderRow="1" firstDataRow="2" firstDataCol="1" rowPageCount="2" colPageCount="1"/>
  <pivotFields count="20">
    <pivotField axis="axisPage" showAll="0">
      <items count="5">
        <item x="1"/>
        <item x="3"/>
        <item x="2"/>
        <item x="0"/>
        <item t="default"/>
      </items>
    </pivotField>
    <pivotField showAll="0"/>
    <pivotField showAll="0"/>
    <pivotField showAll="0"/>
    <pivotField showAll="0"/>
    <pivotField showAll="0"/>
    <pivotField showAll="0"/>
    <pivotField showAll="0"/>
    <pivotField showAll="0"/>
    <pivotField axis="axisRow" showAll="0">
      <items count="2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t="default"/>
      </items>
    </pivotField>
    <pivotField axis="axisPage" multipleItemSelectionAllowed="1" showAll="0">
      <items count="5">
        <item h="1" x="3"/>
        <item h="1" x="1"/>
        <item h="1" x="2"/>
        <item x="0"/>
        <item t="default"/>
      </items>
    </pivotField>
    <pivotField axis="axisCol" showAll="0">
      <items count="10">
        <item x="4"/>
        <item x="8"/>
        <item x="2"/>
        <item x="1"/>
        <item x="3"/>
        <item x="0"/>
        <item x="5"/>
        <item x="6"/>
        <item x="7"/>
        <item t="default"/>
      </items>
    </pivotField>
    <pivotField showAll="0"/>
    <pivotField dataField="1" showAll="0"/>
    <pivotField showAll="0"/>
    <pivotField showAll="0"/>
    <pivotField showAll="0"/>
    <pivotField showAll="0" defaultSubtotal="0">
      <items count="14">
        <item x="0"/>
        <item x="1"/>
        <item x="2"/>
        <item x="3"/>
        <item x="4"/>
        <item x="5"/>
        <item x="6"/>
        <item x="7"/>
        <item x="8"/>
        <item x="9"/>
        <item x="10"/>
        <item x="11"/>
        <item x="12"/>
        <item x="13"/>
      </items>
    </pivotField>
    <pivotField showAll="0" defaultSubtotal="0">
      <items count="6">
        <item x="0"/>
        <item x="1"/>
        <item x="2"/>
        <item x="3"/>
        <item x="4"/>
        <item x="5"/>
      </items>
    </pivotField>
    <pivotField axis="axisRow" showAll="0" defaultSubtotal="0">
      <items count="13">
        <item x="0"/>
        <item x="1"/>
        <item x="2"/>
        <item x="3"/>
        <item x="4"/>
        <item x="5"/>
        <item x="6"/>
        <item x="7"/>
        <item x="8"/>
        <item x="9"/>
        <item x="10"/>
        <item x="11"/>
        <item x="12"/>
      </items>
    </pivotField>
  </pivotFields>
  <rowFields count="2">
    <field x="19"/>
    <field x="9"/>
  </rowFields>
  <rowItems count="221">
    <i>
      <x v="1"/>
    </i>
    <i r="1">
      <x/>
    </i>
    <i>
      <x v="2"/>
    </i>
    <i r="1">
      <x v="16"/>
    </i>
    <i r="1">
      <x v="17"/>
    </i>
    <i r="1">
      <x v="18"/>
    </i>
    <i r="1">
      <x v="19"/>
    </i>
    <i r="1">
      <x v="20"/>
    </i>
    <i r="1">
      <x v="21"/>
    </i>
    <i r="1">
      <x v="22"/>
    </i>
    <i r="1">
      <x v="23"/>
    </i>
    <i r="1">
      <x v="24"/>
    </i>
    <i r="1">
      <x v="25"/>
    </i>
    <i r="1">
      <x v="26"/>
    </i>
    <i r="1">
      <x v="27"/>
    </i>
    <i r="1">
      <x v="28"/>
    </i>
    <i r="1">
      <x v="29"/>
    </i>
    <i r="1">
      <x v="30"/>
    </i>
    <i r="1">
      <x v="32"/>
    </i>
    <i r="1">
      <x v="34"/>
    </i>
    <i r="1">
      <x v="37"/>
    </i>
    <i r="1">
      <x v="38"/>
    </i>
    <i r="1">
      <x v="39"/>
    </i>
    <i r="1">
      <x v="40"/>
    </i>
    <i r="1">
      <x v="41"/>
    </i>
    <i r="1">
      <x v="42"/>
    </i>
    <i>
      <x v="3"/>
    </i>
    <i r="1">
      <x v="43"/>
    </i>
    <i r="1">
      <x v="44"/>
    </i>
    <i r="1">
      <x v="45"/>
    </i>
    <i r="1">
      <x v="46"/>
    </i>
    <i r="1">
      <x v="47"/>
    </i>
    <i r="1">
      <x v="48"/>
    </i>
    <i r="1">
      <x v="49"/>
    </i>
    <i r="1">
      <x v="50"/>
    </i>
    <i r="1">
      <x v="51"/>
    </i>
    <i r="1">
      <x v="52"/>
    </i>
    <i r="1">
      <x v="53"/>
    </i>
    <i r="1">
      <x v="54"/>
    </i>
    <i r="1">
      <x v="55"/>
    </i>
    <i r="1">
      <x v="56"/>
    </i>
    <i r="1">
      <x v="57"/>
    </i>
    <i r="1">
      <x v="58"/>
    </i>
    <i r="1">
      <x v="59"/>
    </i>
    <i r="1">
      <x v="60"/>
    </i>
    <i r="1">
      <x v="61"/>
    </i>
    <i r="1">
      <x v="62"/>
    </i>
    <i r="1">
      <x v="63"/>
    </i>
    <i r="1">
      <x v="64"/>
    </i>
    <i r="1">
      <x v="65"/>
    </i>
    <i r="1">
      <x v="66"/>
    </i>
    <i r="1">
      <x v="67"/>
    </i>
    <i r="1">
      <x v="68"/>
    </i>
    <i r="1">
      <x v="69"/>
    </i>
    <i>
      <x v="4"/>
    </i>
    <i r="1">
      <x v="70"/>
    </i>
    <i r="1">
      <x v="71"/>
    </i>
    <i r="1">
      <x v="72"/>
    </i>
    <i r="1">
      <x v="73"/>
    </i>
    <i r="1">
      <x v="74"/>
    </i>
    <i r="1">
      <x v="75"/>
    </i>
    <i r="1">
      <x v="76"/>
    </i>
    <i r="1">
      <x v="77"/>
    </i>
    <i r="1">
      <x v="78"/>
    </i>
    <i r="1">
      <x v="79"/>
    </i>
    <i r="1">
      <x v="80"/>
    </i>
    <i r="1">
      <x v="81"/>
    </i>
    <i r="1">
      <x v="82"/>
    </i>
    <i r="1">
      <x v="83"/>
    </i>
    <i r="1">
      <x v="84"/>
    </i>
    <i r="1">
      <x v="85"/>
    </i>
    <i r="1">
      <x v="86"/>
    </i>
    <i>
      <x v="5"/>
    </i>
    <i r="1">
      <x v="87"/>
    </i>
    <i r="1">
      <x v="88"/>
    </i>
    <i r="1">
      <x v="89"/>
    </i>
    <i r="1">
      <x v="91"/>
    </i>
    <i r="1">
      <x v="92"/>
    </i>
    <i r="1">
      <x v="93"/>
    </i>
    <i r="1">
      <x v="94"/>
    </i>
    <i r="1">
      <x v="95"/>
    </i>
    <i r="1">
      <x v="96"/>
    </i>
    <i r="1">
      <x v="97"/>
    </i>
    <i r="1">
      <x v="98"/>
    </i>
    <i r="1">
      <x v="99"/>
    </i>
    <i r="1">
      <x v="100"/>
    </i>
    <i r="1">
      <x v="101"/>
    </i>
    <i r="1">
      <x v="102"/>
    </i>
    <i r="1">
      <x v="103"/>
    </i>
    <i r="1">
      <x v="104"/>
    </i>
    <i r="1">
      <x v="105"/>
    </i>
    <i r="1">
      <x v="106"/>
    </i>
    <i r="1">
      <x v="107"/>
    </i>
    <i r="1">
      <x v="108"/>
    </i>
    <i r="1">
      <x v="109"/>
    </i>
    <i r="1">
      <x v="110"/>
    </i>
    <i r="1">
      <x v="111"/>
    </i>
    <i r="1">
      <x v="112"/>
    </i>
    <i r="1">
      <x v="113"/>
    </i>
    <i r="1">
      <x v="114"/>
    </i>
    <i r="1">
      <x v="115"/>
    </i>
    <i>
      <x v="6"/>
    </i>
    <i r="1">
      <x v="116"/>
    </i>
    <i r="1">
      <x v="117"/>
    </i>
    <i r="1">
      <x v="118"/>
    </i>
    <i r="1">
      <x v="119"/>
    </i>
    <i r="1">
      <x v="120"/>
    </i>
    <i r="1">
      <x v="121"/>
    </i>
    <i r="1">
      <x v="122"/>
    </i>
    <i r="1">
      <x v="123"/>
    </i>
    <i r="1">
      <x v="124"/>
    </i>
    <i r="1">
      <x v="125"/>
    </i>
    <i r="1">
      <x v="126"/>
    </i>
    <i r="1">
      <x v="127"/>
    </i>
    <i r="1">
      <x v="128"/>
    </i>
    <i r="1">
      <x v="129"/>
    </i>
    <i r="1">
      <x v="130"/>
    </i>
    <i r="1">
      <x v="131"/>
    </i>
    <i r="1">
      <x v="132"/>
    </i>
    <i r="1">
      <x v="133"/>
    </i>
    <i r="1">
      <x v="134"/>
    </i>
    <i r="1">
      <x v="135"/>
    </i>
    <i r="1">
      <x v="136"/>
    </i>
    <i r="1">
      <x v="137"/>
    </i>
    <i r="1">
      <x v="138"/>
    </i>
    <i r="1">
      <x v="139"/>
    </i>
    <i>
      <x v="7"/>
    </i>
    <i r="1">
      <x v="140"/>
    </i>
    <i r="1">
      <x v="141"/>
    </i>
    <i r="1">
      <x v="142"/>
    </i>
    <i r="1">
      <x v="143"/>
    </i>
    <i r="1">
      <x v="144"/>
    </i>
    <i r="1">
      <x v="145"/>
    </i>
    <i r="1">
      <x v="146"/>
    </i>
    <i r="1">
      <x v="147"/>
    </i>
    <i r="1">
      <x v="148"/>
    </i>
    <i r="1">
      <x v="149"/>
    </i>
    <i r="1">
      <x v="150"/>
    </i>
    <i r="1">
      <x v="151"/>
    </i>
    <i r="1">
      <x v="152"/>
    </i>
    <i r="1">
      <x v="153"/>
    </i>
    <i r="1">
      <x v="154"/>
    </i>
    <i r="1">
      <x v="155"/>
    </i>
    <i r="1">
      <x v="156"/>
    </i>
    <i r="1">
      <x v="157"/>
    </i>
    <i r="1">
      <x v="158"/>
    </i>
    <i r="1">
      <x v="159"/>
    </i>
    <i r="1">
      <x v="160"/>
    </i>
    <i r="1">
      <x v="161"/>
    </i>
    <i r="1">
      <x v="162"/>
    </i>
    <i r="1">
      <x v="163"/>
    </i>
    <i>
      <x v="8"/>
    </i>
    <i r="1">
      <x v="164"/>
    </i>
    <i r="1">
      <x v="165"/>
    </i>
    <i r="1">
      <x v="166"/>
    </i>
    <i r="1">
      <x v="167"/>
    </i>
    <i r="1">
      <x v="168"/>
    </i>
    <i r="1">
      <x v="169"/>
    </i>
    <i r="1">
      <x v="170"/>
    </i>
    <i r="1">
      <x v="171"/>
    </i>
    <i r="1">
      <x v="172"/>
    </i>
    <i r="1">
      <x v="173"/>
    </i>
    <i r="1">
      <x v="174"/>
    </i>
    <i r="1">
      <x v="175"/>
    </i>
    <i r="1">
      <x v="176"/>
    </i>
    <i r="1">
      <x v="177"/>
    </i>
    <i r="1">
      <x v="178"/>
    </i>
    <i r="1">
      <x v="179"/>
    </i>
    <i r="1">
      <x v="180"/>
    </i>
    <i r="1">
      <x v="181"/>
    </i>
    <i r="1">
      <x v="182"/>
    </i>
    <i r="1">
      <x v="183"/>
    </i>
    <i r="1">
      <x v="184"/>
    </i>
    <i r="1">
      <x v="185"/>
    </i>
    <i r="1">
      <x v="186"/>
    </i>
    <i r="1">
      <x v="187"/>
    </i>
    <i r="1">
      <x v="188"/>
    </i>
    <i r="1">
      <x v="190"/>
    </i>
    <i r="1">
      <x v="191"/>
    </i>
    <i r="1">
      <x v="192"/>
    </i>
    <i r="1">
      <x v="193"/>
    </i>
    <i>
      <x v="9"/>
    </i>
    <i r="1">
      <x v="194"/>
    </i>
    <i r="1">
      <x v="195"/>
    </i>
    <i r="1">
      <x v="196"/>
    </i>
    <i r="1">
      <x v="197"/>
    </i>
    <i r="1">
      <x v="198"/>
    </i>
    <i r="1">
      <x v="199"/>
    </i>
    <i r="1">
      <x v="200"/>
    </i>
    <i r="1">
      <x v="201"/>
    </i>
    <i r="1">
      <x v="202"/>
    </i>
    <i r="1">
      <x v="203"/>
    </i>
    <i r="1">
      <x v="204"/>
    </i>
    <i r="1">
      <x v="205"/>
    </i>
    <i r="1">
      <x v="206"/>
    </i>
    <i r="1">
      <x v="207"/>
    </i>
    <i r="1">
      <x v="208"/>
    </i>
    <i r="1">
      <x v="209"/>
    </i>
    <i r="1">
      <x v="210"/>
    </i>
    <i r="1">
      <x v="211"/>
    </i>
    <i r="1">
      <x v="212"/>
    </i>
    <i r="1">
      <x v="213"/>
    </i>
    <i r="1">
      <x v="214"/>
    </i>
    <i r="1">
      <x v="215"/>
    </i>
    <i r="1">
      <x v="216"/>
    </i>
    <i r="1">
      <x v="217"/>
    </i>
    <i>
      <x v="10"/>
    </i>
    <i r="1">
      <x v="218"/>
    </i>
    <i r="1">
      <x v="219"/>
    </i>
    <i r="1">
      <x v="220"/>
    </i>
    <i r="1">
      <x v="221"/>
    </i>
    <i r="1">
      <x v="222"/>
    </i>
    <i r="1">
      <x v="223"/>
    </i>
    <i r="1">
      <x v="224"/>
    </i>
    <i r="1">
      <x v="225"/>
    </i>
    <i r="1">
      <x v="226"/>
    </i>
    <i r="1">
      <x v="227"/>
    </i>
    <i r="1">
      <x v="228"/>
    </i>
    <i r="1">
      <x v="229"/>
    </i>
    <i r="1">
      <x v="230"/>
    </i>
    <i t="grand">
      <x/>
    </i>
  </rowItems>
  <colFields count="1">
    <field x="11"/>
  </colFields>
  <colItems count="8">
    <i>
      <x v="2"/>
    </i>
    <i>
      <x v="3"/>
    </i>
    <i>
      <x v="4"/>
    </i>
    <i>
      <x v="5"/>
    </i>
    <i>
      <x v="6"/>
    </i>
    <i>
      <x v="7"/>
    </i>
    <i>
      <x v="8"/>
    </i>
    <i t="grand">
      <x/>
    </i>
  </colItems>
  <pageFields count="2">
    <pageField fld="10" hier="-1"/>
    <pageField fld="0" hier="-1"/>
  </pageFields>
  <dataFields count="1">
    <dataField name="Sum of U.S. viewers(millions)" fld="13" baseField="0" baseItem="0"/>
  </dataFields>
  <chartFormats count="1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1" count="1" selected="0">
            <x v="1"/>
          </reference>
        </references>
      </pivotArea>
    </chartFormat>
    <chartFormat chart="0" format="2" series="1">
      <pivotArea type="data" outline="0" fieldPosition="0">
        <references count="2">
          <reference field="4294967294" count="1" selected="0">
            <x v="0"/>
          </reference>
          <reference field="11" count="1" selected="0">
            <x v="2"/>
          </reference>
        </references>
      </pivotArea>
    </chartFormat>
    <chartFormat chart="0" format="3" series="1">
      <pivotArea type="data" outline="0" fieldPosition="0">
        <references count="2">
          <reference field="4294967294" count="1" selected="0">
            <x v="0"/>
          </reference>
          <reference field="11" count="1" selected="0">
            <x v="3"/>
          </reference>
        </references>
      </pivotArea>
    </chartFormat>
    <chartFormat chart="0" format="4" series="1">
      <pivotArea type="data" outline="0" fieldPosition="0">
        <references count="2">
          <reference field="4294967294" count="1" selected="0">
            <x v="0"/>
          </reference>
          <reference field="11" count="1" selected="0">
            <x v="4"/>
          </reference>
        </references>
      </pivotArea>
    </chartFormat>
    <chartFormat chart="0" format="5" series="1">
      <pivotArea type="data" outline="0" fieldPosition="0">
        <references count="2">
          <reference field="4294967294" count="1" selected="0">
            <x v="0"/>
          </reference>
          <reference field="11" count="1" selected="0">
            <x v="5"/>
          </reference>
        </references>
      </pivotArea>
    </chartFormat>
    <chartFormat chart="0" format="6" series="1">
      <pivotArea type="data" outline="0" fieldPosition="0">
        <references count="2">
          <reference field="4294967294" count="1" selected="0">
            <x v="0"/>
          </reference>
          <reference field="11" count="1" selected="0">
            <x v="6"/>
          </reference>
        </references>
      </pivotArea>
    </chartFormat>
    <chartFormat chart="0" format="7" series="1">
      <pivotArea type="data" outline="0" fieldPosition="0">
        <references count="2">
          <reference field="4294967294" count="1" selected="0">
            <x v="0"/>
          </reference>
          <reference field="11" count="1" selected="0">
            <x v="7"/>
          </reference>
        </references>
      </pivotArea>
    </chartFormat>
    <chartFormat chart="0" format="8" series="1">
      <pivotArea type="data" outline="0" fieldPosition="0">
        <references count="2">
          <reference field="4294967294" count="1" selected="0">
            <x v="0"/>
          </reference>
          <reference field="11" count="1" selected="0">
            <x v="8"/>
          </reference>
        </references>
      </pivotArea>
    </chartFormat>
    <chartFormat chart="0" format="9">
      <pivotArea type="data" outline="0" fieldPosition="0">
        <references count="4">
          <reference field="4294967294" count="1" selected="0">
            <x v="0"/>
          </reference>
          <reference field="9" count="1" selected="0">
            <x v="150"/>
          </reference>
          <reference field="11" count="1" selected="0">
            <x v="8"/>
          </reference>
          <reference field="19" count="1" selected="0">
            <x v="7"/>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81CE11B-4D62-494C-B85A-2912F707D7F0}" name="PivotTable1" cacheId="6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16:F279" firstHeaderRow="1" firstDataRow="2" firstDataCol="1"/>
  <pivotFields count="20">
    <pivotField axis="axisCol" showAll="0">
      <items count="5">
        <item x="1"/>
        <item x="3"/>
        <item x="2"/>
        <item x="0"/>
        <item t="default"/>
      </items>
    </pivotField>
    <pivotField showAll="0"/>
    <pivotField showAll="0"/>
    <pivotField showAll="0"/>
    <pivotField showAll="0"/>
    <pivotField showAll="0"/>
    <pivotField showAll="0"/>
    <pivotField showAll="0"/>
    <pivotField showAll="0"/>
    <pivotField axis="axisRow" showAll="0">
      <items count="251">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t="default" sd="0"/>
      </items>
    </pivotField>
    <pivotField showAll="0"/>
    <pivotField showAll="0"/>
    <pivotField showAll="0"/>
    <pivotField dataField="1"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sd="0" x="0"/>
        <item sd="0" x="1"/>
        <item sd="0" x="2"/>
        <item sd="0" x="3"/>
        <item sd="0" x="4"/>
        <item sd="0" x="5"/>
        <item t="default"/>
      </items>
    </pivotField>
    <pivotField axis="axisRow" showAll="0">
      <items count="14">
        <item x="0"/>
        <item x="1"/>
        <item x="2"/>
        <item x="3"/>
        <item x="4"/>
        <item x="5"/>
        <item x="6"/>
        <item x="7"/>
        <item x="8"/>
        <item x="9"/>
        <item x="10"/>
        <item x="11"/>
        <item x="12"/>
        <item t="default"/>
      </items>
    </pivotField>
  </pivotFields>
  <rowFields count="2">
    <field x="19"/>
    <field x="9"/>
  </rowFields>
  <rowItems count="262">
    <i>
      <x v="1"/>
    </i>
    <i r="1">
      <x/>
    </i>
    <i r="1">
      <x v="1"/>
    </i>
    <i r="1">
      <x v="2"/>
    </i>
    <i r="1">
      <x v="3"/>
    </i>
    <i r="1">
      <x v="4"/>
    </i>
    <i r="1">
      <x v="5"/>
    </i>
    <i r="1">
      <x v="6"/>
    </i>
    <i r="1">
      <x v="7"/>
    </i>
    <i r="1">
      <x v="8"/>
    </i>
    <i r="1">
      <x v="9"/>
    </i>
    <i r="1">
      <x v="10"/>
    </i>
    <i r="1">
      <x v="11"/>
    </i>
    <i r="1">
      <x v="12"/>
    </i>
    <i r="1">
      <x v="13"/>
    </i>
    <i r="1">
      <x v="14"/>
    </i>
    <i r="1">
      <x v="15"/>
    </i>
    <i>
      <x v="2"/>
    </i>
    <i r="1">
      <x v="16"/>
    </i>
    <i r="1">
      <x v="17"/>
    </i>
    <i r="1">
      <x v="18"/>
    </i>
    <i r="1">
      <x v="19"/>
    </i>
    <i r="1">
      <x v="20"/>
    </i>
    <i r="1">
      <x v="21"/>
    </i>
    <i r="1">
      <x v="22"/>
    </i>
    <i r="1">
      <x v="23"/>
    </i>
    <i r="1">
      <x v="24"/>
    </i>
    <i r="1">
      <x v="25"/>
    </i>
    <i r="1">
      <x v="26"/>
    </i>
    <i r="1">
      <x v="27"/>
    </i>
    <i r="1">
      <x v="28"/>
    </i>
    <i r="1">
      <x v="29"/>
    </i>
    <i r="1">
      <x v="30"/>
    </i>
    <i r="1">
      <x v="31"/>
    </i>
    <i r="1">
      <x v="32"/>
    </i>
    <i r="1">
      <x v="33"/>
    </i>
    <i r="1">
      <x v="34"/>
    </i>
    <i r="1">
      <x v="35"/>
    </i>
    <i r="1">
      <x v="36"/>
    </i>
    <i r="1">
      <x v="37"/>
    </i>
    <i r="1">
      <x v="38"/>
    </i>
    <i r="1">
      <x v="39"/>
    </i>
    <i r="1">
      <x v="40"/>
    </i>
    <i r="1">
      <x v="41"/>
    </i>
    <i r="1">
      <x v="42"/>
    </i>
    <i>
      <x v="3"/>
    </i>
    <i r="1">
      <x v="43"/>
    </i>
    <i r="1">
      <x v="44"/>
    </i>
    <i r="1">
      <x v="45"/>
    </i>
    <i r="1">
      <x v="46"/>
    </i>
    <i r="1">
      <x v="47"/>
    </i>
    <i r="1">
      <x v="48"/>
    </i>
    <i r="1">
      <x v="49"/>
    </i>
    <i r="1">
      <x v="50"/>
    </i>
    <i r="1">
      <x v="51"/>
    </i>
    <i r="1">
      <x v="52"/>
    </i>
    <i r="1">
      <x v="53"/>
    </i>
    <i r="1">
      <x v="54"/>
    </i>
    <i r="1">
      <x v="55"/>
    </i>
    <i r="1">
      <x v="56"/>
    </i>
    <i r="1">
      <x v="57"/>
    </i>
    <i r="1">
      <x v="58"/>
    </i>
    <i r="1">
      <x v="59"/>
    </i>
    <i r="1">
      <x v="60"/>
    </i>
    <i r="1">
      <x v="61"/>
    </i>
    <i r="1">
      <x v="62"/>
    </i>
    <i r="1">
      <x v="63"/>
    </i>
    <i r="1">
      <x v="64"/>
    </i>
    <i r="1">
      <x v="65"/>
    </i>
    <i r="1">
      <x v="66"/>
    </i>
    <i r="1">
      <x v="67"/>
    </i>
    <i r="1">
      <x v="68"/>
    </i>
    <i r="1">
      <x v="69"/>
    </i>
    <i>
      <x v="4"/>
    </i>
    <i r="1">
      <x v="70"/>
    </i>
    <i r="1">
      <x v="71"/>
    </i>
    <i r="1">
      <x v="72"/>
    </i>
    <i r="1">
      <x v="73"/>
    </i>
    <i r="1">
      <x v="74"/>
    </i>
    <i r="1">
      <x v="75"/>
    </i>
    <i r="1">
      <x v="76"/>
    </i>
    <i r="1">
      <x v="77"/>
    </i>
    <i r="1">
      <x v="78"/>
    </i>
    <i r="1">
      <x v="79"/>
    </i>
    <i r="1">
      <x v="80"/>
    </i>
    <i r="1">
      <x v="81"/>
    </i>
    <i r="1">
      <x v="82"/>
    </i>
    <i r="1">
      <x v="83"/>
    </i>
    <i r="1">
      <x v="84"/>
    </i>
    <i r="1">
      <x v="85"/>
    </i>
    <i r="1">
      <x v="86"/>
    </i>
    <i>
      <x v="5"/>
    </i>
    <i r="1">
      <x v="87"/>
    </i>
    <i r="1">
      <x v="88"/>
    </i>
    <i r="1">
      <x v="89"/>
    </i>
    <i r="1">
      <x v="90"/>
    </i>
    <i r="1">
      <x v="91"/>
    </i>
    <i r="1">
      <x v="92"/>
    </i>
    <i r="1">
      <x v="93"/>
    </i>
    <i r="1">
      <x v="94"/>
    </i>
    <i r="1">
      <x v="95"/>
    </i>
    <i r="1">
      <x v="96"/>
    </i>
    <i r="1">
      <x v="97"/>
    </i>
    <i r="1">
      <x v="98"/>
    </i>
    <i r="1">
      <x v="99"/>
    </i>
    <i r="1">
      <x v="100"/>
    </i>
    <i r="1">
      <x v="101"/>
    </i>
    <i r="1">
      <x v="102"/>
    </i>
    <i r="1">
      <x v="103"/>
    </i>
    <i r="1">
      <x v="104"/>
    </i>
    <i r="1">
      <x v="105"/>
    </i>
    <i r="1">
      <x v="106"/>
    </i>
    <i r="1">
      <x v="107"/>
    </i>
    <i r="1">
      <x v="108"/>
    </i>
    <i r="1">
      <x v="109"/>
    </i>
    <i r="1">
      <x v="110"/>
    </i>
    <i r="1">
      <x v="111"/>
    </i>
    <i r="1">
      <x v="112"/>
    </i>
    <i r="1">
      <x v="113"/>
    </i>
    <i r="1">
      <x v="114"/>
    </i>
    <i r="1">
      <x v="115"/>
    </i>
    <i>
      <x v="6"/>
    </i>
    <i r="1">
      <x v="116"/>
    </i>
    <i r="1">
      <x v="117"/>
    </i>
    <i r="1">
      <x v="118"/>
    </i>
    <i r="1">
      <x v="119"/>
    </i>
    <i r="1">
      <x v="120"/>
    </i>
    <i r="1">
      <x v="121"/>
    </i>
    <i r="1">
      <x v="122"/>
    </i>
    <i r="1">
      <x v="123"/>
    </i>
    <i r="1">
      <x v="124"/>
    </i>
    <i r="1">
      <x v="125"/>
    </i>
    <i r="1">
      <x v="126"/>
    </i>
    <i r="1">
      <x v="127"/>
    </i>
    <i r="1">
      <x v="128"/>
    </i>
    <i r="1">
      <x v="129"/>
    </i>
    <i r="1">
      <x v="130"/>
    </i>
    <i r="1">
      <x v="131"/>
    </i>
    <i r="1">
      <x v="132"/>
    </i>
    <i r="1">
      <x v="133"/>
    </i>
    <i r="1">
      <x v="134"/>
    </i>
    <i r="1">
      <x v="135"/>
    </i>
    <i r="1">
      <x v="136"/>
    </i>
    <i r="1">
      <x v="137"/>
    </i>
    <i r="1">
      <x v="138"/>
    </i>
    <i r="1">
      <x v="139"/>
    </i>
    <i>
      <x v="7"/>
    </i>
    <i r="1">
      <x v="140"/>
    </i>
    <i r="1">
      <x v="141"/>
    </i>
    <i r="1">
      <x v="142"/>
    </i>
    <i r="1">
      <x v="143"/>
    </i>
    <i r="1">
      <x v="144"/>
    </i>
    <i r="1">
      <x v="145"/>
    </i>
    <i r="1">
      <x v="146"/>
    </i>
    <i r="1">
      <x v="147"/>
    </i>
    <i r="1">
      <x v="148"/>
    </i>
    <i r="1">
      <x v="149"/>
    </i>
    <i r="1">
      <x v="150"/>
    </i>
    <i r="1">
      <x v="151"/>
    </i>
    <i r="1">
      <x v="152"/>
    </i>
    <i r="1">
      <x v="153"/>
    </i>
    <i r="1">
      <x v="154"/>
    </i>
    <i r="1">
      <x v="155"/>
    </i>
    <i r="1">
      <x v="156"/>
    </i>
    <i r="1">
      <x v="157"/>
    </i>
    <i r="1">
      <x v="158"/>
    </i>
    <i r="1">
      <x v="159"/>
    </i>
    <i r="1">
      <x v="160"/>
    </i>
    <i r="1">
      <x v="161"/>
    </i>
    <i r="1">
      <x v="162"/>
    </i>
    <i r="1">
      <x v="163"/>
    </i>
    <i>
      <x v="8"/>
    </i>
    <i r="1">
      <x v="164"/>
    </i>
    <i r="1">
      <x v="165"/>
    </i>
    <i r="1">
      <x v="166"/>
    </i>
    <i r="1">
      <x v="167"/>
    </i>
    <i r="1">
      <x v="168"/>
    </i>
    <i r="1">
      <x v="169"/>
    </i>
    <i r="1">
      <x v="170"/>
    </i>
    <i r="1">
      <x v="171"/>
    </i>
    <i r="1">
      <x v="172"/>
    </i>
    <i r="1">
      <x v="173"/>
    </i>
    <i r="1">
      <x v="174"/>
    </i>
    <i r="1">
      <x v="175"/>
    </i>
    <i r="1">
      <x v="176"/>
    </i>
    <i r="1">
      <x v="177"/>
    </i>
    <i r="1">
      <x v="178"/>
    </i>
    <i r="1">
      <x v="179"/>
    </i>
    <i r="1">
      <x v="180"/>
    </i>
    <i r="1">
      <x v="181"/>
    </i>
    <i r="1">
      <x v="182"/>
    </i>
    <i r="1">
      <x v="183"/>
    </i>
    <i r="1">
      <x v="184"/>
    </i>
    <i r="1">
      <x v="185"/>
    </i>
    <i r="1">
      <x v="186"/>
    </i>
    <i r="1">
      <x v="187"/>
    </i>
    <i r="1">
      <x v="188"/>
    </i>
    <i r="1">
      <x v="189"/>
    </i>
    <i r="1">
      <x v="190"/>
    </i>
    <i r="1">
      <x v="191"/>
    </i>
    <i r="1">
      <x v="192"/>
    </i>
    <i r="1">
      <x v="193"/>
    </i>
    <i>
      <x v="9"/>
    </i>
    <i r="1">
      <x v="194"/>
    </i>
    <i r="1">
      <x v="195"/>
    </i>
    <i r="1">
      <x v="196"/>
    </i>
    <i r="1">
      <x v="197"/>
    </i>
    <i r="1">
      <x v="198"/>
    </i>
    <i r="1">
      <x v="199"/>
    </i>
    <i r="1">
      <x v="200"/>
    </i>
    <i r="1">
      <x v="201"/>
    </i>
    <i r="1">
      <x v="202"/>
    </i>
    <i r="1">
      <x v="203"/>
    </i>
    <i r="1">
      <x v="204"/>
    </i>
    <i r="1">
      <x v="205"/>
    </i>
    <i r="1">
      <x v="206"/>
    </i>
    <i r="1">
      <x v="207"/>
    </i>
    <i r="1">
      <x v="208"/>
    </i>
    <i r="1">
      <x v="209"/>
    </i>
    <i r="1">
      <x v="210"/>
    </i>
    <i r="1">
      <x v="211"/>
    </i>
    <i r="1">
      <x v="212"/>
    </i>
    <i r="1">
      <x v="213"/>
    </i>
    <i r="1">
      <x v="214"/>
    </i>
    <i r="1">
      <x v="215"/>
    </i>
    <i r="1">
      <x v="216"/>
    </i>
    <i r="1">
      <x v="217"/>
    </i>
    <i>
      <x v="10"/>
    </i>
    <i r="1">
      <x v="218"/>
    </i>
    <i r="1">
      <x v="219"/>
    </i>
    <i r="1">
      <x v="220"/>
    </i>
    <i r="1">
      <x v="221"/>
    </i>
    <i r="1">
      <x v="222"/>
    </i>
    <i r="1">
      <x v="223"/>
    </i>
    <i r="1">
      <x v="224"/>
    </i>
    <i r="1">
      <x v="225"/>
    </i>
    <i r="1">
      <x v="226"/>
    </i>
    <i r="1">
      <x v="227"/>
    </i>
    <i r="1">
      <x v="228"/>
    </i>
    <i r="1">
      <x v="229"/>
    </i>
    <i r="1">
      <x v="230"/>
    </i>
    <i>
      <x v="11"/>
    </i>
    <i r="1">
      <x v="231"/>
    </i>
    <i r="1">
      <x v="232"/>
    </i>
    <i r="1">
      <x v="233"/>
    </i>
    <i r="1">
      <x v="234"/>
    </i>
    <i r="1">
      <x v="235"/>
    </i>
    <i r="1">
      <x v="236"/>
    </i>
    <i r="1">
      <x v="237"/>
    </i>
    <i r="1">
      <x v="238"/>
    </i>
    <i r="1">
      <x v="239"/>
    </i>
    <i r="1">
      <x v="240"/>
    </i>
    <i r="1">
      <x v="241"/>
    </i>
    <i r="1">
      <x v="242"/>
    </i>
    <i r="1">
      <x v="243"/>
    </i>
    <i r="1">
      <x v="244"/>
    </i>
    <i r="1">
      <x v="245"/>
    </i>
    <i r="1">
      <x v="246"/>
    </i>
    <i r="1">
      <x v="247"/>
    </i>
    <i r="1">
      <x v="248"/>
    </i>
    <i r="1">
      <x v="249"/>
    </i>
    <i t="grand">
      <x/>
    </i>
  </rowItems>
  <colFields count="1">
    <field x="0"/>
  </colFields>
  <colItems count="5">
    <i>
      <x/>
    </i>
    <i>
      <x v="1"/>
    </i>
    <i>
      <x v="2"/>
    </i>
    <i>
      <x v="3"/>
    </i>
    <i t="grand">
      <x/>
    </i>
  </colItems>
  <dataFields count="1">
    <dataField name="Sum of U.S. viewers(millions)" fld="13" baseField="0" baseItem="0"/>
  </dataFields>
  <chartFormats count="4">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2"/>
          </reference>
        </references>
      </pivotArea>
    </chartFormat>
    <chartFormat chart="0" format="3" series="1">
      <pivotArea type="data" outline="0" fieldPosition="0">
        <references count="2">
          <reference field="4294967294" count="1" selected="0">
            <x v="0"/>
          </reference>
          <reference field="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E5BB54-A089-DE42-9BC6-0400C660B45E}" name="EpisodeList" displayName="EpisodeList" ref="A1:Q575" totalsRowShown="0" headerRowDxfId="19" dataDxfId="31" headerRowBorderDxfId="32" tableBorderDxfId="30" totalsRowBorderDxfId="29">
  <autoFilter ref="A1:Q575" xr:uid="{96E5BB54-A089-DE42-9BC6-0400C660B45E}"/>
  <sortState xmlns:xlrd2="http://schemas.microsoft.com/office/spreadsheetml/2017/richdata2" ref="A2:P575">
    <sortCondition ref="O1:O575"/>
  </sortState>
  <tableColumns count="17">
    <tableColumn id="1" xr3:uid="{8DE5B6B9-5628-E347-A1C9-9F24E8DA2327}" name="Show" dataDxfId="28"/>
    <tableColumn id="2" xr3:uid="{421D3804-EA83-7049-9490-9573D4879649}" name="Season" dataDxfId="27"/>
    <tableColumn id="3" xr3:uid="{C22E5745-D0E3-D345-929B-5726EDBF16B0}" name="Season Number" dataDxfId="26"/>
    <tableColumn id="4" xr3:uid="{A4FAAB9F-125C-BB49-A281-CBA7BF94E5FC}" name="Season Title" dataDxfId="25">
      <calculatedColumnFormula>A2&amp; " S" &amp;C2</calculatedColumnFormula>
    </tableColumn>
    <tableColumn id="5" xr3:uid="{7CAA3EA7-098D-E048-BEC2-CE8D87B134C9}" name="No.overall" dataDxfId="24"/>
    <tableColumn id="6" xr3:uid="{AC82A6B2-10DD-A849-BA5E-A14BDB75ADB1}" name="No. inseason" dataDxfId="16"/>
    <tableColumn id="7" xr3:uid="{AB30A0BB-AE7C-4B4A-83E7-A99D1CA1B1EF}" name="Title" dataDxfId="14"/>
    <tableColumn id="8" xr3:uid="{5023C1DB-3B19-A843-8C8F-BFEA83505706}" name="Directed by" dataDxfId="15"/>
    <tableColumn id="9" xr3:uid="{EB772010-FF1B-4648-9C04-B13357FBEBCC}" name="Written by" dataDxfId="13"/>
    <tableColumn id="10" xr3:uid="{EC81B36A-096A-D241-98D4-E69786DB92B6}" name="Originally Aired" dataDxfId="11"/>
    <tableColumn id="11" xr3:uid="{F19E50E3-262A-9045-8ADE-ED1151C04251}" name="Day" dataDxfId="12">
      <calculatedColumnFormula>CHOOSE(WEEKDAY(J2),"Sun","Mon","Tue","Wed","Thu","Fri","Sat")</calculatedColumnFormula>
    </tableColumn>
    <tableColumn id="12" xr3:uid="{05B96CB2-0E99-6548-A0B0-06EB642CCCE0}" name="Timeslot" dataDxfId="23"/>
    <tableColumn id="13" xr3:uid="{3E24A3FF-EE6B-5245-9FCE-E9F738D80500}" name="Prod.code" dataDxfId="22"/>
    <tableColumn id="14" xr3:uid="{32EBA959-12F7-1048-A5C9-F7B1FE9193E9}" name="U.S. viewers(millions)" dataDxfId="21"/>
    <tableColumn id="15" xr3:uid="{31D11D90-BE15-634B-8803-B9B1DC5ECBBF}" name="Running Order" dataDxfId="20"/>
    <tableColumn id="16" xr3:uid="{BF753140-0F7C-E949-BD6B-E0CDB813D420}" name="Full Lineup?" dataDxfId="18">
      <calculatedColumnFormula>IF(AND(
    COUNTIFS(A:A, A2, J:J, J2) = 1,
    COUNTIFS(A:A, "30 Rock", J:J, J2) = 1,
    COUNTIFS(A:A, "The Office", J:J, J2) = 1,
    COUNTIFS(A:A, "Community", J:J, J2) = 1,
    COUNTIFS(A:A, "Parks and Rec", J:J, J2) = 1
), "Yes", "")</calculatedColumnFormula>
    </tableColumn>
    <tableColumn id="17" xr3:uid="{02D5A09D-3E66-4041-813D-C139A17EBD0D}" name="TV Season" dataDxfId="17">
      <calculatedColumnFormula>VLOOKUP(EpisodeList[[#This Row],[Season Number]], INDIRECT("'" &amp; EpisodeList[[#This Row],[Show]] &amp; " Season Info'!C2:J15"), 8,1)</calculatedColumnFormula>
    </tableColumn>
  </tableColumns>
  <tableStyleInfo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ikitable2csv.ggor.de/" TargetMode="Externa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8" Type="http://schemas.openxmlformats.org/officeDocument/2006/relationships/drawing" Target="../drawings/drawing3.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04D9CB-2FA3-884A-82E1-7AC0DDE8A8E3}">
  <sheetPr codeName="Sheet12"/>
  <dimension ref="A1:S58"/>
  <sheetViews>
    <sheetView tabSelected="1" zoomScale="60" zoomScaleNormal="106" workbookViewId="0">
      <selection activeCell="V17" sqref="V17"/>
    </sheetView>
  </sheetViews>
  <sheetFormatPr baseColWidth="10" defaultRowHeight="16" x14ac:dyDescent="0.2"/>
  <cols>
    <col min="1" max="1" width="20.5" style="88" customWidth="1"/>
    <col min="2" max="9" width="10.83203125" style="88"/>
    <col min="10" max="10" width="14.83203125" style="88" customWidth="1"/>
    <col min="11" max="11" width="4.6640625" style="88" customWidth="1"/>
    <col min="12" max="12" width="4.83203125" style="88" customWidth="1"/>
    <col min="13" max="13" width="30.1640625" style="88" customWidth="1"/>
    <col min="14" max="14" width="5.6640625" style="88" customWidth="1"/>
    <col min="15" max="15" width="18.33203125" style="88" customWidth="1"/>
    <col min="16" max="16" width="33.83203125" style="88" customWidth="1"/>
    <col min="17" max="17" width="41" style="88" customWidth="1"/>
    <col min="18" max="18" width="28.33203125" style="88" customWidth="1"/>
    <col min="19" max="16384" width="10.83203125" style="88"/>
  </cols>
  <sheetData>
    <row r="1" spans="1:19" s="253" customFormat="1" ht="44" customHeight="1" thickBot="1" x14ac:dyDescent="0.25">
      <c r="A1" s="258" t="s">
        <v>1021</v>
      </c>
      <c r="B1" s="256"/>
      <c r="C1" s="256"/>
      <c r="D1" s="256"/>
      <c r="E1" s="256"/>
      <c r="F1" s="256"/>
      <c r="G1" s="256"/>
      <c r="H1" s="256"/>
      <c r="I1" s="256"/>
      <c r="J1" s="256"/>
      <c r="K1" s="256"/>
      <c r="L1" s="256"/>
      <c r="M1" s="257"/>
      <c r="N1" s="256"/>
      <c r="O1" s="256"/>
      <c r="P1" s="256"/>
      <c r="Q1" s="256"/>
      <c r="R1" s="256"/>
      <c r="S1" s="256"/>
    </row>
    <row r="2" spans="1:19" s="272" customFormat="1" ht="19" customHeight="1" x14ac:dyDescent="0.2">
      <c r="A2" s="274" t="s">
        <v>1027</v>
      </c>
      <c r="B2" s="271"/>
      <c r="C2" s="271"/>
      <c r="D2" s="271"/>
      <c r="E2" s="271"/>
      <c r="F2" s="271"/>
      <c r="G2" s="271"/>
      <c r="H2" s="271"/>
      <c r="I2" s="271"/>
      <c r="J2" s="271"/>
      <c r="K2" s="271"/>
      <c r="L2" s="271"/>
      <c r="M2" s="323" t="s">
        <v>1095</v>
      </c>
      <c r="N2" s="322"/>
      <c r="O2" s="271"/>
      <c r="P2" s="271"/>
      <c r="Q2" s="271"/>
      <c r="R2" s="271"/>
      <c r="S2" s="271"/>
    </row>
    <row r="3" spans="1:19" ht="16" customHeight="1" x14ac:dyDescent="0.2">
      <c r="A3" s="275" t="s">
        <v>1094</v>
      </c>
      <c r="B3" s="196"/>
      <c r="C3" s="196"/>
      <c r="D3" s="196"/>
      <c r="E3" s="196"/>
      <c r="F3" s="196"/>
      <c r="G3" s="196"/>
      <c r="H3" s="196"/>
      <c r="I3" s="196"/>
      <c r="J3" s="196"/>
      <c r="K3" s="276"/>
      <c r="L3" s="276"/>
      <c r="M3" s="318" t="s">
        <v>1096</v>
      </c>
      <c r="N3" s="319"/>
      <c r="O3" s="276"/>
      <c r="P3" s="276"/>
      <c r="Q3" s="276"/>
      <c r="R3" s="276"/>
      <c r="S3" s="276"/>
    </row>
    <row r="4" spans="1:19" ht="16" customHeight="1" x14ac:dyDescent="0.2">
      <c r="A4" s="275"/>
      <c r="B4" s="196"/>
      <c r="C4" s="196"/>
      <c r="D4" s="196"/>
      <c r="E4" s="196"/>
      <c r="F4" s="196"/>
      <c r="G4" s="196"/>
      <c r="H4" s="196"/>
      <c r="I4" s="196"/>
      <c r="J4" s="196"/>
      <c r="K4" s="276"/>
      <c r="L4" s="276"/>
      <c r="M4" s="318"/>
      <c r="N4" s="319"/>
      <c r="O4" s="276"/>
      <c r="P4" s="276"/>
      <c r="Q4" s="276"/>
      <c r="R4" s="276"/>
      <c r="S4" s="276"/>
    </row>
    <row r="5" spans="1:19" ht="16" customHeight="1" x14ac:dyDescent="0.2">
      <c r="A5" s="275"/>
      <c r="B5" s="196"/>
      <c r="C5" s="196"/>
      <c r="D5" s="196"/>
      <c r="E5" s="196"/>
      <c r="F5" s="196"/>
      <c r="G5" s="196"/>
      <c r="H5" s="196"/>
      <c r="I5" s="196"/>
      <c r="J5" s="196"/>
      <c r="K5" s="276"/>
      <c r="L5" s="276"/>
      <c r="M5" s="318"/>
      <c r="N5" s="319"/>
      <c r="O5" s="276"/>
      <c r="P5" s="276"/>
      <c r="Q5" s="276"/>
      <c r="R5" s="276"/>
      <c r="S5" s="276"/>
    </row>
    <row r="6" spans="1:19" ht="16" customHeight="1" x14ac:dyDescent="0.2">
      <c r="A6" s="275"/>
      <c r="B6" s="196"/>
      <c r="C6" s="196"/>
      <c r="D6" s="196"/>
      <c r="E6" s="196"/>
      <c r="F6" s="196"/>
      <c r="G6" s="196"/>
      <c r="H6" s="196"/>
      <c r="I6" s="196"/>
      <c r="J6" s="196"/>
      <c r="K6" s="276"/>
      <c r="L6" s="276"/>
      <c r="M6" s="320"/>
      <c r="N6" s="321"/>
      <c r="O6" s="276"/>
      <c r="P6" s="276"/>
      <c r="Q6" s="276"/>
      <c r="R6" s="276"/>
      <c r="S6" s="276"/>
    </row>
    <row r="7" spans="1:19" ht="16" customHeight="1" x14ac:dyDescent="0.2">
      <c r="A7" s="275"/>
      <c r="B7" s="196"/>
      <c r="C7" s="196"/>
      <c r="D7" s="196"/>
      <c r="E7" s="196"/>
      <c r="F7" s="196"/>
      <c r="G7" s="196"/>
      <c r="H7" s="196"/>
      <c r="I7" s="196"/>
      <c r="J7" s="196"/>
      <c r="K7" s="276"/>
      <c r="L7" s="276"/>
      <c r="M7" s="276"/>
      <c r="N7" s="276"/>
      <c r="O7" s="276"/>
      <c r="P7" s="276"/>
      <c r="Q7" s="276"/>
      <c r="R7" s="276"/>
      <c r="S7" s="276"/>
    </row>
    <row r="8" spans="1:19" ht="19" x14ac:dyDescent="0.2">
      <c r="A8" s="277"/>
      <c r="B8" s="259"/>
      <c r="C8" s="259"/>
      <c r="D8" s="259"/>
      <c r="E8" s="259"/>
      <c r="F8" s="259"/>
      <c r="G8" s="259"/>
      <c r="H8" s="259"/>
      <c r="I8" s="259"/>
      <c r="J8" s="259"/>
      <c r="K8" s="259"/>
      <c r="L8" s="259"/>
      <c r="M8" s="255"/>
      <c r="N8" s="255"/>
      <c r="O8" s="255"/>
      <c r="P8" s="255"/>
      <c r="Q8" s="246"/>
      <c r="R8" s="246"/>
      <c r="S8" s="203"/>
    </row>
    <row r="9" spans="1:19" s="105" customFormat="1" ht="25" thickBot="1" x14ac:dyDescent="0.25">
      <c r="M9" s="313" t="s">
        <v>1093</v>
      </c>
      <c r="N9" s="313"/>
      <c r="O9" s="313"/>
      <c r="P9" s="313"/>
      <c r="Q9" s="246"/>
      <c r="R9" s="246"/>
      <c r="S9" s="246"/>
    </row>
    <row r="10" spans="1:19" ht="19" x14ac:dyDescent="0.25">
      <c r="A10" s="273" t="s">
        <v>1022</v>
      </c>
      <c r="B10" s="261"/>
      <c r="C10" s="261"/>
      <c r="D10" s="261"/>
      <c r="E10" s="261"/>
      <c r="F10" s="261"/>
      <c r="G10" s="261"/>
      <c r="H10" s="261"/>
      <c r="I10" s="261"/>
      <c r="J10" s="262"/>
      <c r="K10" s="105"/>
      <c r="L10" s="105"/>
      <c r="M10" s="312" t="s">
        <v>1061</v>
      </c>
      <c r="N10" s="203"/>
      <c r="O10" s="203"/>
      <c r="P10" s="203"/>
      <c r="Q10" s="203"/>
      <c r="R10" s="203"/>
      <c r="S10" s="203"/>
    </row>
    <row r="11" spans="1:19" ht="20" customHeight="1" x14ac:dyDescent="0.2">
      <c r="A11" s="265" t="s">
        <v>1090</v>
      </c>
      <c r="B11" s="266"/>
      <c r="C11" s="266"/>
      <c r="D11" s="266"/>
      <c r="E11" s="266"/>
      <c r="F11" s="266"/>
      <c r="G11" s="260" t="s">
        <v>1091</v>
      </c>
      <c r="H11" s="251"/>
      <c r="I11" s="251"/>
      <c r="J11" s="263"/>
      <c r="K11" s="254"/>
      <c r="L11" s="314"/>
      <c r="M11" s="308" t="s">
        <v>1023</v>
      </c>
      <c r="N11" s="203"/>
      <c r="O11" s="307" t="s">
        <v>1043</v>
      </c>
      <c r="P11" s="214"/>
      <c r="Q11" s="203"/>
      <c r="R11" s="203"/>
      <c r="S11" s="203"/>
    </row>
    <row r="12" spans="1:19" ht="22" x14ac:dyDescent="0.2">
      <c r="A12" s="265"/>
      <c r="B12" s="266"/>
      <c r="C12" s="266"/>
      <c r="D12" s="266"/>
      <c r="E12" s="266"/>
      <c r="F12" s="266"/>
      <c r="G12" s="251"/>
      <c r="H12" s="251"/>
      <c r="I12" s="251"/>
      <c r="J12" s="263"/>
      <c r="M12" s="309" t="s">
        <v>1024</v>
      </c>
      <c r="N12" s="203"/>
      <c r="O12" s="300" t="s">
        <v>1058</v>
      </c>
      <c r="P12" s="300" t="s">
        <v>1059</v>
      </c>
      <c r="Q12" s="203"/>
      <c r="R12" s="203"/>
      <c r="S12" s="203"/>
    </row>
    <row r="13" spans="1:19" ht="23" customHeight="1" x14ac:dyDescent="0.2">
      <c r="A13" s="265" t="s">
        <v>1092</v>
      </c>
      <c r="B13" s="266"/>
      <c r="C13" s="266"/>
      <c r="D13" s="266"/>
      <c r="E13" s="266"/>
      <c r="F13" s="266"/>
      <c r="G13" s="251" t="s">
        <v>963</v>
      </c>
      <c r="H13" s="251"/>
      <c r="I13" s="251"/>
      <c r="J13" s="263"/>
      <c r="K13" s="254"/>
      <c r="L13" s="105"/>
      <c r="M13" s="490" t="s">
        <v>1057</v>
      </c>
      <c r="N13" s="203"/>
      <c r="O13" s="306" t="s">
        <v>1045</v>
      </c>
      <c r="P13" s="306" t="s">
        <v>1112</v>
      </c>
      <c r="Q13" s="203"/>
      <c r="R13" s="203"/>
      <c r="S13" s="203"/>
    </row>
    <row r="14" spans="1:19" ht="16" customHeight="1" x14ac:dyDescent="0.2">
      <c r="A14" s="265"/>
      <c r="B14" s="266"/>
      <c r="C14" s="266"/>
      <c r="D14" s="266"/>
      <c r="E14" s="266"/>
      <c r="F14" s="266"/>
      <c r="G14" s="251"/>
      <c r="H14" s="251"/>
      <c r="I14" s="251"/>
      <c r="J14" s="263"/>
      <c r="K14" s="105"/>
      <c r="L14" s="105"/>
      <c r="M14" s="492"/>
      <c r="N14" s="203"/>
      <c r="O14" s="306" t="s">
        <v>1044</v>
      </c>
      <c r="P14" s="306" t="s">
        <v>1055</v>
      </c>
      <c r="Q14" s="203"/>
      <c r="R14" s="203"/>
      <c r="S14" s="203"/>
    </row>
    <row r="15" spans="1:19" ht="16" customHeight="1" x14ac:dyDescent="0.2">
      <c r="A15" s="265" t="s">
        <v>1089</v>
      </c>
      <c r="B15" s="266"/>
      <c r="C15" s="266"/>
      <c r="D15" s="266"/>
      <c r="E15" s="266"/>
      <c r="F15" s="266"/>
      <c r="G15" s="266"/>
      <c r="H15" s="266"/>
      <c r="I15" s="266"/>
      <c r="J15" s="267"/>
      <c r="M15" s="311"/>
      <c r="N15" s="203"/>
      <c r="O15" s="306" t="s">
        <v>1046</v>
      </c>
      <c r="P15" s="306" t="s">
        <v>1055</v>
      </c>
      <c r="Q15" s="203"/>
      <c r="R15" s="203"/>
      <c r="S15" s="203"/>
    </row>
    <row r="16" spans="1:19" ht="17" thickBot="1" x14ac:dyDescent="0.25">
      <c r="A16" s="268"/>
      <c r="B16" s="269"/>
      <c r="C16" s="269"/>
      <c r="D16" s="269"/>
      <c r="E16" s="269"/>
      <c r="F16" s="269"/>
      <c r="G16" s="269"/>
      <c r="H16" s="269"/>
      <c r="I16" s="269"/>
      <c r="J16" s="270"/>
      <c r="K16" s="254"/>
      <c r="L16" s="105"/>
      <c r="M16" s="246"/>
      <c r="N16" s="203"/>
      <c r="O16" s="306" t="s">
        <v>1049</v>
      </c>
      <c r="P16" s="306" t="s">
        <v>1055</v>
      </c>
      <c r="Q16" s="203"/>
      <c r="R16" s="203"/>
      <c r="S16" s="203"/>
    </row>
    <row r="17" spans="1:19" ht="21" x14ac:dyDescent="0.2">
      <c r="K17" s="105"/>
      <c r="L17" s="105"/>
      <c r="M17" s="311"/>
      <c r="N17" s="246"/>
      <c r="O17" s="306" t="s">
        <v>1047</v>
      </c>
      <c r="P17" s="306" t="s">
        <v>1055</v>
      </c>
      <c r="Q17" s="203"/>
      <c r="R17" s="203"/>
      <c r="S17" s="203"/>
    </row>
    <row r="18" spans="1:19" ht="22" thickBot="1" x14ac:dyDescent="0.25">
      <c r="M18" s="311"/>
      <c r="N18" s="246"/>
      <c r="O18" s="306" t="s">
        <v>1048</v>
      </c>
      <c r="P18" s="306" t="s">
        <v>1055</v>
      </c>
      <c r="Q18" s="203"/>
      <c r="R18" s="203"/>
      <c r="S18" s="203"/>
    </row>
    <row r="19" spans="1:19" ht="21" x14ac:dyDescent="0.2">
      <c r="A19" s="288" t="s">
        <v>1025</v>
      </c>
      <c r="B19" s="289"/>
      <c r="C19" s="289"/>
      <c r="D19" s="290"/>
      <c r="E19" s="290"/>
      <c r="F19" s="290"/>
      <c r="G19" s="290"/>
      <c r="H19" s="290"/>
      <c r="I19" s="290"/>
      <c r="J19" s="291"/>
      <c r="K19" s="254"/>
      <c r="L19" s="105"/>
      <c r="M19" s="311"/>
      <c r="N19" s="246"/>
      <c r="O19" s="306" t="s">
        <v>1050</v>
      </c>
      <c r="P19" s="306" t="s">
        <v>1055</v>
      </c>
      <c r="Q19" s="203"/>
      <c r="R19" s="203"/>
      <c r="S19" s="203"/>
    </row>
    <row r="20" spans="1:19" ht="21" x14ac:dyDescent="0.2">
      <c r="A20" s="292" t="s">
        <v>1026</v>
      </c>
      <c r="B20" s="286"/>
      <c r="C20" s="287" t="s">
        <v>1027</v>
      </c>
      <c r="D20" s="252"/>
      <c r="E20" s="252"/>
      <c r="F20" s="252"/>
      <c r="G20" s="252"/>
      <c r="H20" s="252"/>
      <c r="I20" s="252"/>
      <c r="J20" s="293"/>
      <c r="K20" s="254"/>
      <c r="L20" s="105"/>
      <c r="M20" s="311"/>
      <c r="N20" s="246"/>
      <c r="O20" s="306" t="s">
        <v>1051</v>
      </c>
      <c r="P20" s="306" t="s">
        <v>1055</v>
      </c>
      <c r="Q20" s="203"/>
      <c r="R20" s="203"/>
      <c r="S20" s="203"/>
    </row>
    <row r="21" spans="1:19" ht="16" customHeight="1" x14ac:dyDescent="0.2">
      <c r="A21" s="294" t="s">
        <v>1029</v>
      </c>
      <c r="B21" s="280"/>
      <c r="C21" s="283" t="s">
        <v>1030</v>
      </c>
      <c r="D21" s="278"/>
      <c r="E21" s="278"/>
      <c r="F21" s="278"/>
      <c r="G21" s="278"/>
      <c r="H21" s="278"/>
      <c r="I21" s="278"/>
      <c r="J21" s="295"/>
      <c r="K21" s="254"/>
      <c r="L21" s="105"/>
      <c r="M21" s="311"/>
      <c r="N21" s="246"/>
      <c r="O21" s="306" t="s">
        <v>1052</v>
      </c>
      <c r="P21" s="306" t="s">
        <v>1055</v>
      </c>
      <c r="Q21" s="203"/>
      <c r="R21" s="203"/>
      <c r="S21" s="203"/>
    </row>
    <row r="22" spans="1:19" ht="21" x14ac:dyDescent="0.2">
      <c r="A22" s="296"/>
      <c r="B22" s="281"/>
      <c r="C22" s="284"/>
      <c r="D22" s="264"/>
      <c r="E22" s="264"/>
      <c r="F22" s="264"/>
      <c r="G22" s="264"/>
      <c r="H22" s="264"/>
      <c r="I22" s="264"/>
      <c r="J22" s="297"/>
      <c r="M22" s="311"/>
      <c r="N22" s="246"/>
      <c r="O22" s="306" t="s">
        <v>1053</v>
      </c>
      <c r="P22" s="306" t="s">
        <v>1056</v>
      </c>
      <c r="Q22" s="203"/>
      <c r="R22" s="203"/>
      <c r="S22" s="203"/>
    </row>
    <row r="23" spans="1:19" ht="21" x14ac:dyDescent="0.2">
      <c r="A23" s="298"/>
      <c r="B23" s="282"/>
      <c r="C23" s="285"/>
      <c r="D23" s="279"/>
      <c r="E23" s="279"/>
      <c r="F23" s="279"/>
      <c r="G23" s="279"/>
      <c r="H23" s="279"/>
      <c r="I23" s="279"/>
      <c r="J23" s="299"/>
      <c r="K23" s="254"/>
      <c r="M23" s="311"/>
      <c r="N23" s="246"/>
      <c r="O23" s="306" t="s">
        <v>1054</v>
      </c>
      <c r="P23" s="306" t="s">
        <v>1056</v>
      </c>
      <c r="Q23" s="203"/>
      <c r="R23" s="203"/>
      <c r="S23" s="203"/>
    </row>
    <row r="24" spans="1:19" ht="16" customHeight="1" x14ac:dyDescent="0.2">
      <c r="A24" s="294" t="s">
        <v>1028</v>
      </c>
      <c r="B24" s="280"/>
      <c r="C24" s="283" t="s">
        <v>1032</v>
      </c>
      <c r="D24" s="278"/>
      <c r="E24" s="278"/>
      <c r="F24" s="278"/>
      <c r="G24" s="278"/>
      <c r="H24" s="278"/>
      <c r="I24" s="278"/>
      <c r="J24" s="295"/>
      <c r="K24" s="105"/>
      <c r="L24" s="105"/>
      <c r="M24" s="490" t="s">
        <v>1077</v>
      </c>
      <c r="N24" s="203"/>
      <c r="O24" s="306" t="s">
        <v>1060</v>
      </c>
      <c r="P24" s="306" t="s">
        <v>1056</v>
      </c>
      <c r="Q24" s="203"/>
      <c r="R24" s="203"/>
      <c r="S24" s="203"/>
    </row>
    <row r="25" spans="1:19" ht="22" x14ac:dyDescent="0.2">
      <c r="A25" s="296"/>
      <c r="B25" s="281"/>
      <c r="C25" s="284"/>
      <c r="D25" s="264"/>
      <c r="E25" s="264"/>
      <c r="F25" s="264"/>
      <c r="G25" s="264"/>
      <c r="H25" s="264"/>
      <c r="I25" s="264"/>
      <c r="J25" s="297"/>
      <c r="M25" s="491" t="s">
        <v>1078</v>
      </c>
      <c r="N25" s="203"/>
      <c r="O25" s="306" t="s">
        <v>1072</v>
      </c>
      <c r="P25" s="306" t="s">
        <v>1056</v>
      </c>
      <c r="Q25" s="203"/>
      <c r="R25" s="203"/>
      <c r="S25" s="203"/>
    </row>
    <row r="26" spans="1:19" ht="21" x14ac:dyDescent="0.2">
      <c r="A26" s="298"/>
      <c r="B26" s="282"/>
      <c r="C26" s="285"/>
      <c r="D26" s="279"/>
      <c r="E26" s="279"/>
      <c r="F26" s="279"/>
      <c r="G26" s="279"/>
      <c r="H26" s="279"/>
      <c r="I26" s="279"/>
      <c r="J26" s="299"/>
      <c r="L26" s="105"/>
      <c r="M26" s="492"/>
      <c r="N26" s="203"/>
      <c r="O26" s="306" t="s">
        <v>1102</v>
      </c>
      <c r="P26" s="306" t="s">
        <v>1104</v>
      </c>
      <c r="Q26" s="203"/>
      <c r="R26" s="203"/>
      <c r="S26" s="203"/>
    </row>
    <row r="27" spans="1:19" ht="16" customHeight="1" x14ac:dyDescent="0.2">
      <c r="A27" s="472" t="s">
        <v>1031</v>
      </c>
      <c r="B27" s="473"/>
      <c r="C27" s="464" t="s">
        <v>1033</v>
      </c>
      <c r="D27" s="465"/>
      <c r="E27" s="465"/>
      <c r="F27" s="465"/>
      <c r="G27" s="465"/>
      <c r="H27" s="465"/>
      <c r="I27" s="465"/>
      <c r="J27" s="478"/>
      <c r="K27" s="105"/>
      <c r="L27" s="105"/>
      <c r="M27" s="246"/>
      <c r="N27" s="203"/>
      <c r="O27" s="306" t="s">
        <v>1103</v>
      </c>
      <c r="P27" s="306" t="s">
        <v>1104</v>
      </c>
      <c r="Q27" s="203"/>
      <c r="R27" s="203"/>
      <c r="S27" s="203"/>
    </row>
    <row r="28" spans="1:19" x14ac:dyDescent="0.2">
      <c r="A28" s="474"/>
      <c r="B28" s="475"/>
      <c r="C28" s="468"/>
      <c r="D28" s="469"/>
      <c r="E28" s="469"/>
      <c r="F28" s="469"/>
      <c r="G28" s="469"/>
      <c r="H28" s="469"/>
      <c r="I28" s="469"/>
      <c r="J28" s="479"/>
      <c r="M28" s="203"/>
      <c r="N28" s="203"/>
      <c r="O28" s="306" t="s">
        <v>1111</v>
      </c>
      <c r="P28" s="306" t="s">
        <v>1104</v>
      </c>
      <c r="Q28" s="203"/>
      <c r="R28" s="203"/>
      <c r="S28" s="203"/>
    </row>
    <row r="29" spans="1:19" x14ac:dyDescent="0.2">
      <c r="A29" s="474"/>
      <c r="B29" s="475"/>
      <c r="C29" s="480" t="s">
        <v>1113</v>
      </c>
      <c r="D29" s="467"/>
      <c r="E29" s="467"/>
      <c r="F29" s="467"/>
      <c r="G29" s="467"/>
      <c r="H29" s="467"/>
      <c r="I29" s="467"/>
      <c r="J29" s="481"/>
      <c r="L29" s="105"/>
      <c r="M29" s="203"/>
      <c r="N29" s="203"/>
      <c r="O29" s="203"/>
      <c r="P29" s="203"/>
      <c r="Q29" s="203"/>
      <c r="R29" s="203"/>
      <c r="S29" s="203"/>
    </row>
    <row r="30" spans="1:19" ht="16" customHeight="1" x14ac:dyDescent="0.2">
      <c r="A30" s="474"/>
      <c r="B30" s="475"/>
      <c r="C30" s="482"/>
      <c r="D30" s="467"/>
      <c r="E30" s="467"/>
      <c r="F30" s="467"/>
      <c r="G30" s="467"/>
      <c r="H30" s="467"/>
      <c r="I30" s="467"/>
      <c r="J30" s="481"/>
      <c r="K30" s="105"/>
      <c r="L30" s="314"/>
      <c r="M30" s="308" t="s">
        <v>1079</v>
      </c>
      <c r="N30" s="203"/>
      <c r="O30" s="307" t="s">
        <v>1088</v>
      </c>
      <c r="P30" s="203"/>
      <c r="Q30" s="203"/>
      <c r="R30" s="203"/>
      <c r="S30" s="203"/>
    </row>
    <row r="31" spans="1:19" ht="22" x14ac:dyDescent="0.2">
      <c r="A31" s="474"/>
      <c r="B31" s="475"/>
      <c r="C31" s="482"/>
      <c r="D31" s="467"/>
      <c r="E31" s="467"/>
      <c r="F31" s="467"/>
      <c r="G31" s="467"/>
      <c r="H31" s="467"/>
      <c r="I31" s="467"/>
      <c r="J31" s="481"/>
      <c r="M31" s="309" t="s">
        <v>1080</v>
      </c>
      <c r="N31" s="203"/>
      <c r="O31" s="301" t="s">
        <v>1062</v>
      </c>
      <c r="P31" s="301" t="s">
        <v>1063</v>
      </c>
      <c r="Q31" s="301" t="s">
        <v>1064</v>
      </c>
      <c r="R31" s="301" t="s">
        <v>1065</v>
      </c>
      <c r="S31" s="203"/>
    </row>
    <row r="32" spans="1:19" ht="22" x14ac:dyDescent="0.2">
      <c r="A32" s="474"/>
      <c r="B32" s="475"/>
      <c r="C32" s="482"/>
      <c r="D32" s="467"/>
      <c r="E32" s="467"/>
      <c r="F32" s="467"/>
      <c r="G32" s="467"/>
      <c r="H32" s="467"/>
      <c r="I32" s="467"/>
      <c r="J32" s="481"/>
      <c r="K32" s="105"/>
      <c r="L32" s="105"/>
      <c r="M32" s="310" t="s">
        <v>1081</v>
      </c>
      <c r="N32" s="203"/>
      <c r="O32" s="302" t="s">
        <v>1028</v>
      </c>
      <c r="P32" s="302" t="s">
        <v>1066</v>
      </c>
      <c r="Q32" s="303" t="s">
        <v>1069</v>
      </c>
      <c r="R32" s="303" t="s">
        <v>1073</v>
      </c>
      <c r="S32" s="203"/>
    </row>
    <row r="33" spans="1:19" x14ac:dyDescent="0.2">
      <c r="A33" s="474"/>
      <c r="B33" s="475"/>
      <c r="C33" s="482"/>
      <c r="D33" s="467"/>
      <c r="E33" s="467"/>
      <c r="F33" s="467"/>
      <c r="G33" s="467"/>
      <c r="H33" s="467"/>
      <c r="I33" s="467"/>
      <c r="J33" s="481"/>
      <c r="K33" s="105"/>
      <c r="L33" s="105"/>
      <c r="M33" s="246"/>
      <c r="N33" s="203"/>
      <c r="O33" s="304"/>
      <c r="P33" s="304" t="s">
        <v>1084</v>
      </c>
      <c r="Q33" s="303"/>
      <c r="R33" s="303"/>
      <c r="S33" s="203"/>
    </row>
    <row r="34" spans="1:19" x14ac:dyDescent="0.2">
      <c r="A34" s="474"/>
      <c r="B34" s="475"/>
      <c r="C34" s="482"/>
      <c r="D34" s="467"/>
      <c r="E34" s="467"/>
      <c r="F34" s="467"/>
      <c r="G34" s="467"/>
      <c r="H34" s="467"/>
      <c r="I34" s="467"/>
      <c r="J34" s="481"/>
      <c r="M34" s="246"/>
      <c r="N34" s="203"/>
      <c r="O34" s="304"/>
      <c r="P34" s="304"/>
      <c r="Q34" s="303"/>
      <c r="R34" s="303"/>
      <c r="S34" s="203"/>
    </row>
    <row r="35" spans="1:19" x14ac:dyDescent="0.2">
      <c r="A35" s="474"/>
      <c r="B35" s="475"/>
      <c r="C35" s="482"/>
      <c r="D35" s="467"/>
      <c r="E35" s="467"/>
      <c r="F35" s="467"/>
      <c r="G35" s="467"/>
      <c r="H35" s="467"/>
      <c r="I35" s="467"/>
      <c r="J35" s="481"/>
      <c r="M35" s="246"/>
      <c r="N35" s="203"/>
      <c r="O35" s="304"/>
      <c r="P35" s="304"/>
      <c r="Q35" s="303"/>
      <c r="R35" s="303"/>
      <c r="S35" s="203"/>
    </row>
    <row r="36" spans="1:19" ht="23" customHeight="1" x14ac:dyDescent="0.2">
      <c r="A36" s="476"/>
      <c r="B36" s="477"/>
      <c r="C36" s="483"/>
      <c r="D36" s="484"/>
      <c r="E36" s="484"/>
      <c r="F36" s="484"/>
      <c r="G36" s="484"/>
      <c r="H36" s="484"/>
      <c r="I36" s="484"/>
      <c r="J36" s="485"/>
      <c r="M36" s="246"/>
      <c r="N36" s="203"/>
      <c r="O36" s="305"/>
      <c r="P36" s="305"/>
      <c r="Q36" s="303"/>
      <c r="R36" s="303"/>
      <c r="S36" s="203"/>
    </row>
    <row r="37" spans="1:19" ht="16" customHeight="1" x14ac:dyDescent="0.2">
      <c r="A37" s="470" t="s">
        <v>1034</v>
      </c>
      <c r="B37" s="473"/>
      <c r="C37" s="464" t="s">
        <v>1035</v>
      </c>
      <c r="D37" s="465"/>
      <c r="E37" s="465"/>
      <c r="F37" s="465"/>
      <c r="G37" s="465"/>
      <c r="H37" s="465"/>
      <c r="I37" s="465"/>
      <c r="J37" s="466"/>
      <c r="M37" s="246"/>
      <c r="N37" s="203"/>
      <c r="O37" s="302" t="s">
        <v>1028</v>
      </c>
      <c r="P37" s="302" t="s">
        <v>1066</v>
      </c>
      <c r="Q37" s="303" t="s">
        <v>1068</v>
      </c>
      <c r="R37" s="303" t="s">
        <v>1074</v>
      </c>
      <c r="S37" s="203"/>
    </row>
    <row r="38" spans="1:19" x14ac:dyDescent="0.2">
      <c r="A38" s="471"/>
      <c r="B38" s="475"/>
      <c r="C38" s="480" t="s">
        <v>1114</v>
      </c>
      <c r="D38" s="467"/>
      <c r="E38" s="467"/>
      <c r="F38" s="467"/>
      <c r="G38" s="467"/>
      <c r="H38" s="467"/>
      <c r="I38" s="467"/>
      <c r="J38" s="486"/>
      <c r="M38" s="246"/>
      <c r="N38" s="203"/>
      <c r="O38" s="304"/>
      <c r="P38" s="304" t="s">
        <v>1085</v>
      </c>
      <c r="Q38" s="303"/>
      <c r="R38" s="303"/>
      <c r="S38" s="203"/>
    </row>
    <row r="39" spans="1:19" x14ac:dyDescent="0.2">
      <c r="A39" s="471"/>
      <c r="B39" s="475"/>
      <c r="C39" s="482"/>
      <c r="D39" s="467"/>
      <c r="E39" s="467"/>
      <c r="F39" s="467"/>
      <c r="G39" s="467"/>
      <c r="H39" s="467"/>
      <c r="I39" s="467"/>
      <c r="J39" s="486"/>
      <c r="M39" s="246"/>
      <c r="N39" s="203"/>
      <c r="O39" s="304"/>
      <c r="P39" s="304" t="s">
        <v>1106</v>
      </c>
      <c r="Q39" s="303"/>
      <c r="R39" s="303"/>
      <c r="S39" s="203"/>
    </row>
    <row r="40" spans="1:19" x14ac:dyDescent="0.2">
      <c r="A40" s="471"/>
      <c r="B40" s="475"/>
      <c r="C40" s="482"/>
      <c r="D40" s="467"/>
      <c r="E40" s="467"/>
      <c r="F40" s="467"/>
      <c r="G40" s="467"/>
      <c r="H40" s="467"/>
      <c r="I40" s="467"/>
      <c r="J40" s="486"/>
      <c r="M40" s="246"/>
      <c r="N40" s="203"/>
      <c r="O40" s="304"/>
      <c r="P40" s="304"/>
      <c r="Q40" s="303"/>
      <c r="R40" s="303"/>
      <c r="S40" s="203"/>
    </row>
    <row r="41" spans="1:19" x14ac:dyDescent="0.2">
      <c r="A41" s="471"/>
      <c r="B41" s="475"/>
      <c r="C41" s="482"/>
      <c r="D41" s="467"/>
      <c r="E41" s="467"/>
      <c r="F41" s="467"/>
      <c r="G41" s="467"/>
      <c r="H41" s="467"/>
      <c r="I41" s="467"/>
      <c r="J41" s="486"/>
      <c r="M41" s="246"/>
      <c r="N41" s="203"/>
      <c r="O41" s="305"/>
      <c r="P41" s="305"/>
      <c r="Q41" s="303"/>
      <c r="R41" s="303"/>
      <c r="S41" s="203"/>
    </row>
    <row r="42" spans="1:19" x14ac:dyDescent="0.2">
      <c r="A42" s="471"/>
      <c r="B42" s="475"/>
      <c r="C42" s="482"/>
      <c r="D42" s="467"/>
      <c r="E42" s="467"/>
      <c r="F42" s="467"/>
      <c r="G42" s="467"/>
      <c r="H42" s="467"/>
      <c r="I42" s="467"/>
      <c r="J42" s="486"/>
      <c r="M42" s="246"/>
      <c r="N42" s="203"/>
      <c r="O42" s="302" t="s">
        <v>1028</v>
      </c>
      <c r="P42" s="302" t="s">
        <v>1066</v>
      </c>
      <c r="Q42" s="303" t="s">
        <v>1067</v>
      </c>
      <c r="R42" s="303"/>
      <c r="S42" s="203"/>
    </row>
    <row r="43" spans="1:19" x14ac:dyDescent="0.2">
      <c r="A43" s="471"/>
      <c r="B43" s="475"/>
      <c r="C43" s="482"/>
      <c r="D43" s="467"/>
      <c r="E43" s="467"/>
      <c r="F43" s="467"/>
      <c r="G43" s="467"/>
      <c r="H43" s="467"/>
      <c r="I43" s="467"/>
      <c r="J43" s="486"/>
      <c r="M43" s="246"/>
      <c r="N43" s="203"/>
      <c r="O43" s="304"/>
      <c r="P43" s="304" t="s">
        <v>1085</v>
      </c>
      <c r="Q43" s="303"/>
      <c r="R43" s="303"/>
      <c r="S43" s="203"/>
    </row>
    <row r="44" spans="1:19" x14ac:dyDescent="0.2">
      <c r="A44" s="471"/>
      <c r="B44" s="475"/>
      <c r="C44" s="482"/>
      <c r="D44" s="467"/>
      <c r="E44" s="467"/>
      <c r="F44" s="467"/>
      <c r="G44" s="467"/>
      <c r="H44" s="467"/>
      <c r="I44" s="467"/>
      <c r="J44" s="486"/>
      <c r="M44" s="246"/>
      <c r="N44" s="203"/>
      <c r="O44" s="304"/>
      <c r="P44" s="304" t="s">
        <v>1106</v>
      </c>
      <c r="Q44" s="303"/>
      <c r="R44" s="303"/>
      <c r="S44" s="203"/>
    </row>
    <row r="45" spans="1:19" x14ac:dyDescent="0.2">
      <c r="A45" s="471"/>
      <c r="B45" s="475"/>
      <c r="C45" s="482"/>
      <c r="D45" s="467"/>
      <c r="E45" s="467"/>
      <c r="F45" s="467"/>
      <c r="G45" s="467"/>
      <c r="H45" s="467"/>
      <c r="I45" s="467"/>
      <c r="J45" s="486"/>
      <c r="M45" s="203"/>
      <c r="N45" s="203"/>
      <c r="O45" s="304"/>
      <c r="P45" s="304"/>
      <c r="Q45" s="303"/>
      <c r="R45" s="303"/>
      <c r="S45" s="203"/>
    </row>
    <row r="46" spans="1:19" x14ac:dyDescent="0.2">
      <c r="A46" s="471"/>
      <c r="B46" s="475"/>
      <c r="C46" s="482"/>
      <c r="D46" s="467"/>
      <c r="E46" s="467"/>
      <c r="F46" s="467"/>
      <c r="G46" s="467"/>
      <c r="H46" s="467"/>
      <c r="I46" s="467"/>
      <c r="J46" s="486"/>
      <c r="M46" s="203"/>
      <c r="N46" s="203"/>
      <c r="O46" s="305"/>
      <c r="P46" s="305"/>
      <c r="Q46" s="303"/>
      <c r="R46" s="303"/>
      <c r="S46" s="203"/>
    </row>
    <row r="47" spans="1:19" ht="22" x14ac:dyDescent="0.2">
      <c r="A47" s="471"/>
      <c r="B47" s="475"/>
      <c r="C47" s="482"/>
      <c r="D47" s="467"/>
      <c r="E47" s="467"/>
      <c r="F47" s="467"/>
      <c r="G47" s="467"/>
      <c r="H47" s="467"/>
      <c r="I47" s="467"/>
      <c r="J47" s="486"/>
      <c r="M47" s="308" t="s">
        <v>1082</v>
      </c>
      <c r="N47" s="203"/>
      <c r="O47" s="302" t="s">
        <v>1028</v>
      </c>
      <c r="P47" s="302" t="s">
        <v>1066</v>
      </c>
      <c r="Q47" s="303" t="s">
        <v>1070</v>
      </c>
      <c r="R47" s="303" t="s">
        <v>1075</v>
      </c>
      <c r="S47" s="203"/>
    </row>
    <row r="48" spans="1:19" ht="23" customHeight="1" x14ac:dyDescent="0.2">
      <c r="A48" s="471"/>
      <c r="B48" s="475"/>
      <c r="C48" s="482"/>
      <c r="D48" s="467"/>
      <c r="E48" s="467"/>
      <c r="F48" s="467"/>
      <c r="G48" s="467"/>
      <c r="H48" s="467"/>
      <c r="I48" s="467"/>
      <c r="J48" s="486"/>
      <c r="M48" s="309" t="s">
        <v>1034</v>
      </c>
      <c r="N48" s="203"/>
      <c r="O48" s="304"/>
      <c r="P48" s="304" t="s">
        <v>1086</v>
      </c>
      <c r="Q48" s="303"/>
      <c r="R48" s="303"/>
      <c r="S48" s="203"/>
    </row>
    <row r="49" spans="1:19" ht="22" x14ac:dyDescent="0.2">
      <c r="A49" s="471"/>
      <c r="B49" s="475"/>
      <c r="C49" s="482"/>
      <c r="D49" s="467"/>
      <c r="E49" s="467"/>
      <c r="F49" s="467"/>
      <c r="G49" s="467"/>
      <c r="H49" s="467"/>
      <c r="I49" s="467"/>
      <c r="J49" s="486"/>
      <c r="M49" s="310" t="s">
        <v>1083</v>
      </c>
      <c r="N49" s="203"/>
      <c r="O49" s="304"/>
      <c r="P49" s="304"/>
      <c r="Q49" s="303"/>
      <c r="R49" s="303"/>
      <c r="S49" s="203"/>
    </row>
    <row r="50" spans="1:19" x14ac:dyDescent="0.2">
      <c r="A50" s="471"/>
      <c r="B50" s="475"/>
      <c r="C50" s="482"/>
      <c r="D50" s="467"/>
      <c r="E50" s="467"/>
      <c r="F50" s="467"/>
      <c r="G50" s="467"/>
      <c r="H50" s="467"/>
      <c r="I50" s="467"/>
      <c r="J50" s="486"/>
      <c r="M50" s="203"/>
      <c r="N50" s="203"/>
      <c r="O50" s="304"/>
      <c r="P50" s="304"/>
      <c r="Q50" s="303"/>
      <c r="R50" s="303"/>
      <c r="S50" s="203"/>
    </row>
    <row r="51" spans="1:19" x14ac:dyDescent="0.2">
      <c r="A51" s="471"/>
      <c r="B51" s="475"/>
      <c r="C51" s="482"/>
      <c r="D51" s="467"/>
      <c r="E51" s="467"/>
      <c r="F51" s="467"/>
      <c r="G51" s="467"/>
      <c r="H51" s="467"/>
      <c r="I51" s="467"/>
      <c r="J51" s="486"/>
      <c r="M51" s="203"/>
      <c r="N51" s="203"/>
      <c r="O51" s="305"/>
      <c r="P51" s="305"/>
      <c r="Q51" s="303"/>
      <c r="R51" s="303"/>
      <c r="S51" s="203"/>
    </row>
    <row r="52" spans="1:19" x14ac:dyDescent="0.2">
      <c r="A52" s="471"/>
      <c r="B52" s="475"/>
      <c r="C52" s="482"/>
      <c r="D52" s="467"/>
      <c r="E52" s="467"/>
      <c r="F52" s="467"/>
      <c r="G52" s="467"/>
      <c r="H52" s="467"/>
      <c r="I52" s="467"/>
      <c r="J52" s="486"/>
      <c r="M52" s="203"/>
      <c r="N52" s="203"/>
      <c r="O52" s="302" t="s">
        <v>1028</v>
      </c>
      <c r="P52" s="302" t="s">
        <v>1066</v>
      </c>
      <c r="Q52" s="303" t="s">
        <v>1071</v>
      </c>
      <c r="R52" s="303" t="s">
        <v>1076</v>
      </c>
      <c r="S52" s="203"/>
    </row>
    <row r="53" spans="1:19" ht="18" customHeight="1" x14ac:dyDescent="0.2">
      <c r="A53" s="471"/>
      <c r="B53" s="475"/>
      <c r="C53" s="482"/>
      <c r="D53" s="467"/>
      <c r="E53" s="467"/>
      <c r="F53" s="467"/>
      <c r="G53" s="467"/>
      <c r="H53" s="467"/>
      <c r="I53" s="467"/>
      <c r="J53" s="486"/>
      <c r="M53" s="203"/>
      <c r="N53" s="203"/>
      <c r="O53" s="304"/>
      <c r="P53" s="304" t="s">
        <v>1087</v>
      </c>
      <c r="Q53" s="303"/>
      <c r="R53" s="303"/>
      <c r="S53" s="203"/>
    </row>
    <row r="54" spans="1:19" x14ac:dyDescent="0.2">
      <c r="A54" s="471"/>
      <c r="B54" s="475"/>
      <c r="C54" s="482"/>
      <c r="D54" s="467"/>
      <c r="E54" s="467"/>
      <c r="F54" s="467"/>
      <c r="G54" s="467"/>
      <c r="H54" s="467"/>
      <c r="I54" s="467"/>
      <c r="J54" s="486"/>
      <c r="M54" s="203"/>
      <c r="N54" s="203"/>
      <c r="O54" s="304"/>
      <c r="P54" s="304"/>
      <c r="Q54" s="303"/>
      <c r="R54" s="303"/>
      <c r="S54" s="203"/>
    </row>
    <row r="55" spans="1:19" x14ac:dyDescent="0.2">
      <c r="A55" s="471"/>
      <c r="B55" s="475"/>
      <c r="C55" s="482"/>
      <c r="D55" s="467"/>
      <c r="E55" s="467"/>
      <c r="F55" s="467"/>
      <c r="G55" s="467"/>
      <c r="H55" s="467"/>
      <c r="I55" s="467"/>
      <c r="J55" s="486"/>
      <c r="M55" s="203"/>
      <c r="N55" s="203"/>
      <c r="O55" s="304"/>
      <c r="P55" s="304"/>
      <c r="Q55" s="303"/>
      <c r="R55" s="303"/>
      <c r="S55" s="203"/>
    </row>
    <row r="56" spans="1:19" x14ac:dyDescent="0.2">
      <c r="A56" s="471"/>
      <c r="B56" s="475"/>
      <c r="C56" s="482"/>
      <c r="D56" s="467"/>
      <c r="E56" s="467"/>
      <c r="F56" s="467"/>
      <c r="G56" s="467"/>
      <c r="H56" s="467"/>
      <c r="I56" s="467"/>
      <c r="J56" s="486"/>
      <c r="M56" s="203"/>
      <c r="N56" s="203"/>
      <c r="O56" s="305"/>
      <c r="P56" s="305"/>
      <c r="Q56" s="303"/>
      <c r="R56" s="303"/>
      <c r="S56" s="203"/>
    </row>
    <row r="57" spans="1:19" x14ac:dyDescent="0.2">
      <c r="A57" s="471"/>
      <c r="B57" s="475"/>
      <c r="C57" s="482"/>
      <c r="D57" s="467"/>
      <c r="E57" s="467"/>
      <c r="F57" s="467"/>
      <c r="G57" s="467"/>
      <c r="H57" s="467"/>
      <c r="I57" s="467"/>
      <c r="J57" s="486"/>
      <c r="M57" s="203"/>
      <c r="N57" s="203"/>
      <c r="O57" s="203"/>
      <c r="P57" s="203"/>
      <c r="Q57" s="203"/>
      <c r="R57" s="203"/>
      <c r="S57" s="203"/>
    </row>
    <row r="58" spans="1:19" x14ac:dyDescent="0.2">
      <c r="A58" s="471"/>
      <c r="B58" s="475"/>
      <c r="C58" s="487"/>
      <c r="D58" s="488"/>
      <c r="E58" s="488"/>
      <c r="F58" s="488"/>
      <c r="G58" s="488"/>
      <c r="H58" s="488"/>
      <c r="I58" s="488"/>
      <c r="J58" s="489"/>
    </row>
  </sheetData>
  <mergeCells count="29">
    <mergeCell ref="C27:J28"/>
    <mergeCell ref="C29:J36"/>
    <mergeCell ref="A27:B36"/>
    <mergeCell ref="C37:J37"/>
    <mergeCell ref="C38:J58"/>
    <mergeCell ref="A37:B58"/>
    <mergeCell ref="M8:P8"/>
    <mergeCell ref="A3:J7"/>
    <mergeCell ref="M3:N6"/>
    <mergeCell ref="Q42:Q46"/>
    <mergeCell ref="R37:R46"/>
    <mergeCell ref="A11:F12"/>
    <mergeCell ref="A13:F14"/>
    <mergeCell ref="Q37:Q41"/>
    <mergeCell ref="Q32:Q36"/>
    <mergeCell ref="Q47:Q51"/>
    <mergeCell ref="Q52:Q56"/>
    <mergeCell ref="R32:R36"/>
    <mergeCell ref="R47:R51"/>
    <mergeCell ref="R52:R56"/>
    <mergeCell ref="M9:P9"/>
    <mergeCell ref="G13:J14"/>
    <mergeCell ref="G11:J12"/>
    <mergeCell ref="A15:J16"/>
    <mergeCell ref="C24:J26"/>
    <mergeCell ref="C21:J23"/>
    <mergeCell ref="A21:B23"/>
    <mergeCell ref="A24:B26"/>
    <mergeCell ref="A20:B20"/>
  </mergeCells>
  <hyperlinks>
    <hyperlink ref="G11" r:id="rId1" xr:uid="{1A8CE043-5B84-214D-9E72-FFBF7FBF8E2D}"/>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29CDD-1F2D-B34E-8D5A-DCC8FA4937CB}">
  <sheetPr codeName="Sheet1"/>
  <dimension ref="A1:U575"/>
  <sheetViews>
    <sheetView zoomScale="75" zoomScaleNormal="75" workbookViewId="0">
      <selection activeCell="Q2" sqref="Q2:Q575"/>
    </sheetView>
  </sheetViews>
  <sheetFormatPr baseColWidth="10" defaultRowHeight="16" x14ac:dyDescent="0.2"/>
  <cols>
    <col min="1" max="1" width="12.83203125" style="8" customWidth="1"/>
    <col min="2" max="2" width="11.6640625" style="11" bestFit="1" customWidth="1"/>
    <col min="3" max="3" width="17.83203125" style="11" customWidth="1"/>
    <col min="4" max="4" width="15.83203125" style="11" customWidth="1"/>
    <col min="5" max="5" width="14.5" style="11" customWidth="1"/>
    <col min="6" max="6" width="14" style="11" customWidth="1"/>
    <col min="7" max="7" width="35.1640625" style="11" customWidth="1"/>
    <col min="8" max="8" width="18.83203125" style="11" bestFit="1" customWidth="1"/>
    <col min="9" max="9" width="31.1640625" style="11" bestFit="1" customWidth="1"/>
    <col min="10" max="10" width="16.33203125" style="11" customWidth="1"/>
    <col min="11" max="11" width="10.83203125" style="11" customWidth="1"/>
    <col min="12" max="12" width="25.83203125" style="12" customWidth="1"/>
    <col min="13" max="13" width="19.33203125" style="11" bestFit="1" customWidth="1"/>
    <col min="14" max="14" width="21.6640625" style="11" customWidth="1"/>
    <col min="15" max="16" width="15.33203125" style="11" customWidth="1"/>
    <col min="17" max="17" width="19.5" style="317" customWidth="1"/>
    <col min="18" max="16384" width="10.83203125" style="317"/>
  </cols>
  <sheetData>
    <row r="1" spans="1:21" s="316" customFormat="1" ht="81" customHeight="1" x14ac:dyDescent="0.2">
      <c r="A1" s="217" t="s">
        <v>505</v>
      </c>
      <c r="B1" s="217" t="s">
        <v>504</v>
      </c>
      <c r="C1" s="217" t="s">
        <v>1108</v>
      </c>
      <c r="D1" s="217" t="s">
        <v>933</v>
      </c>
      <c r="E1" s="217" t="s">
        <v>0</v>
      </c>
      <c r="F1" s="217" t="s">
        <v>1</v>
      </c>
      <c r="G1" s="217" t="s">
        <v>2</v>
      </c>
      <c r="H1" s="217" t="s">
        <v>3</v>
      </c>
      <c r="I1" s="217" t="s">
        <v>4</v>
      </c>
      <c r="J1" s="217" t="s">
        <v>506</v>
      </c>
      <c r="K1" s="217" t="s">
        <v>861</v>
      </c>
      <c r="L1" s="218" t="s">
        <v>862</v>
      </c>
      <c r="M1" s="217" t="s">
        <v>5</v>
      </c>
      <c r="N1" s="217" t="s">
        <v>6</v>
      </c>
      <c r="O1" s="217" t="s">
        <v>863</v>
      </c>
      <c r="P1" s="217" t="s">
        <v>1105</v>
      </c>
      <c r="Q1" s="387" t="s">
        <v>867</v>
      </c>
      <c r="U1" s="362"/>
    </row>
    <row r="2" spans="1:21" x14ac:dyDescent="0.2">
      <c r="A2" s="9" t="s">
        <v>243</v>
      </c>
      <c r="B2" s="10" t="s">
        <v>219</v>
      </c>
      <c r="C2" s="10">
        <v>1</v>
      </c>
      <c r="D2" s="10" t="str">
        <f>A2&amp; " S" &amp;C2</f>
        <v>The Office S1</v>
      </c>
      <c r="E2" s="10">
        <v>1</v>
      </c>
      <c r="F2" s="10">
        <v>1</v>
      </c>
      <c r="G2" s="405" t="s">
        <v>7</v>
      </c>
      <c r="H2" s="39" t="s">
        <v>229</v>
      </c>
      <c r="I2" s="10" t="s">
        <v>230</v>
      </c>
      <c r="J2" s="434">
        <v>38435</v>
      </c>
      <c r="K2" s="10" t="str">
        <f>CHOOSE(WEEKDAY(J2),"Sun","Mon","Tue","Wed","Thu","Fri","Sat")</f>
        <v>Thu</v>
      </c>
      <c r="L2" s="40">
        <v>0.89583333333333326</v>
      </c>
      <c r="M2" s="10">
        <v>1001</v>
      </c>
      <c r="N2" s="10">
        <v>11.2</v>
      </c>
      <c r="O2" s="10">
        <v>1</v>
      </c>
      <c r="P2" s="369" t="str">
        <f t="shared" ref="P2:P65" si="0">IF(AND(
    COUNTIFS(A:A, A2, J:J, J2) = 1,
    COUNTIFS(A:A, "30 Rock", J:J, J2) = 1,
    COUNTIFS(A:A, "The Office", J:J, J2) = 1,
    COUNTIFS(A:A, "Community", J:J, J2) = 1,
    COUNTIFS(A:A, "Parks and Rec", J:J, J2) = 1
), "Yes", "")</f>
        <v/>
      </c>
      <c r="Q2" s="388" t="str">
        <f ca="1">VLOOKUP(EpisodeList[[#This Row],[Season Number]], INDIRECT("'" &amp; EpisodeList[[#This Row],[Show]] &amp; " Season Info'!C2:J15"), 8,1)</f>
        <v>2004-05</v>
      </c>
    </row>
    <row r="3" spans="1:21" x14ac:dyDescent="0.2">
      <c r="A3" s="9" t="s">
        <v>243</v>
      </c>
      <c r="B3" s="10" t="s">
        <v>219</v>
      </c>
      <c r="C3" s="10">
        <v>1</v>
      </c>
      <c r="D3" s="10" t="str">
        <f>A3&amp; " S" &amp;C3</f>
        <v>The Office S1</v>
      </c>
      <c r="E3" s="10">
        <v>2</v>
      </c>
      <c r="F3" s="10">
        <v>2</v>
      </c>
      <c r="G3" s="405" t="s">
        <v>231</v>
      </c>
      <c r="H3" s="39" t="s">
        <v>229</v>
      </c>
      <c r="I3" s="10" t="s">
        <v>232</v>
      </c>
      <c r="J3" s="434">
        <v>38440</v>
      </c>
      <c r="K3" s="10" t="str">
        <f>CHOOSE(WEEKDAY(J3),"Sun","Mon","Tue","Wed","Thu","Fri","Sat")</f>
        <v>Tue</v>
      </c>
      <c r="L3" s="40">
        <v>0.89583333333333326</v>
      </c>
      <c r="M3" s="10">
        <v>1002</v>
      </c>
      <c r="N3" s="10">
        <v>6</v>
      </c>
      <c r="O3" s="10">
        <v>2</v>
      </c>
      <c r="P3" s="369" t="str">
        <f t="shared" si="0"/>
        <v/>
      </c>
      <c r="Q3" s="388" t="str">
        <f ca="1">VLOOKUP(EpisodeList[[#This Row],[Season Number]], INDIRECT("'" &amp; EpisodeList[[#This Row],[Show]] &amp; " Season Info'!C2:J15"), 8,1)</f>
        <v>2004-05</v>
      </c>
    </row>
    <row r="4" spans="1:21" x14ac:dyDescent="0.2">
      <c r="A4" s="9" t="s">
        <v>243</v>
      </c>
      <c r="B4" s="10" t="s">
        <v>219</v>
      </c>
      <c r="C4" s="10">
        <v>1</v>
      </c>
      <c r="D4" s="10" t="str">
        <f>A4&amp; " S" &amp;C4</f>
        <v>The Office S1</v>
      </c>
      <c r="E4" s="10">
        <v>3</v>
      </c>
      <c r="F4" s="10">
        <v>3</v>
      </c>
      <c r="G4" s="405" t="s">
        <v>233</v>
      </c>
      <c r="H4" s="39" t="s">
        <v>90</v>
      </c>
      <c r="I4" s="10" t="s">
        <v>234</v>
      </c>
      <c r="J4" s="434">
        <v>38447</v>
      </c>
      <c r="K4" s="10" t="str">
        <f>CHOOSE(WEEKDAY(J4),"Sun","Mon","Tue","Wed","Thu","Fri","Sat")</f>
        <v>Tue</v>
      </c>
      <c r="L4" s="40">
        <v>0.89583333333333326</v>
      </c>
      <c r="M4" s="10">
        <v>1006</v>
      </c>
      <c r="N4" s="10">
        <v>5.8</v>
      </c>
      <c r="O4" s="10">
        <v>3</v>
      </c>
      <c r="P4" s="369" t="str">
        <f t="shared" si="0"/>
        <v/>
      </c>
      <c r="Q4" s="388" t="str">
        <f ca="1">VLOOKUP(EpisodeList[[#This Row],[Season Number]], INDIRECT("'" &amp; EpisodeList[[#This Row],[Show]] &amp; " Season Info'!C2:J15"), 8,1)</f>
        <v>2004-05</v>
      </c>
    </row>
    <row r="5" spans="1:21" x14ac:dyDescent="0.2">
      <c r="A5" s="9" t="s">
        <v>243</v>
      </c>
      <c r="B5" s="10" t="s">
        <v>219</v>
      </c>
      <c r="C5" s="10">
        <v>1</v>
      </c>
      <c r="D5" s="10" t="str">
        <f>A5&amp; " S" &amp;C5</f>
        <v>The Office S1</v>
      </c>
      <c r="E5" s="10">
        <v>4</v>
      </c>
      <c r="F5" s="10">
        <v>4</v>
      </c>
      <c r="G5" s="405" t="s">
        <v>235</v>
      </c>
      <c r="H5" s="39" t="s">
        <v>236</v>
      </c>
      <c r="I5" s="10" t="s">
        <v>237</v>
      </c>
      <c r="J5" s="434">
        <v>38454</v>
      </c>
      <c r="K5" s="10" t="str">
        <f>CHOOSE(WEEKDAY(J5),"Sun","Mon","Tue","Wed","Thu","Fri","Sat")</f>
        <v>Tue</v>
      </c>
      <c r="L5" s="40">
        <v>0.89583333333333326</v>
      </c>
      <c r="M5" s="10">
        <v>1004</v>
      </c>
      <c r="N5" s="10">
        <v>5.4</v>
      </c>
      <c r="O5" s="10">
        <v>4</v>
      </c>
      <c r="P5" s="369" t="str">
        <f t="shared" si="0"/>
        <v/>
      </c>
      <c r="Q5" s="388" t="str">
        <f ca="1">VLOOKUP(EpisodeList[[#This Row],[Season Number]], INDIRECT("'" &amp; EpisodeList[[#This Row],[Show]] &amp; " Season Info'!C2:J15"), 8,1)</f>
        <v>2004-05</v>
      </c>
    </row>
    <row r="6" spans="1:21" x14ac:dyDescent="0.2">
      <c r="A6" s="9" t="s">
        <v>243</v>
      </c>
      <c r="B6" s="10" t="s">
        <v>219</v>
      </c>
      <c r="C6" s="10">
        <v>1</v>
      </c>
      <c r="D6" s="10" t="str">
        <f>A6&amp; " S" &amp;C6</f>
        <v>The Office S1</v>
      </c>
      <c r="E6" s="10">
        <v>5</v>
      </c>
      <c r="F6" s="10">
        <v>5</v>
      </c>
      <c r="G6" s="405" t="s">
        <v>238</v>
      </c>
      <c r="H6" s="39" t="s">
        <v>239</v>
      </c>
      <c r="I6" s="10" t="s">
        <v>239</v>
      </c>
      <c r="J6" s="434">
        <v>38461</v>
      </c>
      <c r="K6" s="10" t="str">
        <f>CHOOSE(WEEKDAY(J6),"Sun","Mon","Tue","Wed","Thu","Fri","Sat")</f>
        <v>Tue</v>
      </c>
      <c r="L6" s="40">
        <v>0.89583333333333326</v>
      </c>
      <c r="M6" s="10">
        <v>1005</v>
      </c>
      <c r="N6" s="10">
        <v>5</v>
      </c>
      <c r="O6" s="10">
        <v>5</v>
      </c>
      <c r="P6" s="369" t="str">
        <f t="shared" si="0"/>
        <v/>
      </c>
      <c r="Q6" s="388" t="str">
        <f ca="1">VLOOKUP(EpisodeList[[#This Row],[Season Number]], INDIRECT("'" &amp; EpisodeList[[#This Row],[Show]] &amp; " Season Info'!C2:J15"), 8,1)</f>
        <v>2004-05</v>
      </c>
    </row>
    <row r="7" spans="1:21" x14ac:dyDescent="0.2">
      <c r="A7" s="9" t="s">
        <v>243</v>
      </c>
      <c r="B7" s="10" t="s">
        <v>219</v>
      </c>
      <c r="C7" s="10">
        <v>1</v>
      </c>
      <c r="D7" s="10" t="str">
        <f>A7&amp; " S" &amp;C7</f>
        <v>The Office S1</v>
      </c>
      <c r="E7" s="10">
        <v>6</v>
      </c>
      <c r="F7" s="10">
        <v>6</v>
      </c>
      <c r="G7" s="405" t="s">
        <v>240</v>
      </c>
      <c r="H7" s="39" t="s">
        <v>241</v>
      </c>
      <c r="I7" s="10" t="s">
        <v>242</v>
      </c>
      <c r="J7" s="434">
        <v>38468</v>
      </c>
      <c r="K7" s="10" t="str">
        <f>CHOOSE(WEEKDAY(J7),"Sun","Mon","Tue","Wed","Thu","Fri","Sat")</f>
        <v>Tue</v>
      </c>
      <c r="L7" s="40">
        <v>0.89583333333333326</v>
      </c>
      <c r="M7" s="10">
        <v>1003</v>
      </c>
      <c r="N7" s="10">
        <v>4.8</v>
      </c>
      <c r="O7" s="10">
        <v>6</v>
      </c>
      <c r="P7" s="369" t="str">
        <f t="shared" si="0"/>
        <v/>
      </c>
      <c r="Q7" s="388" t="str">
        <f ca="1">VLOOKUP(EpisodeList[[#This Row],[Season Number]], INDIRECT("'" &amp; EpisodeList[[#This Row],[Show]] &amp; " Season Info'!C2:J15"), 8,1)</f>
        <v>2004-05</v>
      </c>
    </row>
    <row r="8" spans="1:21" x14ac:dyDescent="0.2">
      <c r="A8" s="9" t="s">
        <v>243</v>
      </c>
      <c r="B8" s="13" t="s">
        <v>220</v>
      </c>
      <c r="C8" s="13">
        <v>2</v>
      </c>
      <c r="D8" s="13" t="str">
        <f>A8&amp; " S" &amp;C8</f>
        <v>The Office S2</v>
      </c>
      <c r="E8" s="13">
        <v>7</v>
      </c>
      <c r="F8" s="13">
        <v>1</v>
      </c>
      <c r="G8" s="406" t="s">
        <v>244</v>
      </c>
      <c r="H8" s="13" t="s">
        <v>239</v>
      </c>
      <c r="I8" s="13" t="s">
        <v>242</v>
      </c>
      <c r="J8" s="435">
        <v>38615</v>
      </c>
      <c r="K8" s="13" t="str">
        <f>CHOOSE(WEEKDAY(J8),"Sun","Mon","Tue","Wed","Thu","Fri","Sat")</f>
        <v>Tue</v>
      </c>
      <c r="L8" s="41">
        <v>0.89583333333333326</v>
      </c>
      <c r="M8" s="13">
        <v>2003</v>
      </c>
      <c r="N8" s="13">
        <v>9</v>
      </c>
      <c r="O8" s="13">
        <v>7</v>
      </c>
      <c r="P8" s="370" t="str">
        <f t="shared" si="0"/>
        <v/>
      </c>
      <c r="Q8" s="389" t="str">
        <f ca="1">VLOOKUP(EpisodeList[[#This Row],[Season Number]], INDIRECT("'" &amp; EpisodeList[[#This Row],[Show]] &amp; " Season Info'!C2:J15"), 8,1)</f>
        <v>2005-06</v>
      </c>
    </row>
    <row r="9" spans="1:21" x14ac:dyDescent="0.2">
      <c r="A9" s="9" t="s">
        <v>243</v>
      </c>
      <c r="B9" s="13" t="s">
        <v>220</v>
      </c>
      <c r="C9" s="13">
        <v>2</v>
      </c>
      <c r="D9" s="13" t="str">
        <f>A9&amp; " S" &amp;C9</f>
        <v>The Office S2</v>
      </c>
      <c r="E9" s="13">
        <v>8</v>
      </c>
      <c r="F9" s="13">
        <v>2</v>
      </c>
      <c r="G9" s="406" t="s">
        <v>245</v>
      </c>
      <c r="H9" s="13" t="s">
        <v>229</v>
      </c>
      <c r="I9" s="13" t="s">
        <v>232</v>
      </c>
      <c r="J9" s="435">
        <v>38622</v>
      </c>
      <c r="K9" s="13" t="str">
        <f>CHOOSE(WEEKDAY(J9),"Sun","Mon","Tue","Wed","Thu","Fri","Sat")</f>
        <v>Tue</v>
      </c>
      <c r="L9" s="41">
        <v>0.89583333333333326</v>
      </c>
      <c r="M9" s="13">
        <v>2002</v>
      </c>
      <c r="N9" s="13">
        <v>7.13</v>
      </c>
      <c r="O9" s="13">
        <v>8</v>
      </c>
      <c r="P9" s="370" t="str">
        <f t="shared" si="0"/>
        <v/>
      </c>
      <c r="Q9" s="389" t="str">
        <f ca="1">VLOOKUP(EpisodeList[[#This Row],[Season Number]], INDIRECT("'" &amp; EpisodeList[[#This Row],[Show]] &amp; " Season Info'!C2:J15"), 8,1)</f>
        <v>2005-06</v>
      </c>
    </row>
    <row r="10" spans="1:21" x14ac:dyDescent="0.2">
      <c r="A10" s="9" t="s">
        <v>243</v>
      </c>
      <c r="B10" s="13" t="s">
        <v>220</v>
      </c>
      <c r="C10" s="13">
        <v>2</v>
      </c>
      <c r="D10" s="13" t="str">
        <f>A10&amp; " S" &amp;C10</f>
        <v>The Office S2</v>
      </c>
      <c r="E10" s="13">
        <v>9</v>
      </c>
      <c r="F10" s="13">
        <v>3</v>
      </c>
      <c r="G10" s="406" t="s">
        <v>246</v>
      </c>
      <c r="H10" s="13" t="s">
        <v>44</v>
      </c>
      <c r="I10" s="13" t="s">
        <v>237</v>
      </c>
      <c r="J10" s="435">
        <v>38629</v>
      </c>
      <c r="K10" s="13" t="str">
        <f>CHOOSE(WEEKDAY(J10),"Sun","Mon","Tue","Wed","Thu","Fri","Sat")</f>
        <v>Tue</v>
      </c>
      <c r="L10" s="41">
        <v>0.89583333333333326</v>
      </c>
      <c r="M10" s="13">
        <v>2004</v>
      </c>
      <c r="N10" s="315">
        <v>8.3000000000000007</v>
      </c>
      <c r="O10" s="13">
        <v>9</v>
      </c>
      <c r="P10" s="370" t="str">
        <f t="shared" si="0"/>
        <v/>
      </c>
      <c r="Q10" s="389" t="str">
        <f ca="1">VLOOKUP(EpisodeList[[#This Row],[Season Number]], INDIRECT("'" &amp; EpisodeList[[#This Row],[Show]] &amp; " Season Info'!C2:J15"), 8,1)</f>
        <v>2005-06</v>
      </c>
    </row>
    <row r="11" spans="1:21" x14ac:dyDescent="0.2">
      <c r="A11" s="9" t="s">
        <v>243</v>
      </c>
      <c r="B11" s="13" t="s">
        <v>220</v>
      </c>
      <c r="C11" s="13">
        <v>2</v>
      </c>
      <c r="D11" s="13" t="str">
        <f>A11&amp; " S" &amp;C11</f>
        <v>The Office S2</v>
      </c>
      <c r="E11" s="13">
        <v>10</v>
      </c>
      <c r="F11" s="13">
        <v>4</v>
      </c>
      <c r="G11" s="406" t="s">
        <v>247</v>
      </c>
      <c r="H11" s="13" t="s">
        <v>229</v>
      </c>
      <c r="I11" s="13" t="s">
        <v>232</v>
      </c>
      <c r="J11" s="435">
        <v>38636</v>
      </c>
      <c r="K11" s="13" t="str">
        <f>CHOOSE(WEEKDAY(J11),"Sun","Mon","Tue","Wed","Thu","Fri","Sat")</f>
        <v>Tue</v>
      </c>
      <c r="L11" s="41">
        <v>0.89583333333333326</v>
      </c>
      <c r="M11" s="13">
        <v>2001</v>
      </c>
      <c r="N11" s="13">
        <v>7.6</v>
      </c>
      <c r="O11" s="13">
        <v>10</v>
      </c>
      <c r="P11" s="370" t="str">
        <f t="shared" si="0"/>
        <v/>
      </c>
      <c r="Q11" s="389" t="str">
        <f ca="1">VLOOKUP(EpisodeList[[#This Row],[Season Number]], INDIRECT("'" &amp; EpisodeList[[#This Row],[Show]] &amp; " Season Info'!C2:J15"), 8,1)</f>
        <v>2005-06</v>
      </c>
    </row>
    <row r="12" spans="1:21" x14ac:dyDescent="0.2">
      <c r="A12" s="9" t="s">
        <v>243</v>
      </c>
      <c r="B12" s="13" t="s">
        <v>220</v>
      </c>
      <c r="C12" s="13">
        <v>2</v>
      </c>
      <c r="D12" s="13" t="str">
        <f>A12&amp; " S" &amp;C12</f>
        <v>The Office S2</v>
      </c>
      <c r="E12" s="13">
        <v>11</v>
      </c>
      <c r="F12" s="13">
        <v>5</v>
      </c>
      <c r="G12" s="406" t="s">
        <v>248</v>
      </c>
      <c r="H12" s="13" t="s">
        <v>44</v>
      </c>
      <c r="I12" s="13" t="s">
        <v>239</v>
      </c>
      <c r="J12" s="435">
        <v>38643</v>
      </c>
      <c r="K12" s="13" t="str">
        <f>CHOOSE(WEEKDAY(J12),"Sun","Mon","Tue","Wed","Thu","Fri","Sat")</f>
        <v>Tue</v>
      </c>
      <c r="L12" s="41">
        <v>0.89583333333333326</v>
      </c>
      <c r="M12" s="13">
        <v>2006</v>
      </c>
      <c r="N12" s="13">
        <v>8</v>
      </c>
      <c r="O12" s="13">
        <v>11</v>
      </c>
      <c r="P12" s="370" t="str">
        <f t="shared" si="0"/>
        <v/>
      </c>
      <c r="Q12" s="389" t="str">
        <f ca="1">VLOOKUP(EpisodeList[[#This Row],[Season Number]], INDIRECT("'" &amp; EpisodeList[[#This Row],[Show]] &amp; " Season Info'!C2:J15"), 8,1)</f>
        <v>2005-06</v>
      </c>
    </row>
    <row r="13" spans="1:21" x14ac:dyDescent="0.2">
      <c r="A13" s="9" t="s">
        <v>243</v>
      </c>
      <c r="B13" s="13" t="s">
        <v>220</v>
      </c>
      <c r="C13" s="13">
        <v>2</v>
      </c>
      <c r="D13" s="13" t="str">
        <f>A13&amp; " S" &amp;C13</f>
        <v>The Office S2</v>
      </c>
      <c r="E13" s="13">
        <v>12</v>
      </c>
      <c r="F13" s="13">
        <v>6</v>
      </c>
      <c r="G13" s="406" t="s">
        <v>249</v>
      </c>
      <c r="H13" s="13" t="s">
        <v>229</v>
      </c>
      <c r="I13" s="13" t="s">
        <v>250</v>
      </c>
      <c r="J13" s="435">
        <v>38657</v>
      </c>
      <c r="K13" s="13" t="str">
        <f>CHOOSE(WEEKDAY(J13),"Sun","Mon","Tue","Wed","Thu","Fri","Sat")</f>
        <v>Tue</v>
      </c>
      <c r="L13" s="41">
        <v>0.89583333333333326</v>
      </c>
      <c r="M13" s="13">
        <v>2007</v>
      </c>
      <c r="N13" s="13">
        <v>7.9</v>
      </c>
      <c r="O13" s="13">
        <v>12</v>
      </c>
      <c r="P13" s="370" t="str">
        <f t="shared" si="0"/>
        <v/>
      </c>
      <c r="Q13" s="389" t="str">
        <f ca="1">VLOOKUP(EpisodeList[[#This Row],[Season Number]], INDIRECT("'" &amp; EpisodeList[[#This Row],[Show]] &amp; " Season Info'!C2:J15"), 8,1)</f>
        <v>2005-06</v>
      </c>
    </row>
    <row r="14" spans="1:21" x14ac:dyDescent="0.2">
      <c r="A14" s="9" t="s">
        <v>243</v>
      </c>
      <c r="B14" s="13" t="s">
        <v>220</v>
      </c>
      <c r="C14" s="13">
        <v>2</v>
      </c>
      <c r="D14" s="13" t="str">
        <f>A14&amp; " S" &amp;C14</f>
        <v>The Office S2</v>
      </c>
      <c r="E14" s="13">
        <v>13</v>
      </c>
      <c r="F14" s="13">
        <v>7</v>
      </c>
      <c r="G14" s="406" t="s">
        <v>251</v>
      </c>
      <c r="H14" s="13" t="s">
        <v>239</v>
      </c>
      <c r="I14" s="13" t="s">
        <v>234</v>
      </c>
      <c r="J14" s="435">
        <v>38664</v>
      </c>
      <c r="K14" s="13" t="str">
        <f>CHOOSE(WEEKDAY(J14),"Sun","Mon","Tue","Wed","Thu","Fri","Sat")</f>
        <v>Tue</v>
      </c>
      <c r="L14" s="41">
        <v>0.89583333333333326</v>
      </c>
      <c r="M14" s="13">
        <v>2005</v>
      </c>
      <c r="N14" s="13">
        <v>7.5</v>
      </c>
      <c r="O14" s="13">
        <v>13</v>
      </c>
      <c r="P14" s="370" t="str">
        <f t="shared" si="0"/>
        <v/>
      </c>
      <c r="Q14" s="389" t="str">
        <f ca="1">VLOOKUP(EpisodeList[[#This Row],[Season Number]], INDIRECT("'" &amp; EpisodeList[[#This Row],[Show]] &amp; " Season Info'!C2:J15"), 8,1)</f>
        <v>2005-06</v>
      </c>
    </row>
    <row r="15" spans="1:21" x14ac:dyDescent="0.2">
      <c r="A15" s="9" t="s">
        <v>243</v>
      </c>
      <c r="B15" s="13" t="s">
        <v>220</v>
      </c>
      <c r="C15" s="13">
        <v>2</v>
      </c>
      <c r="D15" s="13" t="str">
        <f>A15&amp; " S" &amp;C15</f>
        <v>The Office S2</v>
      </c>
      <c r="E15" s="13">
        <v>14</v>
      </c>
      <c r="F15" s="13">
        <v>8</v>
      </c>
      <c r="G15" s="406" t="s">
        <v>252</v>
      </c>
      <c r="H15" s="13" t="s">
        <v>44</v>
      </c>
      <c r="I15" s="13" t="s">
        <v>253</v>
      </c>
      <c r="J15" s="435">
        <v>38671</v>
      </c>
      <c r="K15" s="13" t="str">
        <f>CHOOSE(WEEKDAY(J15),"Sun","Mon","Tue","Wed","Thu","Fri","Sat")</f>
        <v>Tue</v>
      </c>
      <c r="L15" s="41">
        <v>0.89583333333333326</v>
      </c>
      <c r="M15" s="13">
        <v>2009</v>
      </c>
      <c r="N15" s="13">
        <v>8</v>
      </c>
      <c r="O15" s="13">
        <v>14</v>
      </c>
      <c r="P15" s="370" t="str">
        <f t="shared" si="0"/>
        <v/>
      </c>
      <c r="Q15" s="389" t="str">
        <f ca="1">VLOOKUP(EpisodeList[[#This Row],[Season Number]], INDIRECT("'" &amp; EpisodeList[[#This Row],[Show]] &amp; " Season Info'!C2:J15"), 8,1)</f>
        <v>2005-06</v>
      </c>
    </row>
    <row r="16" spans="1:21" x14ac:dyDescent="0.2">
      <c r="A16" s="9" t="s">
        <v>243</v>
      </c>
      <c r="B16" s="13" t="s">
        <v>220</v>
      </c>
      <c r="C16" s="13">
        <v>2</v>
      </c>
      <c r="D16" s="13" t="str">
        <f>A16&amp; " S" &amp;C16</f>
        <v>The Office S2</v>
      </c>
      <c r="E16" s="13">
        <v>15</v>
      </c>
      <c r="F16" s="13">
        <v>9</v>
      </c>
      <c r="G16" s="406" t="s">
        <v>254</v>
      </c>
      <c r="H16" s="13" t="s">
        <v>44</v>
      </c>
      <c r="I16" s="13" t="s">
        <v>255</v>
      </c>
      <c r="J16" s="435">
        <v>38678</v>
      </c>
      <c r="K16" s="13" t="str">
        <f>CHOOSE(WEEKDAY(J16),"Sun","Mon","Tue","Wed","Thu","Fri","Sat")</f>
        <v>Tue</v>
      </c>
      <c r="L16" s="41">
        <v>0.89583333333333326</v>
      </c>
      <c r="M16" s="13">
        <v>2008</v>
      </c>
      <c r="N16" s="13">
        <v>8.1</v>
      </c>
      <c r="O16" s="13">
        <v>15</v>
      </c>
      <c r="P16" s="370" t="str">
        <f t="shared" si="0"/>
        <v/>
      </c>
      <c r="Q16" s="389" t="str">
        <f ca="1">VLOOKUP(EpisodeList[[#This Row],[Season Number]], INDIRECT("'" &amp; EpisodeList[[#This Row],[Show]] &amp; " Season Info'!C2:J15"), 8,1)</f>
        <v>2005-06</v>
      </c>
    </row>
    <row r="17" spans="1:17" x14ac:dyDescent="0.2">
      <c r="A17" s="9" t="s">
        <v>243</v>
      </c>
      <c r="B17" s="13" t="s">
        <v>220</v>
      </c>
      <c r="C17" s="13">
        <v>2</v>
      </c>
      <c r="D17" s="13" t="str">
        <f>A17&amp; " S" &amp;C17</f>
        <v>The Office S2</v>
      </c>
      <c r="E17" s="13">
        <v>16</v>
      </c>
      <c r="F17" s="13">
        <v>10</v>
      </c>
      <c r="G17" s="406" t="s">
        <v>256</v>
      </c>
      <c r="H17" s="13" t="s">
        <v>257</v>
      </c>
      <c r="I17" s="13" t="s">
        <v>237</v>
      </c>
      <c r="J17" s="435">
        <v>38692</v>
      </c>
      <c r="K17" s="13" t="str">
        <f>CHOOSE(WEEKDAY(J17),"Sun","Mon","Tue","Wed","Thu","Fri","Sat")</f>
        <v>Tue</v>
      </c>
      <c r="L17" s="41">
        <v>0.89583333333333326</v>
      </c>
      <c r="M17" s="13">
        <v>2010</v>
      </c>
      <c r="N17" s="13">
        <v>9.6999999999999993</v>
      </c>
      <c r="O17" s="13">
        <v>16</v>
      </c>
      <c r="P17" s="370" t="str">
        <f t="shared" si="0"/>
        <v/>
      </c>
      <c r="Q17" s="389" t="str">
        <f ca="1">VLOOKUP(EpisodeList[[#This Row],[Season Number]], INDIRECT("'" &amp; EpisodeList[[#This Row],[Show]] &amp; " Season Info'!C2:J15"), 8,1)</f>
        <v>2005-06</v>
      </c>
    </row>
    <row r="18" spans="1:17" x14ac:dyDescent="0.2">
      <c r="A18" s="9" t="s">
        <v>243</v>
      </c>
      <c r="B18" s="13" t="s">
        <v>220</v>
      </c>
      <c r="C18" s="13">
        <v>2</v>
      </c>
      <c r="D18" s="13" t="str">
        <f>A18&amp; " S" &amp;C18</f>
        <v>The Office S2</v>
      </c>
      <c r="E18" s="13">
        <v>17</v>
      </c>
      <c r="F18" s="13">
        <v>11</v>
      </c>
      <c r="G18" s="406" t="s">
        <v>258</v>
      </c>
      <c r="H18" s="13" t="s">
        <v>229</v>
      </c>
      <c r="I18" s="13" t="s">
        <v>239</v>
      </c>
      <c r="J18" s="435">
        <v>38722</v>
      </c>
      <c r="K18" s="13" t="str">
        <f>CHOOSE(WEEKDAY(J18),"Sun","Mon","Tue","Wed","Thu","Fri","Sat")</f>
        <v>Thu</v>
      </c>
      <c r="L18" s="41">
        <v>0.89583333333333326</v>
      </c>
      <c r="M18" s="13">
        <v>2013</v>
      </c>
      <c r="N18" s="13">
        <v>8.6999999999999993</v>
      </c>
      <c r="O18" s="13">
        <v>17</v>
      </c>
      <c r="P18" s="370" t="str">
        <f t="shared" si="0"/>
        <v/>
      </c>
      <c r="Q18" s="389" t="str">
        <f ca="1">VLOOKUP(EpisodeList[[#This Row],[Season Number]], INDIRECT("'" &amp; EpisodeList[[#This Row],[Show]] &amp; " Season Info'!C2:J15"), 8,1)</f>
        <v>2005-06</v>
      </c>
    </row>
    <row r="19" spans="1:17" x14ac:dyDescent="0.2">
      <c r="A19" s="9" t="s">
        <v>243</v>
      </c>
      <c r="B19" s="13" t="s">
        <v>220</v>
      </c>
      <c r="C19" s="13">
        <v>2</v>
      </c>
      <c r="D19" s="13" t="str">
        <f>A19&amp; " S" &amp;C19</f>
        <v>The Office S2</v>
      </c>
      <c r="E19" s="13">
        <v>18</v>
      </c>
      <c r="F19" s="13">
        <v>12</v>
      </c>
      <c r="G19" s="406" t="s">
        <v>259</v>
      </c>
      <c r="H19" s="13" t="s">
        <v>236</v>
      </c>
      <c r="I19" s="13" t="s">
        <v>242</v>
      </c>
      <c r="J19" s="435">
        <v>38729</v>
      </c>
      <c r="K19" s="13" t="str">
        <f>CHOOSE(WEEKDAY(J19),"Sun","Mon","Tue","Wed","Thu","Fri","Sat")</f>
        <v>Thu</v>
      </c>
      <c r="L19" s="41">
        <v>0.89583333333333326</v>
      </c>
      <c r="M19" s="13">
        <v>2011</v>
      </c>
      <c r="N19" s="13">
        <v>10.3</v>
      </c>
      <c r="O19" s="13">
        <v>18</v>
      </c>
      <c r="P19" s="370" t="str">
        <f t="shared" si="0"/>
        <v/>
      </c>
      <c r="Q19" s="389" t="str">
        <f ca="1">VLOOKUP(EpisodeList[[#This Row],[Season Number]], INDIRECT("'" &amp; EpisodeList[[#This Row],[Show]] &amp; " Season Info'!C2:J15"), 8,1)</f>
        <v>2005-06</v>
      </c>
    </row>
    <row r="20" spans="1:17" x14ac:dyDescent="0.2">
      <c r="A20" s="9" t="s">
        <v>243</v>
      </c>
      <c r="B20" s="13" t="s">
        <v>220</v>
      </c>
      <c r="C20" s="13">
        <v>2</v>
      </c>
      <c r="D20" s="13" t="str">
        <f>A20&amp; " S" &amp;C20</f>
        <v>The Office S2</v>
      </c>
      <c r="E20" s="13">
        <v>19</v>
      </c>
      <c r="F20" s="13">
        <v>13</v>
      </c>
      <c r="G20" s="406" t="s">
        <v>260</v>
      </c>
      <c r="H20" s="13" t="s">
        <v>40</v>
      </c>
      <c r="I20" s="13" t="s">
        <v>261</v>
      </c>
      <c r="J20" s="435">
        <v>38736</v>
      </c>
      <c r="K20" s="13" t="str">
        <f>CHOOSE(WEEKDAY(J20),"Sun","Mon","Tue","Wed","Thu","Fri","Sat")</f>
        <v>Thu</v>
      </c>
      <c r="L20" s="41">
        <v>0.89583333333333326</v>
      </c>
      <c r="M20" s="13">
        <v>2014</v>
      </c>
      <c r="N20" s="13">
        <v>8.6999999999999993</v>
      </c>
      <c r="O20" s="13">
        <v>19</v>
      </c>
      <c r="P20" s="370" t="str">
        <f t="shared" si="0"/>
        <v/>
      </c>
      <c r="Q20" s="389" t="str">
        <f ca="1">VLOOKUP(EpisodeList[[#This Row],[Season Number]], INDIRECT("'" &amp; EpisodeList[[#This Row],[Show]] &amp; " Season Info'!C2:J15"), 8,1)</f>
        <v>2005-06</v>
      </c>
    </row>
    <row r="21" spans="1:17" x14ac:dyDescent="0.2">
      <c r="A21" s="9" t="s">
        <v>243</v>
      </c>
      <c r="B21" s="13" t="s">
        <v>220</v>
      </c>
      <c r="C21" s="13">
        <v>2</v>
      </c>
      <c r="D21" s="13" t="str">
        <f>A21&amp; " S" &amp;C21</f>
        <v>The Office S2</v>
      </c>
      <c r="E21" s="13">
        <v>20</v>
      </c>
      <c r="F21" s="13">
        <v>14</v>
      </c>
      <c r="G21" s="406" t="s">
        <v>262</v>
      </c>
      <c r="H21" s="13" t="s">
        <v>263</v>
      </c>
      <c r="I21" s="13" t="s">
        <v>234</v>
      </c>
      <c r="J21" s="435">
        <v>38743</v>
      </c>
      <c r="K21" s="13" t="str">
        <f>CHOOSE(WEEKDAY(J21),"Sun","Mon","Tue","Wed","Thu","Fri","Sat")</f>
        <v>Thu</v>
      </c>
      <c r="L21" s="41">
        <v>0.89583333333333326</v>
      </c>
      <c r="M21" s="13">
        <v>2012</v>
      </c>
      <c r="N21" s="13">
        <v>8.6</v>
      </c>
      <c r="O21" s="13">
        <v>20</v>
      </c>
      <c r="P21" s="370" t="str">
        <f t="shared" si="0"/>
        <v/>
      </c>
      <c r="Q21" s="389" t="str">
        <f ca="1">VLOOKUP(EpisodeList[[#This Row],[Season Number]], INDIRECT("'" &amp; EpisodeList[[#This Row],[Show]] &amp; " Season Info'!C2:J15"), 8,1)</f>
        <v>2005-06</v>
      </c>
    </row>
    <row r="22" spans="1:17" x14ac:dyDescent="0.2">
      <c r="A22" s="9" t="s">
        <v>243</v>
      </c>
      <c r="B22" s="13" t="s">
        <v>220</v>
      </c>
      <c r="C22" s="13">
        <v>2</v>
      </c>
      <c r="D22" s="13" t="str">
        <f>A22&amp; " S" &amp;C22</f>
        <v>The Office S2</v>
      </c>
      <c r="E22" s="13">
        <v>21</v>
      </c>
      <c r="F22" s="13">
        <v>15</v>
      </c>
      <c r="G22" s="406" t="s">
        <v>264</v>
      </c>
      <c r="H22" s="13" t="s">
        <v>40</v>
      </c>
      <c r="I22" s="13" t="s">
        <v>232</v>
      </c>
      <c r="J22" s="435">
        <v>38750</v>
      </c>
      <c r="K22" s="13" t="str">
        <f>CHOOSE(WEEKDAY(J22),"Sun","Mon","Tue","Wed","Thu","Fri","Sat")</f>
        <v>Thu</v>
      </c>
      <c r="L22" s="41">
        <v>0.89583333333333326</v>
      </c>
      <c r="M22" s="13">
        <v>2015</v>
      </c>
      <c r="N22" s="13">
        <v>5.42</v>
      </c>
      <c r="O22" s="13">
        <v>21</v>
      </c>
      <c r="P22" s="370" t="str">
        <f t="shared" si="0"/>
        <v/>
      </c>
      <c r="Q22" s="389" t="str">
        <f ca="1">VLOOKUP(EpisodeList[[#This Row],[Season Number]], INDIRECT("'" &amp; EpisodeList[[#This Row],[Show]] &amp; " Season Info'!C2:J15"), 8,1)</f>
        <v>2005-06</v>
      </c>
    </row>
    <row r="23" spans="1:17" x14ac:dyDescent="0.2">
      <c r="A23" s="9" t="s">
        <v>243</v>
      </c>
      <c r="B23" s="13" t="s">
        <v>220</v>
      </c>
      <c r="C23" s="13">
        <v>2</v>
      </c>
      <c r="D23" s="13" t="str">
        <f>A23&amp; " S" &amp;C23</f>
        <v>The Office S2</v>
      </c>
      <c r="E23" s="13">
        <v>22</v>
      </c>
      <c r="F23" s="13">
        <v>16</v>
      </c>
      <c r="G23" s="406" t="s">
        <v>265</v>
      </c>
      <c r="H23" s="13" t="s">
        <v>239</v>
      </c>
      <c r="I23" s="13" t="s">
        <v>237</v>
      </c>
      <c r="J23" s="435">
        <v>38757</v>
      </c>
      <c r="K23" s="13" t="str">
        <f>CHOOSE(WEEKDAY(J23),"Sun","Mon","Tue","Wed","Thu","Fri","Sat")</f>
        <v>Thu</v>
      </c>
      <c r="L23" s="41">
        <v>0.89583333333333326</v>
      </c>
      <c r="M23" s="13">
        <v>2016</v>
      </c>
      <c r="N23" s="13">
        <v>8.9499999999999993</v>
      </c>
      <c r="O23" s="13">
        <v>22</v>
      </c>
      <c r="P23" s="370" t="str">
        <f t="shared" si="0"/>
        <v/>
      </c>
      <c r="Q23" s="389" t="str">
        <f ca="1">VLOOKUP(EpisodeList[[#This Row],[Season Number]], INDIRECT("'" &amp; EpisodeList[[#This Row],[Show]] &amp; " Season Info'!C2:J15"), 8,1)</f>
        <v>2005-06</v>
      </c>
    </row>
    <row r="24" spans="1:17" x14ac:dyDescent="0.2">
      <c r="A24" s="9" t="s">
        <v>243</v>
      </c>
      <c r="B24" s="13" t="s">
        <v>220</v>
      </c>
      <c r="C24" s="13">
        <v>2</v>
      </c>
      <c r="D24" s="13" t="str">
        <f>A24&amp; " S" &amp;C24</f>
        <v>The Office S2</v>
      </c>
      <c r="E24" s="13">
        <v>23</v>
      </c>
      <c r="F24" s="13">
        <v>17</v>
      </c>
      <c r="G24" s="406" t="s">
        <v>266</v>
      </c>
      <c r="H24" s="13" t="s">
        <v>257</v>
      </c>
      <c r="I24" s="13" t="s">
        <v>234</v>
      </c>
      <c r="J24" s="435">
        <v>38778</v>
      </c>
      <c r="K24" s="13" t="str">
        <f>CHOOSE(WEEKDAY(J24),"Sun","Mon","Tue","Wed","Thu","Fri","Sat")</f>
        <v>Thu</v>
      </c>
      <c r="L24" s="41">
        <v>0.89583333333333326</v>
      </c>
      <c r="M24" s="13">
        <v>2017</v>
      </c>
      <c r="N24" s="13">
        <v>8.4</v>
      </c>
      <c r="O24" s="13">
        <v>23</v>
      </c>
      <c r="P24" s="370" t="str">
        <f t="shared" si="0"/>
        <v/>
      </c>
      <c r="Q24" s="389" t="str">
        <f ca="1">VLOOKUP(EpisodeList[[#This Row],[Season Number]], INDIRECT("'" &amp; EpisodeList[[#This Row],[Show]] &amp; " Season Info'!C2:J15"), 8,1)</f>
        <v>2005-06</v>
      </c>
    </row>
    <row r="25" spans="1:17" x14ac:dyDescent="0.2">
      <c r="A25" s="9" t="s">
        <v>243</v>
      </c>
      <c r="B25" s="13" t="s">
        <v>220</v>
      </c>
      <c r="C25" s="13">
        <v>2</v>
      </c>
      <c r="D25" s="13" t="str">
        <f>A25&amp; " S" &amp;C25</f>
        <v>The Office S2</v>
      </c>
      <c r="E25" s="13">
        <v>24</v>
      </c>
      <c r="F25" s="13">
        <v>18</v>
      </c>
      <c r="G25" s="406" t="s">
        <v>267</v>
      </c>
      <c r="H25" s="13" t="s">
        <v>263</v>
      </c>
      <c r="I25" s="13" t="s">
        <v>242</v>
      </c>
      <c r="J25" s="435">
        <v>38792</v>
      </c>
      <c r="K25" s="13" t="str">
        <f>CHOOSE(WEEKDAY(J25),"Sun","Mon","Tue","Wed","Thu","Fri","Sat")</f>
        <v>Thu</v>
      </c>
      <c r="L25" s="41">
        <v>0.89583333333333326</v>
      </c>
      <c r="M25" s="13">
        <v>2018</v>
      </c>
      <c r="N25" s="13">
        <v>8.8000000000000007</v>
      </c>
      <c r="O25" s="13">
        <v>24</v>
      </c>
      <c r="P25" s="370" t="str">
        <f t="shared" si="0"/>
        <v/>
      </c>
      <c r="Q25" s="389" t="str">
        <f ca="1">VLOOKUP(EpisodeList[[#This Row],[Season Number]], INDIRECT("'" &amp; EpisodeList[[#This Row],[Show]] &amp; " Season Info'!C2:J15"), 8,1)</f>
        <v>2005-06</v>
      </c>
    </row>
    <row r="26" spans="1:17" x14ac:dyDescent="0.2">
      <c r="A26" s="9" t="s">
        <v>243</v>
      </c>
      <c r="B26" s="13" t="s">
        <v>220</v>
      </c>
      <c r="C26" s="13">
        <v>2</v>
      </c>
      <c r="D26" s="13" t="str">
        <f>A26&amp; " S" &amp;C26</f>
        <v>The Office S2</v>
      </c>
      <c r="E26" s="13">
        <v>25</v>
      </c>
      <c r="F26" s="13">
        <v>19</v>
      </c>
      <c r="G26" s="406" t="s">
        <v>268</v>
      </c>
      <c r="H26" s="13" t="s">
        <v>90</v>
      </c>
      <c r="I26" s="13" t="s">
        <v>250</v>
      </c>
      <c r="J26" s="435">
        <v>38806</v>
      </c>
      <c r="K26" s="13" t="str">
        <f>CHOOSE(WEEKDAY(J26),"Sun","Mon","Tue","Wed","Thu","Fri","Sat")</f>
        <v>Thu</v>
      </c>
      <c r="L26" s="41">
        <v>0.89583333333333326</v>
      </c>
      <c r="M26" s="13">
        <v>2019</v>
      </c>
      <c r="N26" s="13">
        <v>7.8</v>
      </c>
      <c r="O26" s="13">
        <v>25</v>
      </c>
      <c r="P26" s="370" t="str">
        <f t="shared" si="0"/>
        <v/>
      </c>
      <c r="Q26" s="389" t="str">
        <f ca="1">VLOOKUP(EpisodeList[[#This Row],[Season Number]], INDIRECT("'" &amp; EpisodeList[[#This Row],[Show]] &amp; " Season Info'!C2:J15"), 8,1)</f>
        <v>2005-06</v>
      </c>
    </row>
    <row r="27" spans="1:17" x14ac:dyDescent="0.2">
      <c r="A27" s="9" t="s">
        <v>243</v>
      </c>
      <c r="B27" s="13" t="s">
        <v>220</v>
      </c>
      <c r="C27" s="13">
        <v>2</v>
      </c>
      <c r="D27" s="13" t="str">
        <f>A27&amp; " S" &amp;C27</f>
        <v>The Office S2</v>
      </c>
      <c r="E27" s="13">
        <v>26</v>
      </c>
      <c r="F27" s="13">
        <v>20</v>
      </c>
      <c r="G27" s="406" t="s">
        <v>269</v>
      </c>
      <c r="H27" s="13" t="s">
        <v>239</v>
      </c>
      <c r="I27" s="13" t="s">
        <v>255</v>
      </c>
      <c r="J27" s="435">
        <v>38834</v>
      </c>
      <c r="K27" s="13" t="str">
        <f>CHOOSE(WEEKDAY(J27),"Sun","Mon","Tue","Wed","Thu","Fri","Sat")</f>
        <v>Thu</v>
      </c>
      <c r="L27" s="41">
        <v>0.89583333333333326</v>
      </c>
      <c r="M27" s="13">
        <v>2022</v>
      </c>
      <c r="N27" s="13">
        <v>7.8</v>
      </c>
      <c r="O27" s="13">
        <v>26</v>
      </c>
      <c r="P27" s="370" t="str">
        <f t="shared" si="0"/>
        <v/>
      </c>
      <c r="Q27" s="389" t="str">
        <f ca="1">VLOOKUP(EpisodeList[[#This Row],[Season Number]], INDIRECT("'" &amp; EpisodeList[[#This Row],[Show]] &amp; " Season Info'!C2:J15"), 8,1)</f>
        <v>2005-06</v>
      </c>
    </row>
    <row r="28" spans="1:17" x14ac:dyDescent="0.2">
      <c r="A28" s="9" t="s">
        <v>243</v>
      </c>
      <c r="B28" s="13" t="s">
        <v>220</v>
      </c>
      <c r="C28" s="13">
        <v>2</v>
      </c>
      <c r="D28" s="13" t="str">
        <f>A28&amp; " S" &amp;C28</f>
        <v>The Office S2</v>
      </c>
      <c r="E28" s="13">
        <v>27</v>
      </c>
      <c r="F28" s="13">
        <v>21</v>
      </c>
      <c r="G28" s="406" t="s">
        <v>270</v>
      </c>
      <c r="H28" s="13" t="s">
        <v>257</v>
      </c>
      <c r="I28" s="13" t="s">
        <v>239</v>
      </c>
      <c r="J28" s="435">
        <v>38841</v>
      </c>
      <c r="K28" s="13" t="str">
        <f>CHOOSE(WEEKDAY(J28),"Sun","Mon","Tue","Wed","Thu","Fri","Sat")</f>
        <v>Thu</v>
      </c>
      <c r="L28" s="41">
        <v>0.89583333333333326</v>
      </c>
      <c r="M28" s="13">
        <v>2020</v>
      </c>
      <c r="N28" s="13">
        <v>7.4</v>
      </c>
      <c r="O28" s="13">
        <v>27</v>
      </c>
      <c r="P28" s="370" t="str">
        <f t="shared" si="0"/>
        <v/>
      </c>
      <c r="Q28" s="389" t="str">
        <f ca="1">VLOOKUP(EpisodeList[[#This Row],[Season Number]], INDIRECT("'" &amp; EpisodeList[[#This Row],[Show]] &amp; " Season Info'!C2:J15"), 8,1)</f>
        <v>2005-06</v>
      </c>
    </row>
    <row r="29" spans="1:17" x14ac:dyDescent="0.2">
      <c r="A29" s="9" t="s">
        <v>243</v>
      </c>
      <c r="B29" s="13" t="s">
        <v>220</v>
      </c>
      <c r="C29" s="13">
        <v>2</v>
      </c>
      <c r="D29" s="13" t="str">
        <f>A29&amp; " S" &amp;C29</f>
        <v>The Office S2</v>
      </c>
      <c r="E29" s="13">
        <v>28</v>
      </c>
      <c r="F29" s="13">
        <v>22</v>
      </c>
      <c r="G29" s="406" t="s">
        <v>272</v>
      </c>
      <c r="H29" s="13" t="s">
        <v>229</v>
      </c>
      <c r="I29" s="13" t="s">
        <v>271</v>
      </c>
      <c r="J29" s="435">
        <v>38848</v>
      </c>
      <c r="K29" s="13" t="str">
        <f>CHOOSE(WEEKDAY(J29),"Sun","Mon","Tue","Wed","Thu","Fri","Sat")</f>
        <v>Thu</v>
      </c>
      <c r="L29" s="41">
        <v>0.89583333333333326</v>
      </c>
      <c r="M29" s="13">
        <v>2021</v>
      </c>
      <c r="N29" s="13">
        <v>7.6</v>
      </c>
      <c r="O29" s="13">
        <v>28</v>
      </c>
      <c r="P29" s="370" t="str">
        <f t="shared" si="0"/>
        <v/>
      </c>
      <c r="Q29" s="389" t="str">
        <f ca="1">VLOOKUP(EpisodeList[[#This Row],[Season Number]], INDIRECT("'" &amp; EpisodeList[[#This Row],[Show]] &amp; " Season Info'!C2:J15"), 8,1)</f>
        <v>2005-06</v>
      </c>
    </row>
    <row r="30" spans="1:17" x14ac:dyDescent="0.2">
      <c r="A30" s="9" t="s">
        <v>243</v>
      </c>
      <c r="B30" s="14" t="s">
        <v>221</v>
      </c>
      <c r="C30" s="14">
        <v>3</v>
      </c>
      <c r="D30" s="14" t="str">
        <f>A30&amp; " S" &amp;C30</f>
        <v>The Office S3</v>
      </c>
      <c r="E30" s="14">
        <v>29</v>
      </c>
      <c r="F30" s="14">
        <v>1</v>
      </c>
      <c r="G30" s="407" t="s">
        <v>273</v>
      </c>
      <c r="H30" s="14" t="s">
        <v>229</v>
      </c>
      <c r="I30" s="14" t="s">
        <v>239</v>
      </c>
      <c r="J30" s="436">
        <v>38981</v>
      </c>
      <c r="K30" s="14" t="str">
        <f>CHOOSE(WEEKDAY(J30),"Sun","Mon","Tue","Wed","Thu","Fri","Sat")</f>
        <v>Thu</v>
      </c>
      <c r="L30" s="42">
        <v>0.85416666666666674</v>
      </c>
      <c r="M30" s="14">
        <v>3001</v>
      </c>
      <c r="N30" s="14">
        <v>9.11</v>
      </c>
      <c r="O30" s="14">
        <v>29</v>
      </c>
      <c r="P30" s="371" t="str">
        <f t="shared" si="0"/>
        <v/>
      </c>
      <c r="Q30" s="390" t="str">
        <f ca="1">VLOOKUP(EpisodeList[[#This Row],[Season Number]], INDIRECT("'" &amp; EpisodeList[[#This Row],[Show]] &amp; " Season Info'!C2:J15"), 8,1)</f>
        <v>2006-07</v>
      </c>
    </row>
    <row r="31" spans="1:17" x14ac:dyDescent="0.2">
      <c r="A31" s="9" t="s">
        <v>243</v>
      </c>
      <c r="B31" s="14" t="s">
        <v>221</v>
      </c>
      <c r="C31" s="14">
        <v>3</v>
      </c>
      <c r="D31" s="14" t="str">
        <f>A31&amp; " S" &amp;C31</f>
        <v>The Office S3</v>
      </c>
      <c r="E31" s="14">
        <v>30</v>
      </c>
      <c r="F31" s="14">
        <v>2</v>
      </c>
      <c r="G31" s="407" t="s">
        <v>274</v>
      </c>
      <c r="H31" s="14" t="s">
        <v>90</v>
      </c>
      <c r="I31" s="14" t="s">
        <v>250</v>
      </c>
      <c r="J31" s="436">
        <v>38988</v>
      </c>
      <c r="K31" s="14" t="str">
        <f>CHOOSE(WEEKDAY(J31),"Sun","Mon","Tue","Wed","Thu","Fri","Sat")</f>
        <v>Thu</v>
      </c>
      <c r="L31" s="42">
        <v>0.85416666666666674</v>
      </c>
      <c r="M31" s="14">
        <v>3006</v>
      </c>
      <c r="N31" s="14">
        <v>7.78</v>
      </c>
      <c r="O31" s="14">
        <v>30</v>
      </c>
      <c r="P31" s="371" t="str">
        <f t="shared" si="0"/>
        <v/>
      </c>
      <c r="Q31" s="390" t="str">
        <f ca="1">VLOOKUP(EpisodeList[[#This Row],[Season Number]], INDIRECT("'" &amp; EpisodeList[[#This Row],[Show]] &amp; " Season Info'!C2:J15"), 8,1)</f>
        <v>2006-07</v>
      </c>
    </row>
    <row r="32" spans="1:17" x14ac:dyDescent="0.2">
      <c r="A32" s="9" t="s">
        <v>243</v>
      </c>
      <c r="B32" s="14" t="s">
        <v>221</v>
      </c>
      <c r="C32" s="14">
        <v>3</v>
      </c>
      <c r="D32" s="14" t="str">
        <f>A32&amp; " S" &amp;C32</f>
        <v>The Office S3</v>
      </c>
      <c r="E32" s="14">
        <v>31</v>
      </c>
      <c r="F32" s="14">
        <v>3</v>
      </c>
      <c r="G32" s="407" t="s">
        <v>275</v>
      </c>
      <c r="H32" s="14" t="s">
        <v>239</v>
      </c>
      <c r="I32" s="14" t="s">
        <v>234</v>
      </c>
      <c r="J32" s="436">
        <v>38995</v>
      </c>
      <c r="K32" s="14" t="str">
        <f>CHOOSE(WEEKDAY(J32),"Sun","Mon","Tue","Wed","Thu","Fri","Sat")</f>
        <v>Thu</v>
      </c>
      <c r="L32" s="42">
        <v>0.85416666666666674</v>
      </c>
      <c r="M32" s="14">
        <v>3002</v>
      </c>
      <c r="N32" s="14">
        <v>8.89</v>
      </c>
      <c r="O32" s="14">
        <v>31</v>
      </c>
      <c r="P32" s="371" t="str">
        <f t="shared" si="0"/>
        <v/>
      </c>
      <c r="Q32" s="390" t="str">
        <f ca="1">VLOOKUP(EpisodeList[[#This Row],[Season Number]], INDIRECT("'" &amp; EpisodeList[[#This Row],[Show]] &amp; " Season Info'!C2:J15"), 8,1)</f>
        <v>2006-07</v>
      </c>
    </row>
    <row r="33" spans="1:17" x14ac:dyDescent="0.2">
      <c r="A33" s="15" t="s">
        <v>228</v>
      </c>
      <c r="B33" s="16" t="s">
        <v>219</v>
      </c>
      <c r="C33" s="16">
        <v>1</v>
      </c>
      <c r="D33" s="16" t="str">
        <f>A33&amp; " S" &amp;C33</f>
        <v>30 Rock S1</v>
      </c>
      <c r="E33" s="16">
        <v>1</v>
      </c>
      <c r="F33" s="16">
        <v>1</v>
      </c>
      <c r="G33" s="408" t="s">
        <v>7</v>
      </c>
      <c r="H33" s="16" t="s">
        <v>8</v>
      </c>
      <c r="I33" s="16" t="s">
        <v>9</v>
      </c>
      <c r="J33" s="437">
        <v>39001</v>
      </c>
      <c r="K33" s="16" t="str">
        <f>CHOOSE(WEEKDAY(J33),"Sun","Mon","Tue","Wed","Thu","Fri","Sat")</f>
        <v>Wed</v>
      </c>
      <c r="L33" s="43">
        <v>0.83333333333333326</v>
      </c>
      <c r="M33" s="16">
        <v>101</v>
      </c>
      <c r="N33" s="16">
        <v>8.1</v>
      </c>
      <c r="O33" s="16">
        <v>32</v>
      </c>
      <c r="P33" s="372" t="str">
        <f t="shared" si="0"/>
        <v/>
      </c>
      <c r="Q33" s="391" t="str">
        <f ca="1">VLOOKUP(EpisodeList[[#This Row],[Season Number]], INDIRECT("'" &amp; EpisodeList[[#This Row],[Show]] &amp; " Season Info'!C2:J15"), 8,1)</f>
        <v>2006-07</v>
      </c>
    </row>
    <row r="34" spans="1:17" x14ac:dyDescent="0.2">
      <c r="A34" s="9" t="s">
        <v>243</v>
      </c>
      <c r="B34" s="14" t="s">
        <v>221</v>
      </c>
      <c r="C34" s="14">
        <v>3</v>
      </c>
      <c r="D34" s="14" t="str">
        <f>A34&amp; " S" &amp;C34</f>
        <v>The Office S3</v>
      </c>
      <c r="E34" s="14">
        <v>32</v>
      </c>
      <c r="F34" s="14">
        <v>4</v>
      </c>
      <c r="G34" s="407" t="s">
        <v>276</v>
      </c>
      <c r="H34" s="14" t="s">
        <v>277</v>
      </c>
      <c r="I34" s="14" t="s">
        <v>255</v>
      </c>
      <c r="J34" s="436">
        <v>39002</v>
      </c>
      <c r="K34" s="14" t="str">
        <f>CHOOSE(WEEKDAY(J34),"Sun","Mon","Tue","Wed","Thu","Fri","Sat")</f>
        <v>Thu</v>
      </c>
      <c r="L34" s="42">
        <v>0.85416666666666674</v>
      </c>
      <c r="M34" s="14">
        <v>3003</v>
      </c>
      <c r="N34" s="14">
        <v>8.83</v>
      </c>
      <c r="O34" s="14">
        <v>33</v>
      </c>
      <c r="P34" s="371" t="str">
        <f t="shared" si="0"/>
        <v/>
      </c>
      <c r="Q34" s="390" t="str">
        <f ca="1">VLOOKUP(EpisodeList[[#This Row],[Season Number]], INDIRECT("'" &amp; EpisodeList[[#This Row],[Show]] &amp; " Season Info'!C2:J15"), 8,1)</f>
        <v>2006-07</v>
      </c>
    </row>
    <row r="35" spans="1:17" x14ac:dyDescent="0.2">
      <c r="A35" s="15" t="s">
        <v>228</v>
      </c>
      <c r="B35" s="16" t="s">
        <v>219</v>
      </c>
      <c r="C35" s="16">
        <v>1</v>
      </c>
      <c r="D35" s="16" t="str">
        <f>A35&amp; " S" &amp;C35</f>
        <v>30 Rock S1</v>
      </c>
      <c r="E35" s="16">
        <v>2</v>
      </c>
      <c r="F35" s="16">
        <v>2</v>
      </c>
      <c r="G35" s="408" t="s">
        <v>10</v>
      </c>
      <c r="H35" s="16" t="s">
        <v>8</v>
      </c>
      <c r="I35" s="16" t="s">
        <v>9</v>
      </c>
      <c r="J35" s="437">
        <v>39008</v>
      </c>
      <c r="K35" s="16" t="str">
        <f>CHOOSE(WEEKDAY(J35),"Sun","Mon","Tue","Wed","Thu","Fri","Sat")</f>
        <v>Wed</v>
      </c>
      <c r="L35" s="43">
        <v>0.83333333333333326</v>
      </c>
      <c r="M35" s="16">
        <v>102</v>
      </c>
      <c r="N35" s="16">
        <v>5.7</v>
      </c>
      <c r="O35" s="16">
        <v>34</v>
      </c>
      <c r="P35" s="372" t="str">
        <f t="shared" si="0"/>
        <v/>
      </c>
      <c r="Q35" s="391" t="str">
        <f ca="1">VLOOKUP(EpisodeList[[#This Row],[Season Number]], INDIRECT("'" &amp; EpisodeList[[#This Row],[Show]] &amp; " Season Info'!C2:J15"), 8,1)</f>
        <v>2006-07</v>
      </c>
    </row>
    <row r="36" spans="1:17" x14ac:dyDescent="0.2">
      <c r="A36" s="9" t="s">
        <v>243</v>
      </c>
      <c r="B36" s="14" t="s">
        <v>221</v>
      </c>
      <c r="C36" s="14">
        <v>3</v>
      </c>
      <c r="D36" s="14" t="str">
        <f>A36&amp; " S" &amp;C36</f>
        <v>The Office S3</v>
      </c>
      <c r="E36" s="14">
        <v>33</v>
      </c>
      <c r="F36" s="14">
        <v>5</v>
      </c>
      <c r="G36" s="407" t="s">
        <v>278</v>
      </c>
      <c r="H36" s="14" t="s">
        <v>279</v>
      </c>
      <c r="I36" s="14" t="s">
        <v>232</v>
      </c>
      <c r="J36" s="436">
        <v>39009</v>
      </c>
      <c r="K36" s="14" t="str">
        <f>CHOOSE(WEEKDAY(J36),"Sun","Mon","Tue","Wed","Thu","Fri","Sat")</f>
        <v>Thu</v>
      </c>
      <c r="L36" s="42">
        <v>0.85416666666666674</v>
      </c>
      <c r="M36" s="14">
        <v>3005</v>
      </c>
      <c r="N36" s="14">
        <v>8.4600000000000009</v>
      </c>
      <c r="O36" s="14">
        <v>35</v>
      </c>
      <c r="P36" s="371" t="str">
        <f t="shared" si="0"/>
        <v/>
      </c>
      <c r="Q36" s="390" t="str">
        <f ca="1">VLOOKUP(EpisodeList[[#This Row],[Season Number]], INDIRECT("'" &amp; EpisodeList[[#This Row],[Show]] &amp; " Season Info'!C2:J15"), 8,1)</f>
        <v>2006-07</v>
      </c>
    </row>
    <row r="37" spans="1:17" x14ac:dyDescent="0.2">
      <c r="A37" s="15" t="s">
        <v>228</v>
      </c>
      <c r="B37" s="16" t="s">
        <v>219</v>
      </c>
      <c r="C37" s="16">
        <v>1</v>
      </c>
      <c r="D37" s="16" t="str">
        <f>A37&amp; " S" &amp;C37</f>
        <v>30 Rock S1</v>
      </c>
      <c r="E37" s="16">
        <v>3</v>
      </c>
      <c r="F37" s="16">
        <v>3</v>
      </c>
      <c r="G37" s="408" t="s">
        <v>11</v>
      </c>
      <c r="H37" s="16" t="s">
        <v>8</v>
      </c>
      <c r="I37" s="16" t="s">
        <v>12</v>
      </c>
      <c r="J37" s="437">
        <v>39015</v>
      </c>
      <c r="K37" s="16" t="str">
        <f>CHOOSE(WEEKDAY(J37),"Sun","Mon","Tue","Wed","Thu","Fri","Sat")</f>
        <v>Wed</v>
      </c>
      <c r="L37" s="43">
        <v>0.83333333333333326</v>
      </c>
      <c r="M37" s="16">
        <v>103</v>
      </c>
      <c r="N37" s="16">
        <v>6</v>
      </c>
      <c r="O37" s="16">
        <v>36</v>
      </c>
      <c r="P37" s="372" t="str">
        <f t="shared" si="0"/>
        <v/>
      </c>
      <c r="Q37" s="391" t="str">
        <f ca="1">VLOOKUP(EpisodeList[[#This Row],[Season Number]], INDIRECT("'" &amp; EpisodeList[[#This Row],[Show]] &amp; " Season Info'!C2:J15"), 8,1)</f>
        <v>2006-07</v>
      </c>
    </row>
    <row r="38" spans="1:17" x14ac:dyDescent="0.2">
      <c r="A38" s="15" t="s">
        <v>228</v>
      </c>
      <c r="B38" s="16" t="s">
        <v>219</v>
      </c>
      <c r="C38" s="16">
        <v>1</v>
      </c>
      <c r="D38" s="16" t="str">
        <f>A38&amp; " S" &amp;C38</f>
        <v>30 Rock S1</v>
      </c>
      <c r="E38" s="16">
        <v>4</v>
      </c>
      <c r="F38" s="16">
        <v>4</v>
      </c>
      <c r="G38" s="408" t="s">
        <v>13</v>
      </c>
      <c r="H38" s="16" t="s">
        <v>14</v>
      </c>
      <c r="I38" s="16" t="s">
        <v>15</v>
      </c>
      <c r="J38" s="437">
        <v>39022</v>
      </c>
      <c r="K38" s="16" t="str">
        <f>CHOOSE(WEEKDAY(J38),"Sun","Mon","Tue","Wed","Thu","Fri","Sat")</f>
        <v>Wed</v>
      </c>
      <c r="L38" s="43">
        <v>0.83333333333333326</v>
      </c>
      <c r="M38" s="16">
        <v>104</v>
      </c>
      <c r="N38" s="16">
        <v>4.5999999999999996</v>
      </c>
      <c r="O38" s="16">
        <v>37</v>
      </c>
      <c r="P38" s="372" t="str">
        <f t="shared" si="0"/>
        <v/>
      </c>
      <c r="Q38" s="391" t="str">
        <f ca="1">VLOOKUP(EpisodeList[[#This Row],[Season Number]], INDIRECT("'" &amp; EpisodeList[[#This Row],[Show]] &amp; " Season Info'!C2:J15"), 8,1)</f>
        <v>2006-07</v>
      </c>
    </row>
    <row r="39" spans="1:17" x14ac:dyDescent="0.2">
      <c r="A39" s="9" t="s">
        <v>243</v>
      </c>
      <c r="B39" s="14" t="s">
        <v>221</v>
      </c>
      <c r="C39" s="14">
        <v>3</v>
      </c>
      <c r="D39" s="14" t="str">
        <f>A39&amp; " S" &amp;C39</f>
        <v>The Office S3</v>
      </c>
      <c r="E39" s="14">
        <v>34</v>
      </c>
      <c r="F39" s="14">
        <v>6</v>
      </c>
      <c r="G39" s="407" t="s">
        <v>280</v>
      </c>
      <c r="H39" s="14" t="s">
        <v>281</v>
      </c>
      <c r="I39" s="14" t="s">
        <v>242</v>
      </c>
      <c r="J39" s="436">
        <v>39023</v>
      </c>
      <c r="K39" s="14" t="str">
        <f>CHOOSE(WEEKDAY(J39),"Sun","Mon","Tue","Wed","Thu","Fri","Sat")</f>
        <v>Thu</v>
      </c>
      <c r="L39" s="42">
        <v>0.85416666666666674</v>
      </c>
      <c r="M39" s="14">
        <v>3004</v>
      </c>
      <c r="N39" s="14">
        <v>8.81</v>
      </c>
      <c r="O39" s="14">
        <v>38</v>
      </c>
      <c r="P39" s="371" t="str">
        <f t="shared" si="0"/>
        <v/>
      </c>
      <c r="Q39" s="390" t="str">
        <f ca="1">VLOOKUP(EpisodeList[[#This Row],[Season Number]], INDIRECT("'" &amp; EpisodeList[[#This Row],[Show]] &amp; " Season Info'!C2:J15"), 8,1)</f>
        <v>2006-07</v>
      </c>
    </row>
    <row r="40" spans="1:17" x14ac:dyDescent="0.2">
      <c r="A40" s="9" t="s">
        <v>243</v>
      </c>
      <c r="B40" s="14" t="s">
        <v>221</v>
      </c>
      <c r="C40" s="14">
        <v>3</v>
      </c>
      <c r="D40" s="14" t="str">
        <f>A40&amp; " S" &amp;C40</f>
        <v>The Office S3</v>
      </c>
      <c r="E40" s="14">
        <v>35</v>
      </c>
      <c r="F40" s="14">
        <v>7</v>
      </c>
      <c r="G40" s="407" t="s">
        <v>282</v>
      </c>
      <c r="H40" s="14" t="s">
        <v>283</v>
      </c>
      <c r="I40" s="14" t="s">
        <v>237</v>
      </c>
      <c r="J40" s="436">
        <v>39030</v>
      </c>
      <c r="K40" s="14" t="str">
        <f>CHOOSE(WEEKDAY(J40),"Sun","Mon","Tue","Wed","Thu","Fri","Sat")</f>
        <v>Thu</v>
      </c>
      <c r="L40" s="42">
        <v>0.85416666666666674</v>
      </c>
      <c r="M40" s="14">
        <v>3007</v>
      </c>
      <c r="N40" s="14">
        <v>8.0500000000000007</v>
      </c>
      <c r="O40" s="14">
        <v>39</v>
      </c>
      <c r="P40" s="371" t="str">
        <f t="shared" si="0"/>
        <v/>
      </c>
      <c r="Q40" s="390" t="str">
        <f ca="1">VLOOKUP(EpisodeList[[#This Row],[Season Number]], INDIRECT("'" &amp; EpisodeList[[#This Row],[Show]] &amp; " Season Info'!C2:J15"), 8,1)</f>
        <v>2006-07</v>
      </c>
    </row>
    <row r="41" spans="1:17" x14ac:dyDescent="0.2">
      <c r="A41" s="9" t="s">
        <v>243</v>
      </c>
      <c r="B41" s="14" t="s">
        <v>221</v>
      </c>
      <c r="C41" s="14">
        <v>3</v>
      </c>
      <c r="D41" s="14" t="str">
        <f>A41&amp; " S" &amp;C41</f>
        <v>The Office S3</v>
      </c>
      <c r="E41" s="14">
        <v>36</v>
      </c>
      <c r="F41" s="14">
        <v>8</v>
      </c>
      <c r="G41" s="407" t="s">
        <v>313</v>
      </c>
      <c r="H41" s="14" t="s">
        <v>90</v>
      </c>
      <c r="I41" s="14" t="s">
        <v>284</v>
      </c>
      <c r="J41" s="436">
        <v>39037</v>
      </c>
      <c r="K41" s="14" t="str">
        <f>CHOOSE(WEEKDAY(J41),"Sun","Mon","Tue","Wed","Thu","Fri","Sat")</f>
        <v>Thu</v>
      </c>
      <c r="L41" s="42">
        <v>0.85416666666666674</v>
      </c>
      <c r="M41" s="14">
        <v>3008</v>
      </c>
      <c r="N41" s="14">
        <v>8.6300000000000008</v>
      </c>
      <c r="O41" s="14">
        <v>40</v>
      </c>
      <c r="P41" s="371" t="str">
        <f t="shared" si="0"/>
        <v/>
      </c>
      <c r="Q41" s="390" t="str">
        <f ca="1">VLOOKUP(EpisodeList[[#This Row],[Season Number]], INDIRECT("'" &amp; EpisodeList[[#This Row],[Show]] &amp; " Season Info'!C2:J15"), 8,1)</f>
        <v>2006-07</v>
      </c>
    </row>
    <row r="42" spans="1:17" x14ac:dyDescent="0.2">
      <c r="A42" s="15" t="s">
        <v>228</v>
      </c>
      <c r="B42" s="16" t="s">
        <v>219</v>
      </c>
      <c r="C42" s="16">
        <v>1</v>
      </c>
      <c r="D42" s="16" t="str">
        <f>A42&amp; " S" &amp;C42</f>
        <v>30 Rock S1</v>
      </c>
      <c r="E42" s="16">
        <v>5</v>
      </c>
      <c r="F42" s="16">
        <v>5</v>
      </c>
      <c r="G42" s="408" t="s">
        <v>16</v>
      </c>
      <c r="H42" s="16" t="s">
        <v>17</v>
      </c>
      <c r="I42" s="16" t="s">
        <v>15</v>
      </c>
      <c r="J42" s="437">
        <v>39037</v>
      </c>
      <c r="K42" s="16" t="str">
        <f>CHOOSE(WEEKDAY(J42),"Sun","Mon","Tue","Wed","Thu","Fri","Sat")</f>
        <v>Thu</v>
      </c>
      <c r="L42" s="43">
        <v>0.89583333333333326</v>
      </c>
      <c r="M42" s="16">
        <v>105</v>
      </c>
      <c r="N42" s="16">
        <v>5.2</v>
      </c>
      <c r="O42" s="16">
        <v>41</v>
      </c>
      <c r="P42" s="372" t="str">
        <f t="shared" si="0"/>
        <v/>
      </c>
      <c r="Q42" s="391" t="str">
        <f ca="1">VLOOKUP(EpisodeList[[#This Row],[Season Number]], INDIRECT("'" &amp; EpisodeList[[#This Row],[Show]] &amp; " Season Info'!C2:J15"), 8,1)</f>
        <v>2006-07</v>
      </c>
    </row>
    <row r="43" spans="1:17" x14ac:dyDescent="0.2">
      <c r="A43" s="9" t="s">
        <v>243</v>
      </c>
      <c r="B43" s="14" t="s">
        <v>221</v>
      </c>
      <c r="C43" s="14">
        <v>3</v>
      </c>
      <c r="D43" s="14" t="str">
        <f>A43&amp; " S" &amp;C43</f>
        <v>The Office S3</v>
      </c>
      <c r="E43" s="14">
        <v>37</v>
      </c>
      <c r="F43" s="14">
        <v>9</v>
      </c>
      <c r="G43" s="407" t="s">
        <v>285</v>
      </c>
      <c r="H43" s="14" t="s">
        <v>286</v>
      </c>
      <c r="I43" s="14" t="s">
        <v>287</v>
      </c>
      <c r="J43" s="436">
        <v>39051</v>
      </c>
      <c r="K43" s="14" t="str">
        <f>CHOOSE(WEEKDAY(J43),"Sun","Mon","Tue","Wed","Thu","Fri","Sat")</f>
        <v>Thu</v>
      </c>
      <c r="L43" s="42">
        <v>0.85416666666666674</v>
      </c>
      <c r="M43" s="14">
        <v>3010</v>
      </c>
      <c r="N43" s="14">
        <v>9.07</v>
      </c>
      <c r="O43" s="14">
        <v>42</v>
      </c>
      <c r="P43" s="371" t="str">
        <f t="shared" si="0"/>
        <v/>
      </c>
      <c r="Q43" s="390" t="str">
        <f ca="1">VLOOKUP(EpisodeList[[#This Row],[Season Number]], INDIRECT("'" &amp; EpisodeList[[#This Row],[Show]] &amp; " Season Info'!C2:J15"), 8,1)</f>
        <v>2006-07</v>
      </c>
    </row>
    <row r="44" spans="1:17" x14ac:dyDescent="0.2">
      <c r="A44" s="15" t="s">
        <v>228</v>
      </c>
      <c r="B44" s="16" t="s">
        <v>219</v>
      </c>
      <c r="C44" s="16">
        <v>1</v>
      </c>
      <c r="D44" s="16" t="str">
        <f>A44&amp; " S" &amp;C44</f>
        <v>30 Rock S1</v>
      </c>
      <c r="E44" s="16">
        <v>6</v>
      </c>
      <c r="F44" s="16">
        <v>6</v>
      </c>
      <c r="G44" s="408" t="s">
        <v>18</v>
      </c>
      <c r="H44" s="16" t="s">
        <v>19</v>
      </c>
      <c r="I44" s="16" t="s">
        <v>20</v>
      </c>
      <c r="J44" s="437">
        <v>39051</v>
      </c>
      <c r="K44" s="16" t="str">
        <f>CHOOSE(WEEKDAY(J44),"Sun","Mon","Tue","Wed","Thu","Fri","Sat")</f>
        <v>Thu</v>
      </c>
      <c r="L44" s="43">
        <v>0.89583333333333326</v>
      </c>
      <c r="M44" s="16">
        <v>106</v>
      </c>
      <c r="N44" s="16">
        <v>6</v>
      </c>
      <c r="O44" s="16">
        <v>43</v>
      </c>
      <c r="P44" s="372" t="str">
        <f t="shared" si="0"/>
        <v/>
      </c>
      <c r="Q44" s="391" t="str">
        <f ca="1">VLOOKUP(EpisodeList[[#This Row],[Season Number]], INDIRECT("'" &amp; EpisodeList[[#This Row],[Show]] &amp; " Season Info'!C2:J15"), 8,1)</f>
        <v>2006-07</v>
      </c>
    </row>
    <row r="45" spans="1:17" x14ac:dyDescent="0.2">
      <c r="A45" s="15" t="s">
        <v>228</v>
      </c>
      <c r="B45" s="16" t="s">
        <v>219</v>
      </c>
      <c r="C45" s="16">
        <v>1</v>
      </c>
      <c r="D45" s="16" t="str">
        <f>A45&amp; " S" &amp;C45</f>
        <v>30 Rock S1</v>
      </c>
      <c r="E45" s="16">
        <v>7</v>
      </c>
      <c r="F45" s="16">
        <v>7</v>
      </c>
      <c r="G45" s="408" t="s">
        <v>21</v>
      </c>
      <c r="H45" s="16" t="s">
        <v>8</v>
      </c>
      <c r="I45" s="16" t="s">
        <v>9</v>
      </c>
      <c r="J45" s="437">
        <v>39058</v>
      </c>
      <c r="K45" s="16" t="str">
        <f>CHOOSE(WEEKDAY(J45),"Sun","Mon","Tue","Wed","Thu","Fri","Sat")</f>
        <v>Thu</v>
      </c>
      <c r="L45" s="43">
        <v>0.89583333333333326</v>
      </c>
      <c r="M45" s="16">
        <v>107</v>
      </c>
      <c r="N45" s="16">
        <v>6.8</v>
      </c>
      <c r="O45" s="16">
        <v>44</v>
      </c>
      <c r="P45" s="372" t="str">
        <f t="shared" si="0"/>
        <v/>
      </c>
      <c r="Q45" s="391" t="str">
        <f ca="1">VLOOKUP(EpisodeList[[#This Row],[Season Number]], INDIRECT("'" &amp; EpisodeList[[#This Row],[Show]] &amp; " Season Info'!C2:J15"), 8,1)</f>
        <v>2006-07</v>
      </c>
    </row>
    <row r="46" spans="1:17" x14ac:dyDescent="0.2">
      <c r="A46" s="9" t="s">
        <v>243</v>
      </c>
      <c r="B46" s="14" t="s">
        <v>221</v>
      </c>
      <c r="C46" s="14">
        <v>3</v>
      </c>
      <c r="D46" s="14" t="str">
        <f>A46&amp; " S" &amp;C46</f>
        <v>The Office S3</v>
      </c>
      <c r="E46" s="14">
        <v>38</v>
      </c>
      <c r="F46" s="14">
        <v>10</v>
      </c>
      <c r="G46" s="407" t="s">
        <v>308</v>
      </c>
      <c r="H46" s="14" t="s">
        <v>288</v>
      </c>
      <c r="I46" s="14" t="s">
        <v>255</v>
      </c>
      <c r="J46" s="436">
        <v>39065</v>
      </c>
      <c r="K46" s="14" t="str">
        <f>CHOOSE(WEEKDAY(J46),"Sun","Mon","Tue","Wed","Thu","Fri","Sat")</f>
        <v>Thu</v>
      </c>
      <c r="L46" s="42">
        <v>0.85416666666666674</v>
      </c>
      <c r="M46" s="14">
        <v>3009</v>
      </c>
      <c r="N46" s="14">
        <v>8.44</v>
      </c>
      <c r="O46" s="14">
        <v>45</v>
      </c>
      <c r="P46" s="371" t="str">
        <f t="shared" si="0"/>
        <v/>
      </c>
      <c r="Q46" s="390" t="str">
        <f ca="1">VLOOKUP(EpisodeList[[#This Row],[Season Number]], INDIRECT("'" &amp; EpisodeList[[#This Row],[Show]] &amp; " Season Info'!C2:J15"), 8,1)</f>
        <v>2006-07</v>
      </c>
    </row>
    <row r="47" spans="1:17" x14ac:dyDescent="0.2">
      <c r="A47" s="9" t="s">
        <v>243</v>
      </c>
      <c r="B47" s="14" t="s">
        <v>221</v>
      </c>
      <c r="C47" s="14">
        <v>3</v>
      </c>
      <c r="D47" s="14" t="str">
        <f>A47&amp; " S" &amp;C47</f>
        <v>The Office S3</v>
      </c>
      <c r="E47" s="14">
        <v>39</v>
      </c>
      <c r="F47" s="14">
        <v>11</v>
      </c>
      <c r="G47" s="407" t="s">
        <v>308</v>
      </c>
      <c r="H47" s="14" t="s">
        <v>288</v>
      </c>
      <c r="I47" s="14" t="s">
        <v>255</v>
      </c>
      <c r="J47" s="436">
        <v>39065</v>
      </c>
      <c r="K47" s="14" t="str">
        <f>CHOOSE(WEEKDAY(J47),"Sun","Mon","Tue","Wed","Thu","Fri","Sat")</f>
        <v>Thu</v>
      </c>
      <c r="L47" s="42">
        <v>0.875</v>
      </c>
      <c r="M47" s="14">
        <v>3014</v>
      </c>
      <c r="N47" s="14">
        <v>8.44</v>
      </c>
      <c r="O47" s="14">
        <v>46</v>
      </c>
      <c r="P47" s="371" t="str">
        <f t="shared" si="0"/>
        <v/>
      </c>
      <c r="Q47" s="390" t="str">
        <f ca="1">VLOOKUP(EpisodeList[[#This Row],[Season Number]], INDIRECT("'" &amp; EpisodeList[[#This Row],[Show]] &amp; " Season Info'!C2:J15"), 8,1)</f>
        <v>2006-07</v>
      </c>
    </row>
    <row r="48" spans="1:17" x14ac:dyDescent="0.2">
      <c r="A48" s="15" t="s">
        <v>228</v>
      </c>
      <c r="B48" s="16" t="s">
        <v>219</v>
      </c>
      <c r="C48" s="16">
        <v>1</v>
      </c>
      <c r="D48" s="16" t="str">
        <f>A48&amp; " S" &amp;C48</f>
        <v>30 Rock S1</v>
      </c>
      <c r="E48" s="16">
        <v>8</v>
      </c>
      <c r="F48" s="16">
        <v>8</v>
      </c>
      <c r="G48" s="408" t="s">
        <v>22</v>
      </c>
      <c r="H48" s="16" t="s">
        <v>23</v>
      </c>
      <c r="I48" s="16" t="s">
        <v>24</v>
      </c>
      <c r="J48" s="437">
        <v>39065</v>
      </c>
      <c r="K48" s="16" t="str">
        <f>CHOOSE(WEEKDAY(J48),"Sun","Mon","Tue","Wed","Thu","Fri","Sat")</f>
        <v>Thu</v>
      </c>
      <c r="L48" s="43">
        <v>0.89583333333333326</v>
      </c>
      <c r="M48" s="16">
        <v>108</v>
      </c>
      <c r="N48" s="16">
        <v>5.9</v>
      </c>
      <c r="O48" s="16">
        <v>47</v>
      </c>
      <c r="P48" s="372" t="str">
        <f t="shared" si="0"/>
        <v/>
      </c>
      <c r="Q48" s="391" t="str">
        <f ca="1">VLOOKUP(EpisodeList[[#This Row],[Season Number]], INDIRECT("'" &amp; EpisodeList[[#This Row],[Show]] &amp; " Season Info'!C2:J15"), 8,1)</f>
        <v>2006-07</v>
      </c>
    </row>
    <row r="49" spans="1:17" x14ac:dyDescent="0.2">
      <c r="A49" s="9" t="s">
        <v>243</v>
      </c>
      <c r="B49" s="14" t="s">
        <v>221</v>
      </c>
      <c r="C49" s="14">
        <v>3</v>
      </c>
      <c r="D49" s="14" t="str">
        <f>A49&amp; " S" &amp;C49</f>
        <v>The Office S3</v>
      </c>
      <c r="E49" s="14">
        <v>40</v>
      </c>
      <c r="F49" s="14">
        <v>12</v>
      </c>
      <c r="G49" s="407" t="s">
        <v>289</v>
      </c>
      <c r="H49" s="14" t="s">
        <v>290</v>
      </c>
      <c r="I49" s="14" t="s">
        <v>291</v>
      </c>
      <c r="J49" s="436">
        <v>39086</v>
      </c>
      <c r="K49" s="14" t="str">
        <f>CHOOSE(WEEKDAY(J49),"Sun","Mon","Tue","Wed","Thu","Fri","Sat")</f>
        <v>Thu</v>
      </c>
      <c r="L49" s="42">
        <v>0.85416666666666674</v>
      </c>
      <c r="M49" s="14">
        <v>3011</v>
      </c>
      <c r="N49" s="14">
        <v>8.8000000000000007</v>
      </c>
      <c r="O49" s="14">
        <v>48</v>
      </c>
      <c r="P49" s="371" t="str">
        <f t="shared" si="0"/>
        <v/>
      </c>
      <c r="Q49" s="390" t="str">
        <f ca="1">VLOOKUP(EpisodeList[[#This Row],[Season Number]], INDIRECT("'" &amp; EpisodeList[[#This Row],[Show]] &amp; " Season Info'!C2:J15"), 8,1)</f>
        <v>2006-07</v>
      </c>
    </row>
    <row r="50" spans="1:17" x14ac:dyDescent="0.2">
      <c r="A50" s="15" t="s">
        <v>228</v>
      </c>
      <c r="B50" s="16" t="s">
        <v>219</v>
      </c>
      <c r="C50" s="16">
        <v>1</v>
      </c>
      <c r="D50" s="16" t="str">
        <f>A50&amp; " S" &amp;C50</f>
        <v>30 Rock S1</v>
      </c>
      <c r="E50" s="16">
        <v>9</v>
      </c>
      <c r="F50" s="16">
        <v>9</v>
      </c>
      <c r="G50" s="408" t="s">
        <v>25</v>
      </c>
      <c r="H50" s="16" t="s">
        <v>26</v>
      </c>
      <c r="I50" s="16" t="s">
        <v>20</v>
      </c>
      <c r="J50" s="437">
        <v>39086</v>
      </c>
      <c r="K50" s="16" t="str">
        <f>CHOOSE(WEEKDAY(J50),"Sun","Mon","Tue","Wed","Thu","Fri","Sat")</f>
        <v>Thu</v>
      </c>
      <c r="L50" s="43">
        <v>0.89583333333333326</v>
      </c>
      <c r="M50" s="16">
        <v>109</v>
      </c>
      <c r="N50" s="16">
        <v>5.9</v>
      </c>
      <c r="O50" s="16">
        <v>49</v>
      </c>
      <c r="P50" s="372" t="str">
        <f t="shared" si="0"/>
        <v/>
      </c>
      <c r="Q50" s="391" t="str">
        <f ca="1">VLOOKUP(EpisodeList[[#This Row],[Season Number]], INDIRECT("'" &amp; EpisodeList[[#This Row],[Show]] &amp; " Season Info'!C2:J15"), 8,1)</f>
        <v>2006-07</v>
      </c>
    </row>
    <row r="51" spans="1:17" x14ac:dyDescent="0.2">
      <c r="A51" s="9" t="s">
        <v>243</v>
      </c>
      <c r="B51" s="14" t="s">
        <v>221</v>
      </c>
      <c r="C51" s="14">
        <v>3</v>
      </c>
      <c r="D51" s="14" t="str">
        <f>A51&amp; " S" &amp;C51</f>
        <v>The Office S3</v>
      </c>
      <c r="E51" s="14">
        <v>41</v>
      </c>
      <c r="F51" s="14">
        <v>13</v>
      </c>
      <c r="G51" s="407" t="s">
        <v>292</v>
      </c>
      <c r="H51" s="14" t="s">
        <v>239</v>
      </c>
      <c r="I51" s="14" t="s">
        <v>293</v>
      </c>
      <c r="J51" s="436">
        <v>39093</v>
      </c>
      <c r="K51" s="14" t="str">
        <f>CHOOSE(WEEKDAY(J51),"Sun","Mon","Tue","Wed","Thu","Fri","Sat")</f>
        <v>Thu</v>
      </c>
      <c r="L51" s="42">
        <v>0.85416666666666674</v>
      </c>
      <c r="M51" s="14">
        <v>3012</v>
      </c>
      <c r="N51" s="14">
        <v>10.119999999999999</v>
      </c>
      <c r="O51" s="14">
        <v>50</v>
      </c>
      <c r="P51" s="371" t="str">
        <f t="shared" si="0"/>
        <v/>
      </c>
      <c r="Q51" s="390" t="str">
        <f ca="1">VLOOKUP(EpisodeList[[#This Row],[Season Number]], INDIRECT("'" &amp; EpisodeList[[#This Row],[Show]] &amp; " Season Info'!C2:J15"), 8,1)</f>
        <v>2006-07</v>
      </c>
    </row>
    <row r="52" spans="1:17" x14ac:dyDescent="0.2">
      <c r="A52" s="15" t="s">
        <v>228</v>
      </c>
      <c r="B52" s="16" t="s">
        <v>219</v>
      </c>
      <c r="C52" s="16">
        <v>1</v>
      </c>
      <c r="D52" s="16" t="str">
        <f>A52&amp; " S" &amp;C52</f>
        <v>30 Rock S1</v>
      </c>
      <c r="E52" s="16">
        <v>10</v>
      </c>
      <c r="F52" s="16">
        <v>10</v>
      </c>
      <c r="G52" s="408" t="s">
        <v>27</v>
      </c>
      <c r="H52" s="16" t="s">
        <v>28</v>
      </c>
      <c r="I52" s="16" t="s">
        <v>29</v>
      </c>
      <c r="J52" s="437">
        <v>39093</v>
      </c>
      <c r="K52" s="16" t="str">
        <f>CHOOSE(WEEKDAY(J52),"Sun","Mon","Tue","Wed","Thu","Fri","Sat")</f>
        <v>Thu</v>
      </c>
      <c r="L52" s="43">
        <v>0.89583333333333326</v>
      </c>
      <c r="M52" s="16">
        <v>110</v>
      </c>
      <c r="N52" s="16">
        <v>6.1</v>
      </c>
      <c r="O52" s="16">
        <v>51</v>
      </c>
      <c r="P52" s="372" t="str">
        <f t="shared" si="0"/>
        <v/>
      </c>
      <c r="Q52" s="391" t="str">
        <f ca="1">VLOOKUP(EpisodeList[[#This Row],[Season Number]], INDIRECT("'" &amp; EpisodeList[[#This Row],[Show]] &amp; " Season Info'!C2:J15"), 8,1)</f>
        <v>2006-07</v>
      </c>
    </row>
    <row r="53" spans="1:17" x14ac:dyDescent="0.2">
      <c r="A53" s="9" t="s">
        <v>243</v>
      </c>
      <c r="B53" s="14" t="s">
        <v>221</v>
      </c>
      <c r="C53" s="14">
        <v>3</v>
      </c>
      <c r="D53" s="14" t="str">
        <f>A53&amp; " S" &amp;C53</f>
        <v>The Office S3</v>
      </c>
      <c r="E53" s="14">
        <v>42</v>
      </c>
      <c r="F53" s="14">
        <v>14</v>
      </c>
      <c r="G53" s="407" t="s">
        <v>309</v>
      </c>
      <c r="H53" s="14" t="s">
        <v>239</v>
      </c>
      <c r="I53" s="14" t="s">
        <v>294</v>
      </c>
      <c r="J53" s="436">
        <v>39100</v>
      </c>
      <c r="K53" s="14" t="str">
        <f>CHOOSE(WEEKDAY(J53),"Sun","Mon","Tue","Wed","Thu","Fri","Sat")</f>
        <v>Thu</v>
      </c>
      <c r="L53" s="42">
        <v>0.85416666666666674</v>
      </c>
      <c r="M53" s="14">
        <v>3013</v>
      </c>
      <c r="N53" s="14">
        <v>10.199999999999999</v>
      </c>
      <c r="O53" s="14">
        <v>52</v>
      </c>
      <c r="P53" s="371" t="str">
        <f t="shared" si="0"/>
        <v/>
      </c>
      <c r="Q53" s="390" t="str">
        <f ca="1">VLOOKUP(EpisodeList[[#This Row],[Season Number]], INDIRECT("'" &amp; EpisodeList[[#This Row],[Show]] &amp; " Season Info'!C2:J15"), 8,1)</f>
        <v>2006-07</v>
      </c>
    </row>
    <row r="54" spans="1:17" x14ac:dyDescent="0.2">
      <c r="A54" s="15" t="s">
        <v>228</v>
      </c>
      <c r="B54" s="16" t="s">
        <v>219</v>
      </c>
      <c r="C54" s="16">
        <v>1</v>
      </c>
      <c r="D54" s="16" t="str">
        <f>A54&amp; " S" &amp;C54</f>
        <v>30 Rock S1</v>
      </c>
      <c r="E54" s="16">
        <v>11</v>
      </c>
      <c r="F54" s="16">
        <v>11</v>
      </c>
      <c r="G54" s="408" t="s">
        <v>30</v>
      </c>
      <c r="H54" s="16" t="s">
        <v>14</v>
      </c>
      <c r="I54" s="16" t="s">
        <v>31</v>
      </c>
      <c r="J54" s="437">
        <v>39100</v>
      </c>
      <c r="K54" s="16" t="str">
        <f>CHOOSE(WEEKDAY(J54),"Sun","Mon","Tue","Wed","Thu","Fri","Sat")</f>
        <v>Thu</v>
      </c>
      <c r="L54" s="43">
        <v>0.89583333333333326</v>
      </c>
      <c r="M54" s="16">
        <v>111</v>
      </c>
      <c r="N54" s="16">
        <v>5</v>
      </c>
      <c r="O54" s="16">
        <v>53</v>
      </c>
      <c r="P54" s="372" t="str">
        <f t="shared" si="0"/>
        <v/>
      </c>
      <c r="Q54" s="391" t="str">
        <f ca="1">VLOOKUP(EpisodeList[[#This Row],[Season Number]], INDIRECT("'" &amp; EpisodeList[[#This Row],[Show]] &amp; " Season Info'!C2:J15"), 8,1)</f>
        <v>2006-07</v>
      </c>
    </row>
    <row r="55" spans="1:17" x14ac:dyDescent="0.2">
      <c r="A55" s="9" t="s">
        <v>243</v>
      </c>
      <c r="B55" s="14" t="s">
        <v>221</v>
      </c>
      <c r="C55" s="14">
        <v>3</v>
      </c>
      <c r="D55" s="14" t="str">
        <f>A55&amp; " S" &amp;C55</f>
        <v>The Office S3</v>
      </c>
      <c r="E55" s="14">
        <v>43</v>
      </c>
      <c r="F55" s="14">
        <v>15</v>
      </c>
      <c r="G55" s="407" t="s">
        <v>295</v>
      </c>
      <c r="H55" s="14" t="s">
        <v>279</v>
      </c>
      <c r="I55" s="14" t="s">
        <v>242</v>
      </c>
      <c r="J55" s="436">
        <v>39114</v>
      </c>
      <c r="K55" s="14" t="str">
        <f>CHOOSE(WEEKDAY(J55),"Sun","Mon","Tue","Wed","Thu","Fri","Sat")</f>
        <v>Thu</v>
      </c>
      <c r="L55" s="42">
        <v>0.85416666666666674</v>
      </c>
      <c r="M55" s="14">
        <v>3015</v>
      </c>
      <c r="N55" s="14">
        <v>10.11</v>
      </c>
      <c r="O55" s="14">
        <v>54</v>
      </c>
      <c r="P55" s="371" t="str">
        <f t="shared" si="0"/>
        <v/>
      </c>
      <c r="Q55" s="390" t="str">
        <f ca="1">VLOOKUP(EpisodeList[[#This Row],[Season Number]], INDIRECT("'" &amp; EpisodeList[[#This Row],[Show]] &amp; " Season Info'!C2:J15"), 8,1)</f>
        <v>2006-07</v>
      </c>
    </row>
    <row r="56" spans="1:17" x14ac:dyDescent="0.2">
      <c r="A56" s="15" t="s">
        <v>228</v>
      </c>
      <c r="B56" s="16" t="s">
        <v>219</v>
      </c>
      <c r="C56" s="16">
        <v>1</v>
      </c>
      <c r="D56" s="16" t="str">
        <f>A56&amp; " S" &amp;C56</f>
        <v>30 Rock S1</v>
      </c>
      <c r="E56" s="16">
        <v>12</v>
      </c>
      <c r="F56" s="16">
        <v>12</v>
      </c>
      <c r="G56" s="408" t="s">
        <v>32</v>
      </c>
      <c r="H56" s="16" t="s">
        <v>17</v>
      </c>
      <c r="I56" s="16" t="s">
        <v>33</v>
      </c>
      <c r="J56" s="437">
        <v>39114</v>
      </c>
      <c r="K56" s="16" t="str">
        <f>CHOOSE(WEEKDAY(J56),"Sun","Mon","Tue","Wed","Thu","Fri","Sat")</f>
        <v>Thu</v>
      </c>
      <c r="L56" s="43">
        <v>0.89583333333333326</v>
      </c>
      <c r="M56" s="16">
        <v>112</v>
      </c>
      <c r="N56" s="16">
        <v>5.7</v>
      </c>
      <c r="O56" s="16">
        <v>55</v>
      </c>
      <c r="P56" s="372" t="str">
        <f t="shared" si="0"/>
        <v/>
      </c>
      <c r="Q56" s="391" t="str">
        <f ca="1">VLOOKUP(EpisodeList[[#This Row],[Season Number]], INDIRECT("'" &amp; EpisodeList[[#This Row],[Show]] &amp; " Season Info'!C2:J15"), 8,1)</f>
        <v>2006-07</v>
      </c>
    </row>
    <row r="57" spans="1:17" x14ac:dyDescent="0.2">
      <c r="A57" s="9" t="s">
        <v>243</v>
      </c>
      <c r="B57" s="14" t="s">
        <v>221</v>
      </c>
      <c r="C57" s="14">
        <v>3</v>
      </c>
      <c r="D57" s="14" t="str">
        <f>A57&amp; " S" &amp;C57</f>
        <v>The Office S3</v>
      </c>
      <c r="E57" s="14">
        <v>44</v>
      </c>
      <c r="F57" s="14">
        <v>16</v>
      </c>
      <c r="G57" s="407" t="s">
        <v>296</v>
      </c>
      <c r="H57" s="14" t="s">
        <v>90</v>
      </c>
      <c r="I57" s="14" t="s">
        <v>297</v>
      </c>
      <c r="J57" s="436">
        <v>39121</v>
      </c>
      <c r="K57" s="14" t="str">
        <f>CHOOSE(WEEKDAY(J57),"Sun","Mon","Tue","Wed","Thu","Fri","Sat")</f>
        <v>Thu</v>
      </c>
      <c r="L57" s="42">
        <v>0.85416666666666674</v>
      </c>
      <c r="M57" s="14">
        <v>3016</v>
      </c>
      <c r="N57" s="14">
        <v>8.84</v>
      </c>
      <c r="O57" s="14">
        <v>56</v>
      </c>
      <c r="P57" s="371" t="str">
        <f t="shared" si="0"/>
        <v/>
      </c>
      <c r="Q57" s="390" t="str">
        <f ca="1">VLOOKUP(EpisodeList[[#This Row],[Season Number]], INDIRECT("'" &amp; EpisodeList[[#This Row],[Show]] &amp; " Season Info'!C2:J15"), 8,1)</f>
        <v>2006-07</v>
      </c>
    </row>
    <row r="58" spans="1:17" x14ac:dyDescent="0.2">
      <c r="A58" s="15" t="s">
        <v>228</v>
      </c>
      <c r="B58" s="16" t="s">
        <v>219</v>
      </c>
      <c r="C58" s="16">
        <v>1</v>
      </c>
      <c r="D58" s="16" t="str">
        <f>A58&amp; " S" &amp;C58</f>
        <v>30 Rock S1</v>
      </c>
      <c r="E58" s="16">
        <v>13</v>
      </c>
      <c r="F58" s="16">
        <v>13</v>
      </c>
      <c r="G58" s="408" t="s">
        <v>34</v>
      </c>
      <c r="H58" s="16" t="s">
        <v>26</v>
      </c>
      <c r="I58" s="16" t="s">
        <v>9</v>
      </c>
      <c r="J58" s="437">
        <v>39121</v>
      </c>
      <c r="K58" s="16" t="str">
        <f>CHOOSE(WEEKDAY(J58),"Sun","Mon","Tue","Wed","Thu","Fri","Sat")</f>
        <v>Thu</v>
      </c>
      <c r="L58" s="43">
        <v>0.89583333333333326</v>
      </c>
      <c r="M58" s="16">
        <v>113</v>
      </c>
      <c r="N58" s="16">
        <v>5.2</v>
      </c>
      <c r="O58" s="16">
        <v>57</v>
      </c>
      <c r="P58" s="372" t="str">
        <f t="shared" si="0"/>
        <v/>
      </c>
      <c r="Q58" s="391" t="str">
        <f ca="1">VLOOKUP(EpisodeList[[#This Row],[Season Number]], INDIRECT("'" &amp; EpisodeList[[#This Row],[Show]] &amp; " Season Info'!C2:J15"), 8,1)</f>
        <v>2006-07</v>
      </c>
    </row>
    <row r="59" spans="1:17" x14ac:dyDescent="0.2">
      <c r="A59" s="9" t="s">
        <v>243</v>
      </c>
      <c r="B59" s="14" t="s">
        <v>221</v>
      </c>
      <c r="C59" s="14">
        <v>3</v>
      </c>
      <c r="D59" s="14" t="str">
        <f>A59&amp; " S" &amp;C59</f>
        <v>The Office S3</v>
      </c>
      <c r="E59" s="14">
        <v>45</v>
      </c>
      <c r="F59" s="14">
        <v>17</v>
      </c>
      <c r="G59" s="407" t="s">
        <v>298</v>
      </c>
      <c r="H59" s="14" t="s">
        <v>299</v>
      </c>
      <c r="I59" s="14" t="s">
        <v>284</v>
      </c>
      <c r="J59" s="436">
        <v>39128</v>
      </c>
      <c r="K59" s="14" t="str">
        <f>CHOOSE(WEEKDAY(J59),"Sun","Mon","Tue","Wed","Thu","Fri","Sat")</f>
        <v>Thu</v>
      </c>
      <c r="L59" s="42">
        <v>0.85416666666666674</v>
      </c>
      <c r="M59" s="14">
        <v>3017</v>
      </c>
      <c r="N59" s="14">
        <v>8.84</v>
      </c>
      <c r="O59" s="14">
        <v>58</v>
      </c>
      <c r="P59" s="371" t="str">
        <f t="shared" si="0"/>
        <v/>
      </c>
      <c r="Q59" s="390" t="str">
        <f ca="1">VLOOKUP(EpisodeList[[#This Row],[Season Number]], INDIRECT("'" &amp; EpisodeList[[#This Row],[Show]] &amp; " Season Info'!C2:J15"), 8,1)</f>
        <v>2006-07</v>
      </c>
    </row>
    <row r="60" spans="1:17" x14ac:dyDescent="0.2">
      <c r="A60" s="15" t="s">
        <v>228</v>
      </c>
      <c r="B60" s="16" t="s">
        <v>219</v>
      </c>
      <c r="C60" s="16">
        <v>1</v>
      </c>
      <c r="D60" s="16" t="str">
        <f>A60&amp; " S" &amp;C60</f>
        <v>30 Rock S1</v>
      </c>
      <c r="E60" s="16">
        <v>14</v>
      </c>
      <c r="F60" s="16">
        <v>14</v>
      </c>
      <c r="G60" s="408" t="s">
        <v>35</v>
      </c>
      <c r="H60" s="16" t="s">
        <v>8</v>
      </c>
      <c r="I60" s="16" t="s">
        <v>9</v>
      </c>
      <c r="J60" s="437">
        <v>39128</v>
      </c>
      <c r="K60" s="16" t="str">
        <f>CHOOSE(WEEKDAY(J60),"Sun","Mon","Tue","Wed","Thu","Fri","Sat")</f>
        <v>Thu</v>
      </c>
      <c r="L60" s="43">
        <v>0.89583333333333326</v>
      </c>
      <c r="M60" s="16">
        <v>114</v>
      </c>
      <c r="N60" s="16">
        <v>5</v>
      </c>
      <c r="O60" s="16">
        <v>59</v>
      </c>
      <c r="P60" s="372" t="str">
        <f t="shared" si="0"/>
        <v/>
      </c>
      <c r="Q60" s="391" t="str">
        <f ca="1">VLOOKUP(EpisodeList[[#This Row],[Season Number]], INDIRECT("'" &amp; EpisodeList[[#This Row],[Show]] &amp; " Season Info'!C2:J15"), 8,1)</f>
        <v>2006-07</v>
      </c>
    </row>
    <row r="61" spans="1:17" x14ac:dyDescent="0.2">
      <c r="A61" s="9" t="s">
        <v>243</v>
      </c>
      <c r="B61" s="14" t="s">
        <v>221</v>
      </c>
      <c r="C61" s="14">
        <v>3</v>
      </c>
      <c r="D61" s="14" t="str">
        <f>A61&amp; " S" &amp;C61</f>
        <v>The Office S3</v>
      </c>
      <c r="E61" s="14">
        <v>46</v>
      </c>
      <c r="F61" s="14">
        <v>18</v>
      </c>
      <c r="G61" s="407" t="s">
        <v>300</v>
      </c>
      <c r="H61" s="14" t="s">
        <v>301</v>
      </c>
      <c r="I61" s="14" t="s">
        <v>234</v>
      </c>
      <c r="J61" s="436">
        <v>39135</v>
      </c>
      <c r="K61" s="14" t="str">
        <f>CHOOSE(WEEKDAY(J61),"Sun","Mon","Tue","Wed","Thu","Fri","Sat")</f>
        <v>Thu</v>
      </c>
      <c r="L61" s="42">
        <v>0.85416666666666674</v>
      </c>
      <c r="M61" s="14">
        <v>3018</v>
      </c>
      <c r="N61" s="14">
        <v>8.3000000000000007</v>
      </c>
      <c r="O61" s="14">
        <v>60</v>
      </c>
      <c r="P61" s="371" t="str">
        <f t="shared" si="0"/>
        <v/>
      </c>
      <c r="Q61" s="390" t="str">
        <f ca="1">VLOOKUP(EpisodeList[[#This Row],[Season Number]], INDIRECT("'" &amp; EpisodeList[[#This Row],[Show]] &amp; " Season Info'!C2:J15"), 8,1)</f>
        <v>2006-07</v>
      </c>
    </row>
    <row r="62" spans="1:17" x14ac:dyDescent="0.2">
      <c r="A62" s="15" t="s">
        <v>228</v>
      </c>
      <c r="B62" s="16" t="s">
        <v>219</v>
      </c>
      <c r="C62" s="16">
        <v>1</v>
      </c>
      <c r="D62" s="16" t="str">
        <f>A62&amp; " S" &amp;C62</f>
        <v>30 Rock S1</v>
      </c>
      <c r="E62" s="16">
        <v>15</v>
      </c>
      <c r="F62" s="16">
        <v>15</v>
      </c>
      <c r="G62" s="408" t="s">
        <v>36</v>
      </c>
      <c r="H62" s="16" t="s">
        <v>17</v>
      </c>
      <c r="I62" s="16" t="s">
        <v>29</v>
      </c>
      <c r="J62" s="437">
        <v>39135</v>
      </c>
      <c r="K62" s="16" t="str">
        <f>CHOOSE(WEEKDAY(J62),"Sun","Mon","Tue","Wed","Thu","Fri","Sat")</f>
        <v>Thu</v>
      </c>
      <c r="L62" s="43">
        <v>0.89583333333333326</v>
      </c>
      <c r="M62" s="16">
        <v>115</v>
      </c>
      <c r="N62" s="16">
        <v>4.5999999999999996</v>
      </c>
      <c r="O62" s="16">
        <v>61</v>
      </c>
      <c r="P62" s="372" t="str">
        <f t="shared" si="0"/>
        <v/>
      </c>
      <c r="Q62" s="391" t="str">
        <f ca="1">VLOOKUP(EpisodeList[[#This Row],[Season Number]], INDIRECT("'" &amp; EpisodeList[[#This Row],[Show]] &amp; " Season Info'!C2:J15"), 8,1)</f>
        <v>2006-07</v>
      </c>
    </row>
    <row r="63" spans="1:17" x14ac:dyDescent="0.2">
      <c r="A63" s="15" t="s">
        <v>228</v>
      </c>
      <c r="B63" s="16" t="s">
        <v>219</v>
      </c>
      <c r="C63" s="16">
        <v>1</v>
      </c>
      <c r="D63" s="16" t="str">
        <f>A63&amp; " S" &amp;C63</f>
        <v>30 Rock S1</v>
      </c>
      <c r="E63" s="16">
        <v>16</v>
      </c>
      <c r="F63" s="16">
        <v>16</v>
      </c>
      <c r="G63" s="408" t="s">
        <v>37</v>
      </c>
      <c r="H63" s="16" t="s">
        <v>17</v>
      </c>
      <c r="I63" s="16" t="s">
        <v>38</v>
      </c>
      <c r="J63" s="437">
        <v>39142</v>
      </c>
      <c r="K63" s="16" t="str">
        <f>CHOOSE(WEEKDAY(J63),"Sun","Mon","Tue","Wed","Thu","Fri","Sat")</f>
        <v>Thu</v>
      </c>
      <c r="L63" s="43">
        <v>0.89583333333333326</v>
      </c>
      <c r="M63" s="16">
        <v>116</v>
      </c>
      <c r="N63" s="16">
        <v>5.7</v>
      </c>
      <c r="O63" s="16">
        <v>62</v>
      </c>
      <c r="P63" s="372" t="str">
        <f t="shared" si="0"/>
        <v/>
      </c>
      <c r="Q63" s="391" t="str">
        <f ca="1">VLOOKUP(EpisodeList[[#This Row],[Season Number]], INDIRECT("'" &amp; EpisodeList[[#This Row],[Show]] &amp; " Season Info'!C2:J15"), 8,1)</f>
        <v>2006-07</v>
      </c>
    </row>
    <row r="64" spans="1:17" x14ac:dyDescent="0.2">
      <c r="A64" s="15" t="s">
        <v>228</v>
      </c>
      <c r="B64" s="16" t="s">
        <v>219</v>
      </c>
      <c r="C64" s="16">
        <v>1</v>
      </c>
      <c r="D64" s="16" t="str">
        <f>A64&amp; " S" &amp;C64</f>
        <v>30 Rock S1</v>
      </c>
      <c r="E64" s="16">
        <v>17</v>
      </c>
      <c r="F64" s="16">
        <v>17</v>
      </c>
      <c r="G64" s="408" t="s">
        <v>39</v>
      </c>
      <c r="H64" s="16" t="s">
        <v>40</v>
      </c>
      <c r="I64" s="16" t="s">
        <v>20</v>
      </c>
      <c r="J64" s="437">
        <v>39149</v>
      </c>
      <c r="K64" s="16" t="str">
        <f>CHOOSE(WEEKDAY(J64),"Sun","Mon","Tue","Wed","Thu","Fri","Sat")</f>
        <v>Thu</v>
      </c>
      <c r="L64" s="43">
        <v>0.89583333333333326</v>
      </c>
      <c r="M64" s="16">
        <v>117</v>
      </c>
      <c r="N64" s="16">
        <v>5.2</v>
      </c>
      <c r="O64" s="16">
        <v>63</v>
      </c>
      <c r="P64" s="372" t="str">
        <f t="shared" si="0"/>
        <v/>
      </c>
      <c r="Q64" s="391" t="str">
        <f ca="1">VLOOKUP(EpisodeList[[#This Row],[Season Number]], INDIRECT("'" &amp; EpisodeList[[#This Row],[Show]] &amp; " Season Info'!C2:J15"), 8,1)</f>
        <v>2006-07</v>
      </c>
    </row>
    <row r="65" spans="1:17" x14ac:dyDescent="0.2">
      <c r="A65" s="9" t="s">
        <v>243</v>
      </c>
      <c r="B65" s="14" t="s">
        <v>221</v>
      </c>
      <c r="C65" s="14">
        <v>3</v>
      </c>
      <c r="D65" s="14" t="str">
        <f>A65&amp; " S" &amp;C65</f>
        <v>The Office S3</v>
      </c>
      <c r="E65" s="14">
        <v>47</v>
      </c>
      <c r="F65" s="14">
        <v>19</v>
      </c>
      <c r="G65" s="407" t="s">
        <v>310</v>
      </c>
      <c r="H65" s="14" t="s">
        <v>286</v>
      </c>
      <c r="I65" s="14" t="s">
        <v>237</v>
      </c>
      <c r="J65" s="436">
        <v>39177</v>
      </c>
      <c r="K65" s="14" t="str">
        <f>CHOOSE(WEEKDAY(J65),"Sun","Mon","Tue","Wed","Thu","Fri","Sat")</f>
        <v>Thu</v>
      </c>
      <c r="L65" s="42">
        <v>0.85416666666666674</v>
      </c>
      <c r="M65" s="14">
        <v>3019</v>
      </c>
      <c r="N65" s="14">
        <v>6.74</v>
      </c>
      <c r="O65" s="14">
        <v>64</v>
      </c>
      <c r="P65" s="371" t="str">
        <f t="shared" si="0"/>
        <v/>
      </c>
      <c r="Q65" s="390" t="str">
        <f ca="1">VLOOKUP(EpisodeList[[#This Row],[Season Number]], INDIRECT("'" &amp; EpisodeList[[#This Row],[Show]] &amp; " Season Info'!C2:J15"), 8,1)</f>
        <v>2006-07</v>
      </c>
    </row>
    <row r="66" spans="1:17" x14ac:dyDescent="0.2">
      <c r="A66" s="15" t="s">
        <v>228</v>
      </c>
      <c r="B66" s="16" t="s">
        <v>219</v>
      </c>
      <c r="C66" s="16">
        <v>1</v>
      </c>
      <c r="D66" s="16" t="str">
        <f>A66&amp; " S" &amp;C66</f>
        <v>30 Rock S1</v>
      </c>
      <c r="E66" s="16">
        <v>18</v>
      </c>
      <c r="F66" s="16">
        <v>18</v>
      </c>
      <c r="G66" s="408" t="s">
        <v>41</v>
      </c>
      <c r="H66" s="16" t="s">
        <v>28</v>
      </c>
      <c r="I66" s="16" t="s">
        <v>24</v>
      </c>
      <c r="J66" s="437">
        <v>39177</v>
      </c>
      <c r="K66" s="16" t="str">
        <f>CHOOSE(WEEKDAY(J66),"Sun","Mon","Tue","Wed","Thu","Fri","Sat")</f>
        <v>Thu</v>
      </c>
      <c r="L66" s="43">
        <v>0.875</v>
      </c>
      <c r="M66" s="16">
        <v>118</v>
      </c>
      <c r="N66" s="16">
        <v>5.4</v>
      </c>
      <c r="O66" s="16">
        <v>65</v>
      </c>
      <c r="P66" s="372" t="str">
        <f t="shared" ref="P66:P129" si="1">IF(AND(
    COUNTIFS(A:A, A66, J:J, J66) = 1,
    COUNTIFS(A:A, "30 Rock", J:J, J66) = 1,
    COUNTIFS(A:A, "The Office", J:J, J66) = 1,
    COUNTIFS(A:A, "Community", J:J, J66) = 1,
    COUNTIFS(A:A, "Parks and Rec", J:J, J66) = 1
), "Yes", "")</f>
        <v/>
      </c>
      <c r="Q66" s="391" t="str">
        <f ca="1">VLOOKUP(EpisodeList[[#This Row],[Season Number]], INDIRECT("'" &amp; EpisodeList[[#This Row],[Show]] &amp; " Season Info'!C2:J15"), 8,1)</f>
        <v>2006-07</v>
      </c>
    </row>
    <row r="67" spans="1:17" x14ac:dyDescent="0.2">
      <c r="A67" s="9" t="s">
        <v>243</v>
      </c>
      <c r="B67" s="14" t="s">
        <v>221</v>
      </c>
      <c r="C67" s="14">
        <v>3</v>
      </c>
      <c r="D67" s="14" t="str">
        <f>A67&amp; " S" &amp;C67</f>
        <v>The Office S3</v>
      </c>
      <c r="E67" s="14">
        <v>48</v>
      </c>
      <c r="F67" s="14">
        <v>20</v>
      </c>
      <c r="G67" s="407" t="s">
        <v>302</v>
      </c>
      <c r="H67" s="14" t="s">
        <v>288</v>
      </c>
      <c r="I67" s="14" t="s">
        <v>232</v>
      </c>
      <c r="J67" s="436">
        <v>39184</v>
      </c>
      <c r="K67" s="14" t="str">
        <f>CHOOSE(WEEKDAY(J67),"Sun","Mon","Tue","Wed","Thu","Fri","Sat")</f>
        <v>Thu</v>
      </c>
      <c r="L67" s="42">
        <v>0.85416666666666674</v>
      </c>
      <c r="M67" s="14">
        <v>3020</v>
      </c>
      <c r="N67" s="14">
        <v>7.71</v>
      </c>
      <c r="O67" s="14">
        <v>66</v>
      </c>
      <c r="P67" s="371" t="str">
        <f t="shared" si="1"/>
        <v/>
      </c>
      <c r="Q67" s="390" t="str">
        <f ca="1">VLOOKUP(EpisodeList[[#This Row],[Season Number]], INDIRECT("'" &amp; EpisodeList[[#This Row],[Show]] &amp; " Season Info'!C2:J15"), 8,1)</f>
        <v>2006-07</v>
      </c>
    </row>
    <row r="68" spans="1:17" x14ac:dyDescent="0.2">
      <c r="A68" s="15" t="s">
        <v>228</v>
      </c>
      <c r="B68" s="16" t="s">
        <v>219</v>
      </c>
      <c r="C68" s="16">
        <v>1</v>
      </c>
      <c r="D68" s="16" t="str">
        <f>A68&amp; " S" &amp;C68</f>
        <v>30 Rock S1</v>
      </c>
      <c r="E68" s="16">
        <v>19</v>
      </c>
      <c r="F68" s="16">
        <v>19</v>
      </c>
      <c r="G68" s="408" t="s">
        <v>42</v>
      </c>
      <c r="H68" s="16" t="s">
        <v>17</v>
      </c>
      <c r="I68" s="16" t="s">
        <v>12</v>
      </c>
      <c r="J68" s="437">
        <v>39184</v>
      </c>
      <c r="K68" s="16" t="str">
        <f>CHOOSE(WEEKDAY(J68),"Sun","Mon","Tue","Wed","Thu","Fri","Sat")</f>
        <v>Thu</v>
      </c>
      <c r="L68" s="43">
        <v>0.875</v>
      </c>
      <c r="M68" s="16">
        <v>119</v>
      </c>
      <c r="N68" s="16">
        <v>5.0999999999999996</v>
      </c>
      <c r="O68" s="16">
        <v>67</v>
      </c>
      <c r="P68" s="372" t="str">
        <f t="shared" si="1"/>
        <v/>
      </c>
      <c r="Q68" s="391" t="str">
        <f ca="1">VLOOKUP(EpisodeList[[#This Row],[Season Number]], INDIRECT("'" &amp; EpisodeList[[#This Row],[Show]] &amp; " Season Info'!C2:J15"), 8,1)</f>
        <v>2006-07</v>
      </c>
    </row>
    <row r="69" spans="1:17" x14ac:dyDescent="0.2">
      <c r="A69" s="15" t="s">
        <v>228</v>
      </c>
      <c r="B69" s="16" t="s">
        <v>219</v>
      </c>
      <c r="C69" s="16">
        <v>1</v>
      </c>
      <c r="D69" s="16" t="str">
        <f>A69&amp; " S" &amp;C69</f>
        <v>30 Rock S1</v>
      </c>
      <c r="E69" s="16">
        <v>20</v>
      </c>
      <c r="F69" s="16">
        <v>20</v>
      </c>
      <c r="G69" s="408" t="s">
        <v>43</v>
      </c>
      <c r="H69" s="16" t="s">
        <v>44</v>
      </c>
      <c r="I69" s="16" t="s">
        <v>45</v>
      </c>
      <c r="J69" s="437">
        <v>39191</v>
      </c>
      <c r="K69" s="16" t="str">
        <f>CHOOSE(WEEKDAY(J69),"Sun","Mon","Tue","Wed","Thu","Fri","Sat")</f>
        <v>Thu</v>
      </c>
      <c r="L69" s="43">
        <v>0.875</v>
      </c>
      <c r="M69" s="16">
        <v>120</v>
      </c>
      <c r="N69" s="16">
        <v>5.2</v>
      </c>
      <c r="O69" s="16">
        <v>68</v>
      </c>
      <c r="P69" s="372" t="str">
        <f t="shared" si="1"/>
        <v/>
      </c>
      <c r="Q69" s="391" t="str">
        <f ca="1">VLOOKUP(EpisodeList[[#This Row],[Season Number]], INDIRECT("'" &amp; EpisodeList[[#This Row],[Show]] &amp; " Season Info'!C2:J15"), 8,1)</f>
        <v>2006-07</v>
      </c>
    </row>
    <row r="70" spans="1:17" x14ac:dyDescent="0.2">
      <c r="A70" s="9" t="s">
        <v>243</v>
      </c>
      <c r="B70" s="14" t="s">
        <v>221</v>
      </c>
      <c r="C70" s="14">
        <v>3</v>
      </c>
      <c r="D70" s="14" t="str">
        <f>A70&amp; " S" &amp;C70</f>
        <v>The Office S3</v>
      </c>
      <c r="E70" s="14">
        <v>49</v>
      </c>
      <c r="F70" s="14">
        <v>21</v>
      </c>
      <c r="G70" s="407" t="s">
        <v>303</v>
      </c>
      <c r="H70" s="14" t="s">
        <v>279</v>
      </c>
      <c r="I70" s="14" t="s">
        <v>304</v>
      </c>
      <c r="J70" s="436">
        <v>39198</v>
      </c>
      <c r="K70" s="14" t="str">
        <f>CHOOSE(WEEKDAY(J70),"Sun","Mon","Tue","Wed","Thu","Fri","Sat")</f>
        <v>Thu</v>
      </c>
      <c r="L70" s="42">
        <v>0.85416666666666674</v>
      </c>
      <c r="M70" s="14">
        <v>3025</v>
      </c>
      <c r="N70" s="14">
        <v>7.56</v>
      </c>
      <c r="O70" s="14">
        <v>69</v>
      </c>
      <c r="P70" s="371" t="str">
        <f t="shared" si="1"/>
        <v/>
      </c>
      <c r="Q70" s="390" t="str">
        <f ca="1">VLOOKUP(EpisodeList[[#This Row],[Season Number]], INDIRECT("'" &amp; EpisodeList[[#This Row],[Show]] &amp; " Season Info'!C2:J15"), 8,1)</f>
        <v>2006-07</v>
      </c>
    </row>
    <row r="71" spans="1:17" x14ac:dyDescent="0.2">
      <c r="A71" s="15" t="s">
        <v>228</v>
      </c>
      <c r="B71" s="16" t="s">
        <v>219</v>
      </c>
      <c r="C71" s="16">
        <v>1</v>
      </c>
      <c r="D71" s="16" t="str">
        <f>A71&amp; " S" &amp;C71</f>
        <v>30 Rock S1</v>
      </c>
      <c r="E71" s="16">
        <v>21</v>
      </c>
      <c r="F71" s="16">
        <v>21</v>
      </c>
      <c r="G71" s="408" t="s">
        <v>46</v>
      </c>
      <c r="H71" s="16" t="s">
        <v>17</v>
      </c>
      <c r="I71" s="16" t="s">
        <v>9</v>
      </c>
      <c r="J71" s="437">
        <v>39198</v>
      </c>
      <c r="K71" s="16" t="str">
        <f>CHOOSE(WEEKDAY(J71),"Sun","Mon","Tue","Wed","Thu","Fri","Sat")</f>
        <v>Thu</v>
      </c>
      <c r="L71" s="43">
        <v>0.875</v>
      </c>
      <c r="M71" s="16">
        <v>121</v>
      </c>
      <c r="N71" s="16">
        <v>4.7</v>
      </c>
      <c r="O71" s="16">
        <v>70</v>
      </c>
      <c r="P71" s="372" t="str">
        <f t="shared" si="1"/>
        <v/>
      </c>
      <c r="Q71" s="391" t="str">
        <f ca="1">VLOOKUP(EpisodeList[[#This Row],[Season Number]], INDIRECT("'" &amp; EpisodeList[[#This Row],[Show]] &amp; " Season Info'!C2:J15"), 8,1)</f>
        <v>2006-07</v>
      </c>
    </row>
    <row r="72" spans="1:17" x14ac:dyDescent="0.2">
      <c r="A72" s="9" t="s">
        <v>243</v>
      </c>
      <c r="B72" s="14" t="s">
        <v>221</v>
      </c>
      <c r="C72" s="14">
        <v>3</v>
      </c>
      <c r="D72" s="14" t="str">
        <f>A72&amp; " S" &amp;C72</f>
        <v>The Office S3</v>
      </c>
      <c r="E72" s="14">
        <v>50</v>
      </c>
      <c r="F72" s="14">
        <v>22</v>
      </c>
      <c r="G72" s="407" t="s">
        <v>311</v>
      </c>
      <c r="H72" s="14" t="s">
        <v>283</v>
      </c>
      <c r="I72" s="14" t="s">
        <v>250</v>
      </c>
      <c r="J72" s="436">
        <v>39205</v>
      </c>
      <c r="K72" s="14" t="str">
        <f>CHOOSE(WEEKDAY(J72),"Sun","Mon","Tue","Wed","Thu","Fri","Sat")</f>
        <v>Thu</v>
      </c>
      <c r="L72" s="42">
        <v>0.85416666666666674</v>
      </c>
      <c r="M72" s="14">
        <v>3021</v>
      </c>
      <c r="N72" s="14">
        <v>7</v>
      </c>
      <c r="O72" s="14">
        <v>71</v>
      </c>
      <c r="P72" s="371" t="str">
        <f t="shared" si="1"/>
        <v/>
      </c>
      <c r="Q72" s="390" t="str">
        <f ca="1">VLOOKUP(EpisodeList[[#This Row],[Season Number]], INDIRECT("'" &amp; EpisodeList[[#This Row],[Show]] &amp; " Season Info'!C2:J15"), 8,1)</f>
        <v>2006-07</v>
      </c>
    </row>
    <row r="73" spans="1:17" x14ac:dyDescent="0.2">
      <c r="A73" s="9" t="s">
        <v>243</v>
      </c>
      <c r="B73" s="14" t="s">
        <v>221</v>
      </c>
      <c r="C73" s="14">
        <v>3</v>
      </c>
      <c r="D73" s="14" t="str">
        <f>A73&amp; " S" &amp;C73</f>
        <v>The Office S3</v>
      </c>
      <c r="E73" s="14">
        <v>51</v>
      </c>
      <c r="F73" s="14">
        <v>23</v>
      </c>
      <c r="G73" s="407" t="s">
        <v>312</v>
      </c>
      <c r="H73" s="14" t="s">
        <v>288</v>
      </c>
      <c r="I73" s="14" t="s">
        <v>305</v>
      </c>
      <c r="J73" s="436">
        <v>39212</v>
      </c>
      <c r="K73" s="14" t="str">
        <f>CHOOSE(WEEKDAY(J73),"Sun","Mon","Tue","Wed","Thu","Fri","Sat")</f>
        <v>Thu</v>
      </c>
      <c r="L73" s="42">
        <v>0.85416666666666674</v>
      </c>
      <c r="M73" s="14">
        <v>3022</v>
      </c>
      <c r="N73" s="14">
        <v>7.2</v>
      </c>
      <c r="O73" s="14">
        <v>72</v>
      </c>
      <c r="P73" s="371" t="str">
        <f t="shared" si="1"/>
        <v/>
      </c>
      <c r="Q73" s="390" t="str">
        <f ca="1">VLOOKUP(EpisodeList[[#This Row],[Season Number]], INDIRECT("'" &amp; EpisodeList[[#This Row],[Show]] &amp; " Season Info'!C2:J15"), 8,1)</f>
        <v>2006-07</v>
      </c>
    </row>
    <row r="74" spans="1:17" x14ac:dyDescent="0.2">
      <c r="A74" s="9" t="s">
        <v>243</v>
      </c>
      <c r="B74" s="14" t="s">
        <v>221</v>
      </c>
      <c r="C74" s="14">
        <v>3</v>
      </c>
      <c r="D74" s="14" t="str">
        <f>A74&amp; " S" &amp;C74</f>
        <v>The Office S3</v>
      </c>
      <c r="E74" s="14">
        <v>52</v>
      </c>
      <c r="F74" s="14">
        <v>24</v>
      </c>
      <c r="G74" s="407" t="s">
        <v>307</v>
      </c>
      <c r="H74" s="14" t="s">
        <v>229</v>
      </c>
      <c r="I74" s="14" t="s">
        <v>306</v>
      </c>
      <c r="J74" s="436">
        <v>39219</v>
      </c>
      <c r="K74" s="14" t="str">
        <f>CHOOSE(WEEKDAY(J74),"Sun","Mon","Tue","Wed","Thu","Fri","Sat")</f>
        <v>Thu</v>
      </c>
      <c r="L74" s="42">
        <v>0.85416666666666674</v>
      </c>
      <c r="M74" s="14">
        <v>3023</v>
      </c>
      <c r="N74" s="14">
        <v>7.88</v>
      </c>
      <c r="O74" s="14">
        <v>73</v>
      </c>
      <c r="P74" s="371" t="str">
        <f t="shared" si="1"/>
        <v/>
      </c>
      <c r="Q74" s="390" t="str">
        <f ca="1">VLOOKUP(EpisodeList[[#This Row],[Season Number]], INDIRECT("'" &amp; EpisodeList[[#This Row],[Show]] &amp; " Season Info'!C2:J15"), 8,1)</f>
        <v>2006-07</v>
      </c>
    </row>
    <row r="75" spans="1:17" x14ac:dyDescent="0.2">
      <c r="A75" s="9" t="s">
        <v>243</v>
      </c>
      <c r="B75" s="14" t="s">
        <v>221</v>
      </c>
      <c r="C75" s="14">
        <v>3</v>
      </c>
      <c r="D75" s="14" t="str">
        <f>A75&amp; " S" &amp;C75</f>
        <v>The Office S3</v>
      </c>
      <c r="E75" s="14">
        <v>53</v>
      </c>
      <c r="F75" s="14">
        <v>25</v>
      </c>
      <c r="G75" s="407" t="s">
        <v>307</v>
      </c>
      <c r="H75" s="14" t="s">
        <v>229</v>
      </c>
      <c r="I75" s="14" t="s">
        <v>306</v>
      </c>
      <c r="J75" s="436">
        <v>39219</v>
      </c>
      <c r="K75" s="14" t="str">
        <f>CHOOSE(WEEKDAY(J75),"Sun","Mon","Tue","Wed","Thu","Fri","Sat")</f>
        <v>Thu</v>
      </c>
      <c r="L75" s="42">
        <v>0.875</v>
      </c>
      <c r="M75" s="14">
        <v>3024</v>
      </c>
      <c r="N75" s="14">
        <v>7.88</v>
      </c>
      <c r="O75" s="14">
        <v>74</v>
      </c>
      <c r="P75" s="371" t="str">
        <f t="shared" si="1"/>
        <v/>
      </c>
      <c r="Q75" s="390" t="str">
        <f ca="1">VLOOKUP(EpisodeList[[#This Row],[Season Number]], INDIRECT("'" &amp; EpisodeList[[#This Row],[Show]] &amp; " Season Info'!C2:J15"), 8,1)</f>
        <v>2006-07</v>
      </c>
    </row>
    <row r="76" spans="1:17" x14ac:dyDescent="0.2">
      <c r="A76" s="9" t="s">
        <v>243</v>
      </c>
      <c r="B76" s="17" t="s">
        <v>222</v>
      </c>
      <c r="C76" s="17">
        <v>4</v>
      </c>
      <c r="D76" s="17" t="str">
        <f>A76&amp; " S" &amp;C76</f>
        <v>The Office S4</v>
      </c>
      <c r="E76" s="17">
        <v>54</v>
      </c>
      <c r="F76" s="17">
        <v>1</v>
      </c>
      <c r="G76" s="409" t="s">
        <v>331</v>
      </c>
      <c r="H76" s="17" t="s">
        <v>239</v>
      </c>
      <c r="I76" s="17" t="s">
        <v>239</v>
      </c>
      <c r="J76" s="438">
        <v>39352</v>
      </c>
      <c r="K76" s="17" t="str">
        <f>CHOOSE(WEEKDAY(J76),"Sun","Mon","Tue","Wed","Thu","Fri","Sat")</f>
        <v>Thu</v>
      </c>
      <c r="L76" s="44">
        <v>0.875</v>
      </c>
      <c r="M76" s="17">
        <v>4001</v>
      </c>
      <c r="N76" s="17">
        <v>9.6999999999999993</v>
      </c>
      <c r="O76" s="17">
        <v>75</v>
      </c>
      <c r="P76" s="373" t="str">
        <f t="shared" si="1"/>
        <v/>
      </c>
      <c r="Q76" s="392" t="str">
        <f ca="1">VLOOKUP(EpisodeList[[#This Row],[Season Number]], INDIRECT("'" &amp; EpisodeList[[#This Row],[Show]] &amp; " Season Info'!C2:J15"), 8,1)</f>
        <v>2007-08</v>
      </c>
    </row>
    <row r="77" spans="1:17" x14ac:dyDescent="0.2">
      <c r="A77" s="9" t="s">
        <v>243</v>
      </c>
      <c r="B77" s="17" t="s">
        <v>222</v>
      </c>
      <c r="C77" s="17">
        <v>4</v>
      </c>
      <c r="D77" s="17" t="str">
        <f>A77&amp; " S" &amp;C77</f>
        <v>The Office S4</v>
      </c>
      <c r="E77" s="17">
        <v>55</v>
      </c>
      <c r="F77" s="17">
        <v>2</v>
      </c>
      <c r="G77" s="409" t="s">
        <v>331</v>
      </c>
      <c r="H77" s="17" t="s">
        <v>239</v>
      </c>
      <c r="I77" s="17" t="s">
        <v>239</v>
      </c>
      <c r="J77" s="438">
        <v>39352</v>
      </c>
      <c r="K77" s="17" t="str">
        <f>CHOOSE(WEEKDAY(J77),"Sun","Mon","Tue","Wed","Thu","Fri","Sat")</f>
        <v>Thu</v>
      </c>
      <c r="L77" s="44">
        <v>0.89583333333333337</v>
      </c>
      <c r="M77" s="17">
        <v>4002</v>
      </c>
      <c r="N77" s="17">
        <v>9.6999999999999993</v>
      </c>
      <c r="O77" s="17">
        <v>76</v>
      </c>
      <c r="P77" s="373" t="str">
        <f t="shared" si="1"/>
        <v/>
      </c>
      <c r="Q77" s="392" t="str">
        <f ca="1">VLOOKUP(EpisodeList[[#This Row],[Season Number]], INDIRECT("'" &amp; EpisodeList[[#This Row],[Show]] &amp; " Season Info'!C2:J15"), 8,1)</f>
        <v>2007-08</v>
      </c>
    </row>
    <row r="78" spans="1:17" x14ac:dyDescent="0.2">
      <c r="A78" s="15" t="s">
        <v>228</v>
      </c>
      <c r="B78" s="18" t="s">
        <v>220</v>
      </c>
      <c r="C78" s="18">
        <v>2</v>
      </c>
      <c r="D78" s="18" t="str">
        <f>A78&amp; " S" &amp;C78</f>
        <v>30 Rock S2</v>
      </c>
      <c r="E78" s="18">
        <v>22</v>
      </c>
      <c r="F78" s="18">
        <v>1</v>
      </c>
      <c r="G78" s="410" t="s">
        <v>47</v>
      </c>
      <c r="H78" s="18" t="s">
        <v>17</v>
      </c>
      <c r="I78" s="18" t="s">
        <v>9</v>
      </c>
      <c r="J78" s="439">
        <v>39359</v>
      </c>
      <c r="K78" s="18" t="str">
        <f>CHOOSE(WEEKDAY(J78),"Sun","Mon","Tue","Wed","Thu","Fri","Sat")</f>
        <v>Thu</v>
      </c>
      <c r="L78" s="45">
        <v>0.85416666666666674</v>
      </c>
      <c r="M78" s="18">
        <v>201</v>
      </c>
      <c r="N78" s="18">
        <v>7.3</v>
      </c>
      <c r="O78" s="18">
        <v>77</v>
      </c>
      <c r="P78" s="374" t="str">
        <f t="shared" si="1"/>
        <v/>
      </c>
      <c r="Q78" s="393" t="str">
        <f ca="1">VLOOKUP(EpisodeList[[#This Row],[Season Number]], INDIRECT("'" &amp; EpisodeList[[#This Row],[Show]] &amp; " Season Info'!C2:J15"), 8,1)</f>
        <v>2007-08</v>
      </c>
    </row>
    <row r="79" spans="1:17" x14ac:dyDescent="0.2">
      <c r="A79" s="9" t="s">
        <v>243</v>
      </c>
      <c r="B79" s="17" t="s">
        <v>222</v>
      </c>
      <c r="C79" s="17">
        <v>4</v>
      </c>
      <c r="D79" s="17" t="str">
        <f>A79&amp; " S" &amp;C79</f>
        <v>The Office S4</v>
      </c>
      <c r="E79" s="17">
        <v>56</v>
      </c>
      <c r="F79" s="17">
        <v>3</v>
      </c>
      <c r="G79" s="409" t="s">
        <v>330</v>
      </c>
      <c r="H79" s="17" t="s">
        <v>314</v>
      </c>
      <c r="I79" s="17" t="s">
        <v>237</v>
      </c>
      <c r="J79" s="438">
        <v>39359</v>
      </c>
      <c r="K79" s="17" t="str">
        <f>CHOOSE(WEEKDAY(J79),"Sun","Mon","Tue","Wed","Thu","Fri","Sat")</f>
        <v>Thu</v>
      </c>
      <c r="L79" s="44">
        <v>0.875</v>
      </c>
      <c r="M79" s="17">
        <v>4003</v>
      </c>
      <c r="N79" s="17">
        <v>8.49</v>
      </c>
      <c r="O79" s="17">
        <v>78</v>
      </c>
      <c r="P79" s="373" t="str">
        <f t="shared" si="1"/>
        <v/>
      </c>
      <c r="Q79" s="392" t="str">
        <f ca="1">VLOOKUP(EpisodeList[[#This Row],[Season Number]], INDIRECT("'" &amp; EpisodeList[[#This Row],[Show]] &amp; " Season Info'!C2:J15"), 8,1)</f>
        <v>2007-08</v>
      </c>
    </row>
    <row r="80" spans="1:17" x14ac:dyDescent="0.2">
      <c r="A80" s="9" t="s">
        <v>243</v>
      </c>
      <c r="B80" s="17" t="s">
        <v>222</v>
      </c>
      <c r="C80" s="17">
        <v>4</v>
      </c>
      <c r="D80" s="17" t="str">
        <f>A80&amp; " S" &amp;C80</f>
        <v>The Office S4</v>
      </c>
      <c r="E80" s="17">
        <v>57</v>
      </c>
      <c r="F80" s="17">
        <v>4</v>
      </c>
      <c r="G80" s="409" t="s">
        <v>330</v>
      </c>
      <c r="H80" s="17" t="s">
        <v>314</v>
      </c>
      <c r="I80" s="17" t="s">
        <v>237</v>
      </c>
      <c r="J80" s="438">
        <v>39359</v>
      </c>
      <c r="K80" s="17" t="str">
        <f>CHOOSE(WEEKDAY(J80),"Sun","Mon","Tue","Wed","Thu","Fri","Sat")</f>
        <v>Thu</v>
      </c>
      <c r="L80" s="44">
        <v>0.89583333333333337</v>
      </c>
      <c r="M80" s="17">
        <v>4004</v>
      </c>
      <c r="N80" s="17">
        <v>8.49</v>
      </c>
      <c r="O80" s="17">
        <v>79</v>
      </c>
      <c r="P80" s="373" t="str">
        <f t="shared" si="1"/>
        <v/>
      </c>
      <c r="Q80" s="392" t="str">
        <f ca="1">VLOOKUP(EpisodeList[[#This Row],[Season Number]], INDIRECT("'" &amp; EpisodeList[[#This Row],[Show]] &amp; " Season Info'!C2:J15"), 8,1)</f>
        <v>2007-08</v>
      </c>
    </row>
    <row r="81" spans="1:17" x14ac:dyDescent="0.2">
      <c r="A81" s="15" t="s">
        <v>228</v>
      </c>
      <c r="B81" s="18" t="s">
        <v>220</v>
      </c>
      <c r="C81" s="18">
        <v>2</v>
      </c>
      <c r="D81" s="18" t="str">
        <f>A81&amp; " S" &amp;C81</f>
        <v>30 Rock S2</v>
      </c>
      <c r="E81" s="18">
        <v>23</v>
      </c>
      <c r="F81" s="18">
        <v>2</v>
      </c>
      <c r="G81" s="410" t="s">
        <v>48</v>
      </c>
      <c r="H81" s="18" t="s">
        <v>26</v>
      </c>
      <c r="I81" s="18" t="s">
        <v>15</v>
      </c>
      <c r="J81" s="439">
        <v>39366</v>
      </c>
      <c r="K81" s="18" t="str">
        <f>CHOOSE(WEEKDAY(J81),"Sun","Mon","Tue","Wed","Thu","Fri","Sat")</f>
        <v>Thu</v>
      </c>
      <c r="L81" s="45">
        <v>0.85416666666666674</v>
      </c>
      <c r="M81" s="18">
        <v>202</v>
      </c>
      <c r="N81" s="18">
        <v>6.6</v>
      </c>
      <c r="O81" s="18">
        <v>80</v>
      </c>
      <c r="P81" s="374" t="str">
        <f t="shared" si="1"/>
        <v/>
      </c>
      <c r="Q81" s="393" t="str">
        <f ca="1">VLOOKUP(EpisodeList[[#This Row],[Season Number]], INDIRECT("'" &amp; EpisodeList[[#This Row],[Show]] &amp; " Season Info'!C2:J15"), 8,1)</f>
        <v>2007-08</v>
      </c>
    </row>
    <row r="82" spans="1:17" x14ac:dyDescent="0.2">
      <c r="A82" s="9" t="s">
        <v>243</v>
      </c>
      <c r="B82" s="17" t="s">
        <v>222</v>
      </c>
      <c r="C82" s="17">
        <v>4</v>
      </c>
      <c r="D82" s="17" t="str">
        <f>A82&amp; " S" &amp;C82</f>
        <v>The Office S4</v>
      </c>
      <c r="E82" s="17">
        <v>58</v>
      </c>
      <c r="F82" s="17">
        <v>5</v>
      </c>
      <c r="G82" s="409" t="s">
        <v>329</v>
      </c>
      <c r="H82" s="17" t="s">
        <v>90</v>
      </c>
      <c r="I82" s="17" t="s">
        <v>255</v>
      </c>
      <c r="J82" s="438">
        <v>39366</v>
      </c>
      <c r="K82" s="17" t="str">
        <f>CHOOSE(WEEKDAY(J82),"Sun","Mon","Tue","Wed","Thu","Fri","Sat")</f>
        <v>Thu</v>
      </c>
      <c r="L82" s="44">
        <v>0.875</v>
      </c>
      <c r="M82" s="17">
        <v>4005</v>
      </c>
      <c r="N82" s="17">
        <v>8.91</v>
      </c>
      <c r="O82" s="17">
        <v>81</v>
      </c>
      <c r="P82" s="373" t="str">
        <f t="shared" si="1"/>
        <v/>
      </c>
      <c r="Q82" s="392" t="str">
        <f ca="1">VLOOKUP(EpisodeList[[#This Row],[Season Number]], INDIRECT("'" &amp; EpisodeList[[#This Row],[Show]] &amp; " Season Info'!C2:J15"), 8,1)</f>
        <v>2007-08</v>
      </c>
    </row>
    <row r="83" spans="1:17" x14ac:dyDescent="0.2">
      <c r="A83" s="9" t="s">
        <v>243</v>
      </c>
      <c r="B83" s="17" t="s">
        <v>222</v>
      </c>
      <c r="C83" s="17">
        <v>4</v>
      </c>
      <c r="D83" s="17" t="str">
        <f>A83&amp; " S" &amp;C83</f>
        <v>The Office S4</v>
      </c>
      <c r="E83" s="17">
        <v>59</v>
      </c>
      <c r="F83" s="17">
        <v>6</v>
      </c>
      <c r="G83" s="409" t="s">
        <v>329</v>
      </c>
      <c r="H83" s="17" t="s">
        <v>90</v>
      </c>
      <c r="I83" s="17" t="s">
        <v>255</v>
      </c>
      <c r="J83" s="438">
        <v>39366</v>
      </c>
      <c r="K83" s="17" t="str">
        <f>CHOOSE(WEEKDAY(J83),"Sun","Mon","Tue","Wed","Thu","Fri","Sat")</f>
        <v>Thu</v>
      </c>
      <c r="L83" s="44">
        <v>0.89583333333333337</v>
      </c>
      <c r="M83" s="17">
        <v>4006</v>
      </c>
      <c r="N83" s="17">
        <v>8.91</v>
      </c>
      <c r="O83" s="17">
        <v>82</v>
      </c>
      <c r="P83" s="373" t="str">
        <f t="shared" si="1"/>
        <v/>
      </c>
      <c r="Q83" s="392" t="str">
        <f ca="1">VLOOKUP(EpisodeList[[#This Row],[Season Number]], INDIRECT("'" &amp; EpisodeList[[#This Row],[Show]] &amp; " Season Info'!C2:J15"), 8,1)</f>
        <v>2007-08</v>
      </c>
    </row>
    <row r="84" spans="1:17" x14ac:dyDescent="0.2">
      <c r="A84" s="15" t="s">
        <v>228</v>
      </c>
      <c r="B84" s="18" t="s">
        <v>220</v>
      </c>
      <c r="C84" s="18">
        <v>2</v>
      </c>
      <c r="D84" s="18" t="str">
        <f>A84&amp; " S" &amp;C84</f>
        <v>30 Rock S2</v>
      </c>
      <c r="E84" s="18">
        <v>24</v>
      </c>
      <c r="F84" s="18">
        <v>3</v>
      </c>
      <c r="G84" s="410" t="s">
        <v>49</v>
      </c>
      <c r="H84" s="18" t="s">
        <v>17</v>
      </c>
      <c r="I84" s="18" t="s">
        <v>29</v>
      </c>
      <c r="J84" s="439">
        <v>39373</v>
      </c>
      <c r="K84" s="18" t="str">
        <f>CHOOSE(WEEKDAY(J84),"Sun","Mon","Tue","Wed","Thu","Fri","Sat")</f>
        <v>Thu</v>
      </c>
      <c r="L84" s="45">
        <v>0.85416666666666674</v>
      </c>
      <c r="M84" s="18">
        <v>203</v>
      </c>
      <c r="N84" s="18">
        <v>6.2</v>
      </c>
      <c r="O84" s="18">
        <v>83</v>
      </c>
      <c r="P84" s="374" t="str">
        <f t="shared" si="1"/>
        <v/>
      </c>
      <c r="Q84" s="393" t="str">
        <f ca="1">VLOOKUP(EpisodeList[[#This Row],[Season Number]], INDIRECT("'" &amp; EpisodeList[[#This Row],[Show]] &amp; " Season Info'!C2:J15"), 8,1)</f>
        <v>2007-08</v>
      </c>
    </row>
    <row r="85" spans="1:17" x14ac:dyDescent="0.2">
      <c r="A85" s="9" t="s">
        <v>243</v>
      </c>
      <c r="B85" s="17" t="s">
        <v>222</v>
      </c>
      <c r="C85" s="17">
        <v>4</v>
      </c>
      <c r="D85" s="17" t="str">
        <f>A85&amp; " S" &amp;C85</f>
        <v>The Office S4</v>
      </c>
      <c r="E85" s="17">
        <v>60</v>
      </c>
      <c r="F85" s="17">
        <v>7</v>
      </c>
      <c r="G85" s="409" t="s">
        <v>328</v>
      </c>
      <c r="H85" s="17" t="s">
        <v>234</v>
      </c>
      <c r="I85" s="17" t="s">
        <v>234</v>
      </c>
      <c r="J85" s="438">
        <v>39373</v>
      </c>
      <c r="K85" s="17" t="str">
        <f>CHOOSE(WEEKDAY(J85),"Sun","Mon","Tue","Wed","Thu","Fri","Sat")</f>
        <v>Thu</v>
      </c>
      <c r="L85" s="44">
        <v>0.875</v>
      </c>
      <c r="M85" s="17">
        <v>4007</v>
      </c>
      <c r="N85" s="17">
        <v>8.5</v>
      </c>
      <c r="O85" s="17">
        <v>84</v>
      </c>
      <c r="P85" s="373" t="str">
        <f t="shared" si="1"/>
        <v/>
      </c>
      <c r="Q85" s="392" t="str">
        <f ca="1">VLOOKUP(EpisodeList[[#This Row],[Season Number]], INDIRECT("'" &amp; EpisodeList[[#This Row],[Show]] &amp; " Season Info'!C2:J15"), 8,1)</f>
        <v>2007-08</v>
      </c>
    </row>
    <row r="86" spans="1:17" x14ac:dyDescent="0.2">
      <c r="A86" s="9" t="s">
        <v>243</v>
      </c>
      <c r="B86" s="17" t="s">
        <v>222</v>
      </c>
      <c r="C86" s="17">
        <v>4</v>
      </c>
      <c r="D86" s="17" t="str">
        <f>A86&amp; " S" &amp;C86</f>
        <v>The Office S4</v>
      </c>
      <c r="E86" s="17">
        <v>61</v>
      </c>
      <c r="F86" s="17">
        <v>8</v>
      </c>
      <c r="G86" s="409" t="s">
        <v>328</v>
      </c>
      <c r="H86" s="17" t="s">
        <v>234</v>
      </c>
      <c r="I86" s="17" t="s">
        <v>234</v>
      </c>
      <c r="J86" s="438">
        <v>39373</v>
      </c>
      <c r="K86" s="17" t="str">
        <f>CHOOSE(WEEKDAY(J86),"Sun","Mon","Tue","Wed","Thu","Fri","Sat")</f>
        <v>Thu</v>
      </c>
      <c r="L86" s="44">
        <v>0.89583333333333337</v>
      </c>
      <c r="M86" s="17">
        <v>4008</v>
      </c>
      <c r="N86" s="17">
        <v>8.5</v>
      </c>
      <c r="O86" s="17">
        <v>85</v>
      </c>
      <c r="P86" s="373" t="str">
        <f t="shared" si="1"/>
        <v/>
      </c>
      <c r="Q86" s="392" t="str">
        <f ca="1">VLOOKUP(EpisodeList[[#This Row],[Season Number]], INDIRECT("'" &amp; EpisodeList[[#This Row],[Show]] &amp; " Season Info'!C2:J15"), 8,1)</f>
        <v>2007-08</v>
      </c>
    </row>
    <row r="87" spans="1:17" x14ac:dyDescent="0.2">
      <c r="A87" s="15" t="s">
        <v>228</v>
      </c>
      <c r="B87" s="18" t="s">
        <v>220</v>
      </c>
      <c r="C87" s="18">
        <v>2</v>
      </c>
      <c r="D87" s="18" t="str">
        <f>A87&amp; " S" &amp;C87</f>
        <v>30 Rock S2</v>
      </c>
      <c r="E87" s="18">
        <v>25</v>
      </c>
      <c r="F87" s="18">
        <v>4</v>
      </c>
      <c r="G87" s="410" t="s">
        <v>50</v>
      </c>
      <c r="H87" s="18" t="s">
        <v>26</v>
      </c>
      <c r="I87" s="18" t="s">
        <v>20</v>
      </c>
      <c r="J87" s="439">
        <v>39380</v>
      </c>
      <c r="K87" s="18" t="str">
        <f>CHOOSE(WEEKDAY(J87),"Sun","Mon","Tue","Wed","Thu","Fri","Sat")</f>
        <v>Thu</v>
      </c>
      <c r="L87" s="45">
        <v>0.85416666666666674</v>
      </c>
      <c r="M87" s="18">
        <v>204</v>
      </c>
      <c r="N87" s="18">
        <v>6.5</v>
      </c>
      <c r="O87" s="18">
        <v>86</v>
      </c>
      <c r="P87" s="374" t="str">
        <f t="shared" si="1"/>
        <v/>
      </c>
      <c r="Q87" s="393" t="str">
        <f ca="1">VLOOKUP(EpisodeList[[#This Row],[Season Number]], INDIRECT("'" &amp; EpisodeList[[#This Row],[Show]] &amp; " Season Info'!C2:J15"), 8,1)</f>
        <v>2007-08</v>
      </c>
    </row>
    <row r="88" spans="1:17" x14ac:dyDescent="0.2">
      <c r="A88" s="9" t="s">
        <v>243</v>
      </c>
      <c r="B88" s="17" t="s">
        <v>222</v>
      </c>
      <c r="C88" s="17">
        <v>4</v>
      </c>
      <c r="D88" s="17" t="str">
        <f>A88&amp; " S" &amp;C88</f>
        <v>The Office S4</v>
      </c>
      <c r="E88" s="17">
        <v>62</v>
      </c>
      <c r="F88" s="17">
        <v>9</v>
      </c>
      <c r="G88" s="409" t="s">
        <v>315</v>
      </c>
      <c r="H88" s="17" t="s">
        <v>316</v>
      </c>
      <c r="I88" s="17" t="s">
        <v>232</v>
      </c>
      <c r="J88" s="438">
        <v>39380</v>
      </c>
      <c r="K88" s="17" t="str">
        <f>CHOOSE(WEEKDAY(J88),"Sun","Mon","Tue","Wed","Thu","Fri","Sat")</f>
        <v>Thu</v>
      </c>
      <c r="L88" s="44">
        <v>0.875</v>
      </c>
      <c r="M88" s="17">
        <v>4009</v>
      </c>
      <c r="N88" s="17">
        <v>8.98</v>
      </c>
      <c r="O88" s="17">
        <v>87</v>
      </c>
      <c r="P88" s="373" t="str">
        <f t="shared" si="1"/>
        <v/>
      </c>
      <c r="Q88" s="392" t="str">
        <f ca="1">VLOOKUP(EpisodeList[[#This Row],[Season Number]], INDIRECT("'" &amp; EpisodeList[[#This Row],[Show]] &amp; " Season Info'!C2:J15"), 8,1)</f>
        <v>2007-08</v>
      </c>
    </row>
    <row r="89" spans="1:17" x14ac:dyDescent="0.2">
      <c r="A89" s="9" t="s">
        <v>243</v>
      </c>
      <c r="B89" s="17" t="s">
        <v>222</v>
      </c>
      <c r="C89" s="17">
        <v>4</v>
      </c>
      <c r="D89" s="17" t="str">
        <f>A89&amp; " S" &amp;C89</f>
        <v>The Office S4</v>
      </c>
      <c r="E89" s="17">
        <v>63</v>
      </c>
      <c r="F89" s="17">
        <v>10</v>
      </c>
      <c r="G89" s="409" t="s">
        <v>317</v>
      </c>
      <c r="H89" s="17" t="s">
        <v>299</v>
      </c>
      <c r="I89" s="17" t="s">
        <v>242</v>
      </c>
      <c r="J89" s="438">
        <v>39387</v>
      </c>
      <c r="K89" s="17" t="str">
        <f>CHOOSE(WEEKDAY(J89),"Sun","Mon","Tue","Wed","Thu","Fri","Sat")</f>
        <v>Thu</v>
      </c>
      <c r="L89" s="44">
        <v>0.875</v>
      </c>
      <c r="M89" s="17">
        <v>4010</v>
      </c>
      <c r="N89" s="17">
        <v>8.39</v>
      </c>
      <c r="O89" s="17">
        <v>88</v>
      </c>
      <c r="P89" s="373" t="str">
        <f t="shared" si="1"/>
        <v/>
      </c>
      <c r="Q89" s="392" t="str">
        <f ca="1">VLOOKUP(EpisodeList[[#This Row],[Season Number]], INDIRECT("'" &amp; EpisodeList[[#This Row],[Show]] &amp; " Season Info'!C2:J15"), 8,1)</f>
        <v>2007-08</v>
      </c>
    </row>
    <row r="90" spans="1:17" x14ac:dyDescent="0.2">
      <c r="A90" s="15" t="s">
        <v>228</v>
      </c>
      <c r="B90" s="18" t="s">
        <v>220</v>
      </c>
      <c r="C90" s="18">
        <v>2</v>
      </c>
      <c r="D90" s="18" t="str">
        <f>A90&amp; " S" &amp;C90</f>
        <v>30 Rock S2</v>
      </c>
      <c r="E90" s="18">
        <v>26</v>
      </c>
      <c r="F90" s="18">
        <v>5</v>
      </c>
      <c r="G90" s="410" t="s">
        <v>51</v>
      </c>
      <c r="H90" s="18" t="s">
        <v>17</v>
      </c>
      <c r="I90" s="18" t="s">
        <v>52</v>
      </c>
      <c r="J90" s="439">
        <v>39394</v>
      </c>
      <c r="K90" s="18" t="str">
        <f>CHOOSE(WEEKDAY(J90),"Sun","Mon","Tue","Wed","Thu","Fri","Sat")</f>
        <v>Thu</v>
      </c>
      <c r="L90" s="45">
        <v>0.85416666666666674</v>
      </c>
      <c r="M90" s="18">
        <v>205</v>
      </c>
      <c r="N90" s="18">
        <v>6.6</v>
      </c>
      <c r="O90" s="18">
        <v>89</v>
      </c>
      <c r="P90" s="374" t="str">
        <f t="shared" si="1"/>
        <v/>
      </c>
      <c r="Q90" s="393" t="str">
        <f ca="1">VLOOKUP(EpisodeList[[#This Row],[Season Number]], INDIRECT("'" &amp; EpisodeList[[#This Row],[Show]] &amp; " Season Info'!C2:J15"), 8,1)</f>
        <v>2007-08</v>
      </c>
    </row>
    <row r="91" spans="1:17" x14ac:dyDescent="0.2">
      <c r="A91" s="9" t="s">
        <v>243</v>
      </c>
      <c r="B91" s="17" t="s">
        <v>222</v>
      </c>
      <c r="C91" s="17">
        <v>4</v>
      </c>
      <c r="D91" s="17" t="str">
        <f>A91&amp; " S" &amp;C91</f>
        <v>The Office S4</v>
      </c>
      <c r="E91" s="17">
        <v>64</v>
      </c>
      <c r="F91" s="17">
        <v>11</v>
      </c>
      <c r="G91" s="409" t="s">
        <v>318</v>
      </c>
      <c r="H91" s="17" t="s">
        <v>44</v>
      </c>
      <c r="I91" s="17" t="s">
        <v>271</v>
      </c>
      <c r="J91" s="438">
        <v>39394</v>
      </c>
      <c r="K91" s="17" t="str">
        <f>CHOOSE(WEEKDAY(J91),"Sun","Mon","Tue","Wed","Thu","Fri","Sat")</f>
        <v>Thu</v>
      </c>
      <c r="L91" s="44">
        <v>0.875</v>
      </c>
      <c r="M91" s="17">
        <v>4011</v>
      </c>
      <c r="N91" s="17">
        <v>8.2899999999999991</v>
      </c>
      <c r="O91" s="17">
        <v>90</v>
      </c>
      <c r="P91" s="373" t="str">
        <f t="shared" si="1"/>
        <v/>
      </c>
      <c r="Q91" s="392" t="str">
        <f ca="1">VLOOKUP(EpisodeList[[#This Row],[Season Number]], INDIRECT("'" &amp; EpisodeList[[#This Row],[Show]] &amp; " Season Info'!C2:J15"), 8,1)</f>
        <v>2007-08</v>
      </c>
    </row>
    <row r="92" spans="1:17" x14ac:dyDescent="0.2">
      <c r="A92" s="15" t="s">
        <v>228</v>
      </c>
      <c r="B92" s="18" t="s">
        <v>220</v>
      </c>
      <c r="C92" s="18">
        <v>2</v>
      </c>
      <c r="D92" s="18" t="str">
        <f>A92&amp; " S" &amp;C92</f>
        <v>30 Rock S2</v>
      </c>
      <c r="E92" s="18">
        <v>27</v>
      </c>
      <c r="F92" s="18">
        <v>6</v>
      </c>
      <c r="G92" s="410" t="s">
        <v>53</v>
      </c>
      <c r="H92" s="18" t="s">
        <v>28</v>
      </c>
      <c r="I92" s="18" t="s">
        <v>54</v>
      </c>
      <c r="J92" s="439">
        <v>39401</v>
      </c>
      <c r="K92" s="18" t="str">
        <f>CHOOSE(WEEKDAY(J92),"Sun","Mon","Tue","Wed","Thu","Fri","Sat")</f>
        <v>Thu</v>
      </c>
      <c r="L92" s="45">
        <v>0.85416666666666674</v>
      </c>
      <c r="M92" s="18">
        <v>206</v>
      </c>
      <c r="N92" s="18">
        <v>5.8</v>
      </c>
      <c r="O92" s="18">
        <v>91</v>
      </c>
      <c r="P92" s="374" t="str">
        <f t="shared" si="1"/>
        <v/>
      </c>
      <c r="Q92" s="393" t="str">
        <f ca="1">VLOOKUP(EpisodeList[[#This Row],[Season Number]], INDIRECT("'" &amp; EpisodeList[[#This Row],[Show]] &amp; " Season Info'!C2:J15"), 8,1)</f>
        <v>2007-08</v>
      </c>
    </row>
    <row r="93" spans="1:17" x14ac:dyDescent="0.2">
      <c r="A93" s="9" t="s">
        <v>243</v>
      </c>
      <c r="B93" s="17" t="s">
        <v>222</v>
      </c>
      <c r="C93" s="17">
        <v>4</v>
      </c>
      <c r="D93" s="17" t="str">
        <f>A93&amp; " S" &amp;C93</f>
        <v>The Office S4</v>
      </c>
      <c r="E93" s="17">
        <v>65</v>
      </c>
      <c r="F93" s="17">
        <v>12</v>
      </c>
      <c r="G93" s="409" t="s">
        <v>319</v>
      </c>
      <c r="H93" s="17" t="s">
        <v>290</v>
      </c>
      <c r="I93" s="17" t="s">
        <v>320</v>
      </c>
      <c r="J93" s="438">
        <v>39401</v>
      </c>
      <c r="K93" s="17" t="str">
        <f>CHOOSE(WEEKDAY(J93),"Sun","Mon","Tue","Wed","Thu","Fri","Sat")</f>
        <v>Thu</v>
      </c>
      <c r="L93" s="44">
        <v>0.875</v>
      </c>
      <c r="M93" s="17">
        <v>4012</v>
      </c>
      <c r="N93" s="17">
        <v>8.86</v>
      </c>
      <c r="O93" s="17">
        <v>92</v>
      </c>
      <c r="P93" s="373" t="str">
        <f t="shared" si="1"/>
        <v/>
      </c>
      <c r="Q93" s="392" t="str">
        <f ca="1">VLOOKUP(EpisodeList[[#This Row],[Season Number]], INDIRECT("'" &amp; EpisodeList[[#This Row],[Show]] &amp; " Season Info'!C2:J15"), 8,1)</f>
        <v>2007-08</v>
      </c>
    </row>
    <row r="94" spans="1:17" x14ac:dyDescent="0.2">
      <c r="A94" s="15" t="s">
        <v>228</v>
      </c>
      <c r="B94" s="18" t="s">
        <v>220</v>
      </c>
      <c r="C94" s="18">
        <v>2</v>
      </c>
      <c r="D94" s="18" t="str">
        <f>A94&amp; " S" &amp;C94</f>
        <v>30 Rock S2</v>
      </c>
      <c r="E94" s="18">
        <v>28</v>
      </c>
      <c r="F94" s="18">
        <v>7</v>
      </c>
      <c r="G94" s="410" t="s">
        <v>55</v>
      </c>
      <c r="H94" s="18" t="s">
        <v>26</v>
      </c>
      <c r="I94" s="18" t="s">
        <v>12</v>
      </c>
      <c r="J94" s="439">
        <v>39415</v>
      </c>
      <c r="K94" s="18" t="str">
        <f>CHOOSE(WEEKDAY(J94),"Sun","Mon","Tue","Wed","Thu","Fri","Sat")</f>
        <v>Thu</v>
      </c>
      <c r="L94" s="45">
        <v>0.85416666666666674</v>
      </c>
      <c r="M94" s="18">
        <v>207</v>
      </c>
      <c r="N94" s="18">
        <v>6.4</v>
      </c>
      <c r="O94" s="18">
        <v>93</v>
      </c>
      <c r="P94" s="374" t="str">
        <f t="shared" si="1"/>
        <v/>
      </c>
      <c r="Q94" s="393" t="str">
        <f ca="1">VLOOKUP(EpisodeList[[#This Row],[Season Number]], INDIRECT("'" &amp; EpisodeList[[#This Row],[Show]] &amp; " Season Info'!C2:J15"), 8,1)</f>
        <v>2007-08</v>
      </c>
    </row>
    <row r="95" spans="1:17" x14ac:dyDescent="0.2">
      <c r="A95" s="15" t="s">
        <v>228</v>
      </c>
      <c r="B95" s="18" t="s">
        <v>220</v>
      </c>
      <c r="C95" s="18">
        <v>2</v>
      </c>
      <c r="D95" s="18" t="str">
        <f>A95&amp; " S" &amp;C95</f>
        <v>30 Rock S2</v>
      </c>
      <c r="E95" s="18">
        <v>29</v>
      </c>
      <c r="F95" s="18">
        <v>8</v>
      </c>
      <c r="G95" s="410" t="s">
        <v>56</v>
      </c>
      <c r="H95" s="18" t="s">
        <v>26</v>
      </c>
      <c r="I95" s="18" t="s">
        <v>57</v>
      </c>
      <c r="J95" s="439">
        <v>39422</v>
      </c>
      <c r="K95" s="18" t="str">
        <f>CHOOSE(WEEKDAY(J95),"Sun","Mon","Tue","Wed","Thu","Fri","Sat")</f>
        <v>Thu</v>
      </c>
      <c r="L95" s="45">
        <v>0.85416666666666674</v>
      </c>
      <c r="M95" s="18">
        <v>208</v>
      </c>
      <c r="N95" s="18">
        <v>5.8</v>
      </c>
      <c r="O95" s="18">
        <v>94</v>
      </c>
      <c r="P95" s="374" t="str">
        <f t="shared" si="1"/>
        <v/>
      </c>
      <c r="Q95" s="393" t="str">
        <f ca="1">VLOOKUP(EpisodeList[[#This Row],[Season Number]], INDIRECT("'" &amp; EpisodeList[[#This Row],[Show]] &amp; " Season Info'!C2:J15"), 8,1)</f>
        <v>2007-08</v>
      </c>
    </row>
    <row r="96" spans="1:17" x14ac:dyDescent="0.2">
      <c r="A96" s="15" t="s">
        <v>228</v>
      </c>
      <c r="B96" s="18" t="s">
        <v>220</v>
      </c>
      <c r="C96" s="18">
        <v>2</v>
      </c>
      <c r="D96" s="18" t="str">
        <f>A96&amp; " S" &amp;C96</f>
        <v>30 Rock S2</v>
      </c>
      <c r="E96" s="18">
        <v>30</v>
      </c>
      <c r="F96" s="18">
        <v>9</v>
      </c>
      <c r="G96" s="410" t="s">
        <v>58</v>
      </c>
      <c r="H96" s="18" t="s">
        <v>17</v>
      </c>
      <c r="I96" s="18" t="s">
        <v>59</v>
      </c>
      <c r="J96" s="439">
        <v>39429</v>
      </c>
      <c r="K96" s="18" t="str">
        <f>CHOOSE(WEEKDAY(J96),"Sun","Mon","Tue","Wed","Thu","Fri","Sat")</f>
        <v>Thu</v>
      </c>
      <c r="L96" s="45">
        <v>0.875</v>
      </c>
      <c r="M96" s="18">
        <v>209</v>
      </c>
      <c r="N96" s="18">
        <v>5.6</v>
      </c>
      <c r="O96" s="18">
        <v>95</v>
      </c>
      <c r="P96" s="374" t="str">
        <f t="shared" si="1"/>
        <v/>
      </c>
      <c r="Q96" s="393" t="str">
        <f ca="1">VLOOKUP(EpisodeList[[#This Row],[Season Number]], INDIRECT("'" &amp; EpisodeList[[#This Row],[Show]] &amp; " Season Info'!C2:J15"), 8,1)</f>
        <v>2007-08</v>
      </c>
    </row>
    <row r="97" spans="1:17" x14ac:dyDescent="0.2">
      <c r="A97" s="15" t="s">
        <v>228</v>
      </c>
      <c r="B97" s="18" t="s">
        <v>220</v>
      </c>
      <c r="C97" s="18">
        <v>2</v>
      </c>
      <c r="D97" s="18" t="str">
        <f>A97&amp; " S" &amp;C97</f>
        <v>30 Rock S2</v>
      </c>
      <c r="E97" s="18">
        <v>31</v>
      </c>
      <c r="F97" s="18">
        <v>10</v>
      </c>
      <c r="G97" s="410" t="s">
        <v>60</v>
      </c>
      <c r="H97" s="18" t="s">
        <v>61</v>
      </c>
      <c r="I97" s="18" t="s">
        <v>62</v>
      </c>
      <c r="J97" s="439">
        <v>39457</v>
      </c>
      <c r="K97" s="18" t="str">
        <f>CHOOSE(WEEKDAY(J97),"Sun","Mon","Tue","Wed","Thu","Fri","Sat")</f>
        <v>Thu</v>
      </c>
      <c r="L97" s="45">
        <v>0.85416666666666674</v>
      </c>
      <c r="M97" s="18">
        <v>210</v>
      </c>
      <c r="N97" s="18">
        <v>6</v>
      </c>
      <c r="O97" s="18">
        <v>96</v>
      </c>
      <c r="P97" s="374" t="str">
        <f t="shared" si="1"/>
        <v/>
      </c>
      <c r="Q97" s="393" t="str">
        <f ca="1">VLOOKUP(EpisodeList[[#This Row],[Season Number]], INDIRECT("'" &amp; EpisodeList[[#This Row],[Show]] &amp; " Season Info'!C2:J15"), 8,1)</f>
        <v>2007-08</v>
      </c>
    </row>
    <row r="98" spans="1:17" x14ac:dyDescent="0.2">
      <c r="A98" s="15" t="s">
        <v>228</v>
      </c>
      <c r="B98" s="18" t="s">
        <v>220</v>
      </c>
      <c r="C98" s="18">
        <v>2</v>
      </c>
      <c r="D98" s="18" t="str">
        <f>A98&amp; " S" &amp;C98</f>
        <v>30 Rock S2</v>
      </c>
      <c r="E98" s="18">
        <v>32</v>
      </c>
      <c r="F98" s="18">
        <v>11</v>
      </c>
      <c r="G98" s="410" t="s">
        <v>63</v>
      </c>
      <c r="H98" s="18" t="s">
        <v>64</v>
      </c>
      <c r="I98" s="18" t="s">
        <v>65</v>
      </c>
      <c r="J98" s="439">
        <v>39548</v>
      </c>
      <c r="K98" s="18" t="str">
        <f>CHOOSE(WEEKDAY(J98),"Sun","Mon","Tue","Wed","Thu","Fri","Sat")</f>
        <v>Thu</v>
      </c>
      <c r="L98" s="45">
        <v>0.85416666666666674</v>
      </c>
      <c r="M98" s="18">
        <v>212</v>
      </c>
      <c r="N98" s="18">
        <v>5.7</v>
      </c>
      <c r="O98" s="18">
        <v>97</v>
      </c>
      <c r="P98" s="374" t="str">
        <f t="shared" si="1"/>
        <v/>
      </c>
      <c r="Q98" s="393" t="str">
        <f ca="1">VLOOKUP(EpisodeList[[#This Row],[Season Number]], INDIRECT("'" &amp; EpisodeList[[#This Row],[Show]] &amp; " Season Info'!C2:J15"), 8,1)</f>
        <v>2007-08</v>
      </c>
    </row>
    <row r="99" spans="1:17" x14ac:dyDescent="0.2">
      <c r="A99" s="9" t="s">
        <v>243</v>
      </c>
      <c r="B99" s="17" t="s">
        <v>222</v>
      </c>
      <c r="C99" s="17">
        <v>4</v>
      </c>
      <c r="D99" s="17" t="str">
        <f>A99&amp; " S" &amp;C99</f>
        <v>The Office S4</v>
      </c>
      <c r="E99" s="17">
        <v>66</v>
      </c>
      <c r="F99" s="17">
        <v>13</v>
      </c>
      <c r="G99" s="409" t="s">
        <v>321</v>
      </c>
      <c r="H99" s="17" t="s">
        <v>44</v>
      </c>
      <c r="I99" s="17" t="s">
        <v>250</v>
      </c>
      <c r="J99" s="438">
        <v>39548</v>
      </c>
      <c r="K99" s="17" t="str">
        <f>CHOOSE(WEEKDAY(J99),"Sun","Mon","Tue","Wed","Thu","Fri","Sat")</f>
        <v>Thu</v>
      </c>
      <c r="L99" s="44">
        <v>0.875</v>
      </c>
      <c r="M99" s="17">
        <v>4013</v>
      </c>
      <c r="N99" s="17">
        <v>9.2200000000000006</v>
      </c>
      <c r="O99" s="17">
        <v>98</v>
      </c>
      <c r="P99" s="373" t="str">
        <f t="shared" si="1"/>
        <v/>
      </c>
      <c r="Q99" s="392" t="str">
        <f ca="1">VLOOKUP(EpisodeList[[#This Row],[Season Number]], INDIRECT("'" &amp; EpisodeList[[#This Row],[Show]] &amp; " Season Info'!C2:J15"), 8,1)</f>
        <v>2007-08</v>
      </c>
    </row>
    <row r="100" spans="1:17" x14ac:dyDescent="0.2">
      <c r="A100" s="15" t="s">
        <v>228</v>
      </c>
      <c r="B100" s="18" t="s">
        <v>220</v>
      </c>
      <c r="C100" s="18">
        <v>2</v>
      </c>
      <c r="D100" s="18" t="str">
        <f>A100&amp; " S" &amp;C100</f>
        <v>30 Rock S2</v>
      </c>
      <c r="E100" s="18">
        <v>33</v>
      </c>
      <c r="F100" s="18">
        <v>12</v>
      </c>
      <c r="G100" s="410" t="s">
        <v>66</v>
      </c>
      <c r="H100" s="18" t="s">
        <v>17</v>
      </c>
      <c r="I100" s="18" t="s">
        <v>45</v>
      </c>
      <c r="J100" s="439">
        <v>39555</v>
      </c>
      <c r="K100" s="18" t="str">
        <f>CHOOSE(WEEKDAY(J100),"Sun","Mon","Tue","Wed","Thu","Fri","Sat")</f>
        <v>Thu</v>
      </c>
      <c r="L100" s="45">
        <v>0.85416666666666674</v>
      </c>
      <c r="M100" s="18">
        <v>211</v>
      </c>
      <c r="N100" s="18">
        <v>6.4</v>
      </c>
      <c r="O100" s="18">
        <v>99</v>
      </c>
      <c r="P100" s="374" t="str">
        <f t="shared" si="1"/>
        <v/>
      </c>
      <c r="Q100" s="393" t="str">
        <f ca="1">VLOOKUP(EpisodeList[[#This Row],[Season Number]], INDIRECT("'" &amp; EpisodeList[[#This Row],[Show]] &amp; " Season Info'!C2:J15"), 8,1)</f>
        <v>2007-08</v>
      </c>
    </row>
    <row r="101" spans="1:17" x14ac:dyDescent="0.2">
      <c r="A101" s="9" t="s">
        <v>243</v>
      </c>
      <c r="B101" s="17" t="s">
        <v>222</v>
      </c>
      <c r="C101" s="17">
        <v>4</v>
      </c>
      <c r="D101" s="17" t="str">
        <f>A101&amp; " S" &amp;C101</f>
        <v>The Office S4</v>
      </c>
      <c r="E101" s="17">
        <v>67</v>
      </c>
      <c r="F101" s="17">
        <v>14</v>
      </c>
      <c r="G101" s="409" t="s">
        <v>322</v>
      </c>
      <c r="H101" s="17" t="s">
        <v>286</v>
      </c>
      <c r="I101" s="17" t="s">
        <v>232</v>
      </c>
      <c r="J101" s="438">
        <v>39555</v>
      </c>
      <c r="K101" s="17" t="str">
        <f>CHOOSE(WEEKDAY(J101),"Sun","Mon","Tue","Wed","Thu","Fri","Sat")</f>
        <v>Thu</v>
      </c>
      <c r="L101" s="44">
        <v>0.875</v>
      </c>
      <c r="M101" s="17">
        <v>4014</v>
      </c>
      <c r="N101" s="17">
        <v>9.81</v>
      </c>
      <c r="O101" s="17">
        <v>100</v>
      </c>
      <c r="P101" s="373" t="str">
        <f t="shared" si="1"/>
        <v/>
      </c>
      <c r="Q101" s="392" t="str">
        <f ca="1">VLOOKUP(EpisodeList[[#This Row],[Season Number]], INDIRECT("'" &amp; EpisodeList[[#This Row],[Show]] &amp; " Season Info'!C2:J15"), 8,1)</f>
        <v>2007-08</v>
      </c>
    </row>
    <row r="102" spans="1:17" x14ac:dyDescent="0.2">
      <c r="A102" s="9" t="s">
        <v>243</v>
      </c>
      <c r="B102" s="17" t="s">
        <v>222</v>
      </c>
      <c r="C102" s="17">
        <v>4</v>
      </c>
      <c r="D102" s="17" t="str">
        <f>A102&amp; " S" &amp;C102</f>
        <v>The Office S4</v>
      </c>
      <c r="E102" s="17">
        <v>68</v>
      </c>
      <c r="F102" s="17">
        <v>15</v>
      </c>
      <c r="G102" s="409" t="s">
        <v>323</v>
      </c>
      <c r="H102" s="17" t="s">
        <v>90</v>
      </c>
      <c r="I102" s="17" t="s">
        <v>242</v>
      </c>
      <c r="J102" s="438">
        <v>39562</v>
      </c>
      <c r="K102" s="17" t="str">
        <f>CHOOSE(WEEKDAY(J102),"Sun","Mon","Tue","Wed","Thu","Fri","Sat")</f>
        <v>Thu</v>
      </c>
      <c r="L102" s="44">
        <v>0.875</v>
      </c>
      <c r="M102" s="17">
        <v>4015</v>
      </c>
      <c r="N102" s="17">
        <v>7.56</v>
      </c>
      <c r="O102" s="17">
        <v>101</v>
      </c>
      <c r="P102" s="373" t="str">
        <f t="shared" si="1"/>
        <v/>
      </c>
      <c r="Q102" s="392" t="str">
        <f ca="1">VLOOKUP(EpisodeList[[#This Row],[Season Number]], INDIRECT("'" &amp; EpisodeList[[#This Row],[Show]] &amp; " Season Info'!C2:J15"), 8,1)</f>
        <v>2007-08</v>
      </c>
    </row>
    <row r="103" spans="1:17" x14ac:dyDescent="0.2">
      <c r="A103" s="15" t="s">
        <v>228</v>
      </c>
      <c r="B103" s="18" t="s">
        <v>220</v>
      </c>
      <c r="C103" s="18">
        <v>2</v>
      </c>
      <c r="D103" s="18" t="str">
        <f>A103&amp; " S" &amp;C103</f>
        <v>30 Rock S2</v>
      </c>
      <c r="E103" s="18">
        <v>34</v>
      </c>
      <c r="F103" s="18">
        <v>13</v>
      </c>
      <c r="G103" s="410" t="s">
        <v>67</v>
      </c>
      <c r="H103" s="18" t="s">
        <v>14</v>
      </c>
      <c r="I103" s="18" t="s">
        <v>68</v>
      </c>
      <c r="J103" s="439">
        <v>39562</v>
      </c>
      <c r="K103" s="18" t="str">
        <f>CHOOSE(WEEKDAY(J103),"Sun","Mon","Tue","Wed","Thu","Fri","Sat")</f>
        <v>Thu</v>
      </c>
      <c r="L103" s="45">
        <v>0.89583333333333326</v>
      </c>
      <c r="M103" s="18">
        <v>213</v>
      </c>
      <c r="N103" s="18">
        <v>5.5</v>
      </c>
      <c r="O103" s="18">
        <v>102</v>
      </c>
      <c r="P103" s="374" t="str">
        <f t="shared" si="1"/>
        <v/>
      </c>
      <c r="Q103" s="393" t="str">
        <f ca="1">VLOOKUP(EpisodeList[[#This Row],[Season Number]], INDIRECT("'" &amp; EpisodeList[[#This Row],[Show]] &amp; " Season Info'!C2:J15"), 8,1)</f>
        <v>2007-08</v>
      </c>
    </row>
    <row r="104" spans="1:17" x14ac:dyDescent="0.2">
      <c r="A104" s="9" t="s">
        <v>243</v>
      </c>
      <c r="B104" s="17" t="s">
        <v>222</v>
      </c>
      <c r="C104" s="17">
        <v>4</v>
      </c>
      <c r="D104" s="17" t="str">
        <f>A104&amp; " S" &amp;C104</f>
        <v>The Office S4</v>
      </c>
      <c r="E104" s="17">
        <v>69</v>
      </c>
      <c r="F104" s="17">
        <v>16</v>
      </c>
      <c r="G104" s="409" t="s">
        <v>324</v>
      </c>
      <c r="H104" s="17" t="s">
        <v>279</v>
      </c>
      <c r="I104" s="17" t="s">
        <v>325</v>
      </c>
      <c r="J104" s="438">
        <v>39569</v>
      </c>
      <c r="K104" s="17" t="str">
        <f>CHOOSE(WEEKDAY(J104),"Sun","Mon","Tue","Wed","Thu","Fri","Sat")</f>
        <v>Thu</v>
      </c>
      <c r="L104" s="44">
        <v>0.875</v>
      </c>
      <c r="M104" s="17">
        <v>4016</v>
      </c>
      <c r="N104" s="17">
        <v>7.67</v>
      </c>
      <c r="O104" s="17">
        <v>103</v>
      </c>
      <c r="P104" s="373" t="str">
        <f t="shared" si="1"/>
        <v/>
      </c>
      <c r="Q104" s="392" t="str">
        <f ca="1">VLOOKUP(EpisodeList[[#This Row],[Season Number]], INDIRECT("'" &amp; EpisodeList[[#This Row],[Show]] &amp; " Season Info'!C2:J15"), 8,1)</f>
        <v>2007-08</v>
      </c>
    </row>
    <row r="105" spans="1:17" x14ac:dyDescent="0.2">
      <c r="A105" s="15" t="s">
        <v>228</v>
      </c>
      <c r="B105" s="18" t="s">
        <v>220</v>
      </c>
      <c r="C105" s="18">
        <v>2</v>
      </c>
      <c r="D105" s="18" t="str">
        <f>A105&amp; " S" &amp;C105</f>
        <v>30 Rock S2</v>
      </c>
      <c r="E105" s="18">
        <v>35</v>
      </c>
      <c r="F105" s="18">
        <v>14</v>
      </c>
      <c r="G105" s="410" t="s">
        <v>69</v>
      </c>
      <c r="H105" s="18" t="s">
        <v>17</v>
      </c>
      <c r="I105" s="18" t="s">
        <v>70</v>
      </c>
      <c r="J105" s="439">
        <v>39569</v>
      </c>
      <c r="K105" s="18" t="str">
        <f>CHOOSE(WEEKDAY(J105),"Sun","Mon","Tue","Wed","Thu","Fri","Sat")</f>
        <v>Thu</v>
      </c>
      <c r="L105" s="45">
        <v>0.89583333333333326</v>
      </c>
      <c r="M105" s="18">
        <v>214</v>
      </c>
      <c r="N105" s="18">
        <v>5.4</v>
      </c>
      <c r="O105" s="18">
        <v>104</v>
      </c>
      <c r="P105" s="374" t="str">
        <f t="shared" si="1"/>
        <v/>
      </c>
      <c r="Q105" s="393" t="str">
        <f ca="1">VLOOKUP(EpisodeList[[#This Row],[Season Number]], INDIRECT("'" &amp; EpisodeList[[#This Row],[Show]] &amp; " Season Info'!C2:J15"), 8,1)</f>
        <v>2007-08</v>
      </c>
    </row>
    <row r="106" spans="1:17" x14ac:dyDescent="0.2">
      <c r="A106" s="9" t="s">
        <v>243</v>
      </c>
      <c r="B106" s="17" t="s">
        <v>222</v>
      </c>
      <c r="C106" s="17">
        <v>4</v>
      </c>
      <c r="D106" s="17" t="str">
        <f>A106&amp; " S" &amp;C106</f>
        <v>The Office S4</v>
      </c>
      <c r="E106" s="17">
        <v>70</v>
      </c>
      <c r="F106" s="17">
        <v>17</v>
      </c>
      <c r="G106" s="409" t="s">
        <v>326</v>
      </c>
      <c r="H106" s="17" t="s">
        <v>283</v>
      </c>
      <c r="I106" s="17" t="s">
        <v>261</v>
      </c>
      <c r="J106" s="438">
        <v>39576</v>
      </c>
      <c r="K106" s="17" t="str">
        <f>CHOOSE(WEEKDAY(J106),"Sun","Mon","Tue","Wed","Thu","Fri","Sat")</f>
        <v>Thu</v>
      </c>
      <c r="L106" s="44">
        <v>0.875</v>
      </c>
      <c r="M106" s="17">
        <v>4017</v>
      </c>
      <c r="N106" s="17">
        <v>7.22</v>
      </c>
      <c r="O106" s="17">
        <v>105</v>
      </c>
      <c r="P106" s="373" t="str">
        <f t="shared" si="1"/>
        <v/>
      </c>
      <c r="Q106" s="392" t="str">
        <f ca="1">VLOOKUP(EpisodeList[[#This Row],[Season Number]], INDIRECT("'" &amp; EpisodeList[[#This Row],[Show]] &amp; " Season Info'!C2:J15"), 8,1)</f>
        <v>2007-08</v>
      </c>
    </row>
    <row r="107" spans="1:17" x14ac:dyDescent="0.2">
      <c r="A107" s="15" t="s">
        <v>228</v>
      </c>
      <c r="B107" s="18" t="s">
        <v>220</v>
      </c>
      <c r="C107" s="18">
        <v>2</v>
      </c>
      <c r="D107" s="18" t="str">
        <f>A107&amp; " S" &amp;C107</f>
        <v>30 Rock S2</v>
      </c>
      <c r="E107" s="18">
        <v>36</v>
      </c>
      <c r="F107" s="18">
        <v>15</v>
      </c>
      <c r="G107" s="410" t="s">
        <v>71</v>
      </c>
      <c r="H107" s="18" t="s">
        <v>17</v>
      </c>
      <c r="I107" s="18" t="s">
        <v>9</v>
      </c>
      <c r="J107" s="439">
        <v>39576</v>
      </c>
      <c r="K107" s="18" t="str">
        <f>CHOOSE(WEEKDAY(J107),"Sun","Mon","Tue","Wed","Thu","Fri","Sat")</f>
        <v>Thu</v>
      </c>
      <c r="L107" s="45">
        <v>0.89583333333333326</v>
      </c>
      <c r="M107" s="18">
        <v>215</v>
      </c>
      <c r="N107" s="18">
        <v>5.6</v>
      </c>
      <c r="O107" s="18">
        <v>106</v>
      </c>
      <c r="P107" s="374" t="str">
        <f t="shared" si="1"/>
        <v/>
      </c>
      <c r="Q107" s="393" t="str">
        <f ca="1">VLOOKUP(EpisodeList[[#This Row],[Season Number]], INDIRECT("'" &amp; EpisodeList[[#This Row],[Show]] &amp; " Season Info'!C2:J15"), 8,1)</f>
        <v>2007-08</v>
      </c>
    </row>
    <row r="108" spans="1:17" x14ac:dyDescent="0.2">
      <c r="A108" s="9" t="s">
        <v>243</v>
      </c>
      <c r="B108" s="17" t="s">
        <v>222</v>
      </c>
      <c r="C108" s="17">
        <v>4</v>
      </c>
      <c r="D108" s="17" t="str">
        <f>A108&amp; " S" &amp;C108</f>
        <v>The Office S4</v>
      </c>
      <c r="E108" s="17">
        <v>71</v>
      </c>
      <c r="F108" s="17">
        <v>18</v>
      </c>
      <c r="G108" s="409" t="s">
        <v>491</v>
      </c>
      <c r="H108" s="17" t="s">
        <v>44</v>
      </c>
      <c r="I108" s="17" t="s">
        <v>327</v>
      </c>
      <c r="J108" s="438">
        <v>39583</v>
      </c>
      <c r="K108" s="17" t="str">
        <f>CHOOSE(WEEKDAY(J108),"Sun","Mon","Tue","Wed","Thu","Fri","Sat")</f>
        <v>Thu</v>
      </c>
      <c r="L108" s="44">
        <v>0.875</v>
      </c>
      <c r="M108" s="17">
        <v>4018</v>
      </c>
      <c r="N108" s="17">
        <v>8.07</v>
      </c>
      <c r="O108" s="17">
        <v>107</v>
      </c>
      <c r="P108" s="373" t="str">
        <f t="shared" si="1"/>
        <v/>
      </c>
      <c r="Q108" s="392" t="str">
        <f ca="1">VLOOKUP(EpisodeList[[#This Row],[Season Number]], INDIRECT("'" &amp; EpisodeList[[#This Row],[Show]] &amp; " Season Info'!C2:J15"), 8,1)</f>
        <v>2007-08</v>
      </c>
    </row>
    <row r="109" spans="1:17" x14ac:dyDescent="0.2">
      <c r="A109" s="9" t="s">
        <v>243</v>
      </c>
      <c r="B109" s="17" t="s">
        <v>222</v>
      </c>
      <c r="C109" s="17">
        <v>4</v>
      </c>
      <c r="D109" s="17" t="str">
        <f>A109&amp; " S" &amp;C109</f>
        <v>The Office S4</v>
      </c>
      <c r="E109" s="17">
        <v>72</v>
      </c>
      <c r="F109" s="17">
        <v>19</v>
      </c>
      <c r="G109" s="409" t="s">
        <v>491</v>
      </c>
      <c r="H109" s="17" t="s">
        <v>44</v>
      </c>
      <c r="I109" s="17" t="s">
        <v>327</v>
      </c>
      <c r="J109" s="438">
        <v>39583</v>
      </c>
      <c r="K109" s="17" t="str">
        <f>CHOOSE(WEEKDAY(J109),"Sun","Mon","Tue","Wed","Thu","Fri","Sat")</f>
        <v>Thu</v>
      </c>
      <c r="L109" s="44">
        <v>0.89583333333333337</v>
      </c>
      <c r="M109" s="17">
        <v>4019</v>
      </c>
      <c r="N109" s="17">
        <v>8.07</v>
      </c>
      <c r="O109" s="17">
        <v>108</v>
      </c>
      <c r="P109" s="373" t="str">
        <f t="shared" si="1"/>
        <v/>
      </c>
      <c r="Q109" s="392" t="str">
        <f ca="1">VLOOKUP(EpisodeList[[#This Row],[Season Number]], INDIRECT("'" &amp; EpisodeList[[#This Row],[Show]] &amp; " Season Info'!C2:J15"), 8,1)</f>
        <v>2007-08</v>
      </c>
    </row>
    <row r="110" spans="1:17" x14ac:dyDescent="0.2">
      <c r="A110" s="9" t="s">
        <v>243</v>
      </c>
      <c r="B110" s="19" t="s">
        <v>223</v>
      </c>
      <c r="C110" s="19">
        <v>5</v>
      </c>
      <c r="D110" s="19" t="str">
        <f>A110&amp; " S" &amp;C110</f>
        <v>The Office S5</v>
      </c>
      <c r="E110" s="19">
        <v>73</v>
      </c>
      <c r="F110" s="19">
        <v>1</v>
      </c>
      <c r="G110" s="411" t="s">
        <v>492</v>
      </c>
      <c r="H110" s="19" t="s">
        <v>44</v>
      </c>
      <c r="I110" s="19" t="s">
        <v>261</v>
      </c>
      <c r="J110" s="440">
        <v>39716</v>
      </c>
      <c r="K110" s="19" t="str">
        <f>CHOOSE(WEEKDAY(J110),"Sun","Mon","Tue","Wed","Thu","Fri","Sat")</f>
        <v>Thu</v>
      </c>
      <c r="L110" s="46">
        <v>0.875</v>
      </c>
      <c r="M110" s="19">
        <v>5001</v>
      </c>
      <c r="N110" s="19">
        <v>9.1999999999999993</v>
      </c>
      <c r="O110" s="19">
        <v>109</v>
      </c>
      <c r="P110" s="375" t="str">
        <f t="shared" si="1"/>
        <v/>
      </c>
      <c r="Q110" s="394" t="str">
        <f ca="1">VLOOKUP(EpisodeList[[#This Row],[Season Number]], INDIRECT("'" &amp; EpisodeList[[#This Row],[Show]] &amp; " Season Info'!C2:J15"), 8,1)</f>
        <v>2008-09</v>
      </c>
    </row>
    <row r="111" spans="1:17" x14ac:dyDescent="0.2">
      <c r="A111" s="9" t="s">
        <v>243</v>
      </c>
      <c r="B111" s="19" t="s">
        <v>223</v>
      </c>
      <c r="C111" s="19">
        <v>5</v>
      </c>
      <c r="D111" s="19" t="str">
        <f>A111&amp; " S" &amp;C111</f>
        <v>The Office S5</v>
      </c>
      <c r="E111" s="19">
        <v>74</v>
      </c>
      <c r="F111" s="19">
        <v>2</v>
      </c>
      <c r="G111" s="411" t="s">
        <v>492</v>
      </c>
      <c r="H111" s="19" t="s">
        <v>44</v>
      </c>
      <c r="I111" s="19" t="s">
        <v>261</v>
      </c>
      <c r="J111" s="440">
        <v>39716</v>
      </c>
      <c r="K111" s="19" t="str">
        <f>CHOOSE(WEEKDAY(J111),"Sun","Mon","Tue","Wed","Thu","Fri","Sat")</f>
        <v>Thu</v>
      </c>
      <c r="L111" s="46">
        <v>0.89583333333333337</v>
      </c>
      <c r="M111" s="19">
        <v>5002</v>
      </c>
      <c r="N111" s="19">
        <v>9.1999999999999993</v>
      </c>
      <c r="O111" s="19">
        <v>110</v>
      </c>
      <c r="P111" s="375" t="str">
        <f t="shared" si="1"/>
        <v/>
      </c>
      <c r="Q111" s="394" t="str">
        <f ca="1">VLOOKUP(EpisodeList[[#This Row],[Season Number]], INDIRECT("'" &amp; EpisodeList[[#This Row],[Show]] &amp; " Season Info'!C2:J15"), 8,1)</f>
        <v>2008-09</v>
      </c>
    </row>
    <row r="112" spans="1:17" x14ac:dyDescent="0.2">
      <c r="A112" s="9" t="s">
        <v>243</v>
      </c>
      <c r="B112" s="19" t="s">
        <v>223</v>
      </c>
      <c r="C112" s="19">
        <v>5</v>
      </c>
      <c r="D112" s="19" t="str">
        <f>A112&amp; " S" &amp;C112</f>
        <v>The Office S5</v>
      </c>
      <c r="E112" s="19">
        <v>75</v>
      </c>
      <c r="F112" s="19">
        <v>3</v>
      </c>
      <c r="G112" s="411" t="s">
        <v>332</v>
      </c>
      <c r="H112" s="19" t="s">
        <v>286</v>
      </c>
      <c r="I112" s="19" t="s">
        <v>333</v>
      </c>
      <c r="J112" s="440">
        <v>39730</v>
      </c>
      <c r="K112" s="19" t="str">
        <f>CHOOSE(WEEKDAY(J112),"Sun","Mon","Tue","Wed","Thu","Fri","Sat")</f>
        <v>Thu</v>
      </c>
      <c r="L112" s="46">
        <v>0.875</v>
      </c>
      <c r="M112" s="19">
        <v>5003</v>
      </c>
      <c r="N112" s="19">
        <v>8.99</v>
      </c>
      <c r="O112" s="19">
        <v>111</v>
      </c>
      <c r="P112" s="375" t="str">
        <f t="shared" si="1"/>
        <v/>
      </c>
      <c r="Q112" s="394" t="str">
        <f ca="1">VLOOKUP(EpisodeList[[#This Row],[Season Number]], INDIRECT("'" &amp; EpisodeList[[#This Row],[Show]] &amp; " Season Info'!C2:J15"), 8,1)</f>
        <v>2008-09</v>
      </c>
    </row>
    <row r="113" spans="1:17" x14ac:dyDescent="0.2">
      <c r="A113" s="9" t="s">
        <v>243</v>
      </c>
      <c r="B113" s="19" t="s">
        <v>223</v>
      </c>
      <c r="C113" s="19">
        <v>5</v>
      </c>
      <c r="D113" s="19" t="str">
        <f>A113&amp; " S" &amp;C113</f>
        <v>The Office S5</v>
      </c>
      <c r="E113" s="19">
        <v>76</v>
      </c>
      <c r="F113" s="19">
        <v>4</v>
      </c>
      <c r="G113" s="411" t="s">
        <v>334</v>
      </c>
      <c r="H113" s="19" t="s">
        <v>239</v>
      </c>
      <c r="I113" s="19" t="s">
        <v>335</v>
      </c>
      <c r="J113" s="440">
        <v>39737</v>
      </c>
      <c r="K113" s="19" t="str">
        <f>CHOOSE(WEEKDAY(J113),"Sun","Mon","Tue","Wed","Thu","Fri","Sat")</f>
        <v>Thu</v>
      </c>
      <c r="L113" s="46">
        <v>0.875</v>
      </c>
      <c r="M113" s="19">
        <v>5004</v>
      </c>
      <c r="N113" s="19">
        <v>8.07</v>
      </c>
      <c r="O113" s="19">
        <v>112</v>
      </c>
      <c r="P113" s="375" t="str">
        <f t="shared" si="1"/>
        <v/>
      </c>
      <c r="Q113" s="394" t="str">
        <f ca="1">VLOOKUP(EpisodeList[[#This Row],[Season Number]], INDIRECT("'" &amp; EpisodeList[[#This Row],[Show]] &amp; " Season Info'!C2:J15"), 8,1)</f>
        <v>2008-09</v>
      </c>
    </row>
    <row r="114" spans="1:17" x14ac:dyDescent="0.2">
      <c r="A114" s="9" t="s">
        <v>243</v>
      </c>
      <c r="B114" s="19" t="s">
        <v>223</v>
      </c>
      <c r="C114" s="19">
        <v>5</v>
      </c>
      <c r="D114" s="19" t="str">
        <f>A114&amp; " S" &amp;C114</f>
        <v>The Office S5</v>
      </c>
      <c r="E114" s="19">
        <v>77</v>
      </c>
      <c r="F114" s="19">
        <v>5</v>
      </c>
      <c r="G114" s="411" t="s">
        <v>336</v>
      </c>
      <c r="H114" s="19" t="s">
        <v>255</v>
      </c>
      <c r="I114" s="19" t="s">
        <v>337</v>
      </c>
      <c r="J114" s="440">
        <v>39744</v>
      </c>
      <c r="K114" s="19" t="str">
        <f>CHOOSE(WEEKDAY(J114),"Sun","Mon","Tue","Wed","Thu","Fri","Sat")</f>
        <v>Thu</v>
      </c>
      <c r="L114" s="46">
        <v>0.875</v>
      </c>
      <c r="M114" s="19">
        <v>5005</v>
      </c>
      <c r="N114" s="19">
        <v>7.74</v>
      </c>
      <c r="O114" s="19">
        <v>113</v>
      </c>
      <c r="P114" s="375" t="str">
        <f t="shared" si="1"/>
        <v/>
      </c>
      <c r="Q114" s="394" t="str">
        <f ca="1">VLOOKUP(EpisodeList[[#This Row],[Season Number]], INDIRECT("'" &amp; EpisodeList[[#This Row],[Show]] &amp; " Season Info'!C2:J15"), 8,1)</f>
        <v>2008-09</v>
      </c>
    </row>
    <row r="115" spans="1:17" x14ac:dyDescent="0.2">
      <c r="A115" s="9" t="s">
        <v>243</v>
      </c>
      <c r="B115" s="19" t="s">
        <v>223</v>
      </c>
      <c r="C115" s="19">
        <v>5</v>
      </c>
      <c r="D115" s="19" t="str">
        <f>A115&amp; " S" &amp;C115</f>
        <v>The Office S5</v>
      </c>
      <c r="E115" s="19">
        <v>78</v>
      </c>
      <c r="F115" s="19">
        <v>6</v>
      </c>
      <c r="G115" s="411" t="s">
        <v>338</v>
      </c>
      <c r="H115" s="19" t="s">
        <v>339</v>
      </c>
      <c r="I115" s="19" t="s">
        <v>340</v>
      </c>
      <c r="J115" s="440">
        <v>39751</v>
      </c>
      <c r="K115" s="19" t="str">
        <f>CHOOSE(WEEKDAY(J115),"Sun","Mon","Tue","Wed","Thu","Fri","Sat")</f>
        <v>Thu</v>
      </c>
      <c r="L115" s="46">
        <v>0.875</v>
      </c>
      <c r="M115" s="19">
        <v>5006</v>
      </c>
      <c r="N115" s="19">
        <v>9.32</v>
      </c>
      <c r="O115" s="19">
        <v>114</v>
      </c>
      <c r="P115" s="375" t="str">
        <f t="shared" si="1"/>
        <v/>
      </c>
      <c r="Q115" s="394" t="str">
        <f ca="1">VLOOKUP(EpisodeList[[#This Row],[Season Number]], INDIRECT("'" &amp; EpisodeList[[#This Row],[Show]] &amp; " Season Info'!C2:J15"), 8,1)</f>
        <v>2008-09</v>
      </c>
    </row>
    <row r="116" spans="1:17" x14ac:dyDescent="0.2">
      <c r="A116" s="15" t="s">
        <v>228</v>
      </c>
      <c r="B116" s="20" t="s">
        <v>221</v>
      </c>
      <c r="C116" s="20">
        <v>3</v>
      </c>
      <c r="D116" s="20" t="str">
        <f>A116&amp; " S" &amp;C116</f>
        <v>30 Rock S3</v>
      </c>
      <c r="E116" s="20">
        <v>37</v>
      </c>
      <c r="F116" s="20">
        <v>1</v>
      </c>
      <c r="G116" s="412" t="s">
        <v>72</v>
      </c>
      <c r="H116" s="20" t="s">
        <v>17</v>
      </c>
      <c r="I116" s="20" t="s">
        <v>9</v>
      </c>
      <c r="J116" s="441">
        <v>39751</v>
      </c>
      <c r="K116" s="20" t="str">
        <f>CHOOSE(WEEKDAY(J116),"Sun","Mon","Tue","Wed","Thu","Fri","Sat")</f>
        <v>Thu</v>
      </c>
      <c r="L116" s="47">
        <v>0.89583333333333326</v>
      </c>
      <c r="M116" s="20">
        <v>301</v>
      </c>
      <c r="N116" s="20">
        <v>8.6999999999999993</v>
      </c>
      <c r="O116" s="20">
        <v>115</v>
      </c>
      <c r="P116" s="376" t="str">
        <f t="shared" si="1"/>
        <v/>
      </c>
      <c r="Q116" s="395" t="str">
        <f ca="1">VLOOKUP(EpisodeList[[#This Row],[Season Number]], INDIRECT("'" &amp; EpisodeList[[#This Row],[Show]] &amp; " Season Info'!C2:J15"), 8,1)</f>
        <v>2008-09</v>
      </c>
    </row>
    <row r="117" spans="1:17" x14ac:dyDescent="0.2">
      <c r="A117" s="9" t="s">
        <v>243</v>
      </c>
      <c r="B117" s="19" t="s">
        <v>223</v>
      </c>
      <c r="C117" s="19">
        <v>5</v>
      </c>
      <c r="D117" s="19" t="str">
        <f>A117&amp; " S" &amp;C117</f>
        <v>The Office S5</v>
      </c>
      <c r="E117" s="19">
        <v>79</v>
      </c>
      <c r="F117" s="19">
        <v>7</v>
      </c>
      <c r="G117" s="411" t="s">
        <v>341</v>
      </c>
      <c r="H117" s="19" t="s">
        <v>342</v>
      </c>
      <c r="I117" s="19" t="s">
        <v>320</v>
      </c>
      <c r="J117" s="440">
        <v>39758</v>
      </c>
      <c r="K117" s="19" t="str">
        <f>CHOOSE(WEEKDAY(J117),"Sun","Mon","Tue","Wed","Thu","Fri","Sat")</f>
        <v>Thu</v>
      </c>
      <c r="L117" s="46">
        <v>0.875</v>
      </c>
      <c r="M117" s="19">
        <v>5007</v>
      </c>
      <c r="N117" s="19">
        <v>8.35</v>
      </c>
      <c r="O117" s="19">
        <v>116</v>
      </c>
      <c r="P117" s="375" t="str">
        <f t="shared" si="1"/>
        <v/>
      </c>
      <c r="Q117" s="394" t="str">
        <f ca="1">VLOOKUP(EpisodeList[[#This Row],[Season Number]], INDIRECT("'" &amp; EpisodeList[[#This Row],[Show]] &amp; " Season Info'!C2:J15"), 8,1)</f>
        <v>2008-09</v>
      </c>
    </row>
    <row r="118" spans="1:17" x14ac:dyDescent="0.2">
      <c r="A118" s="15" t="s">
        <v>228</v>
      </c>
      <c r="B118" s="20" t="s">
        <v>221</v>
      </c>
      <c r="C118" s="20">
        <v>3</v>
      </c>
      <c r="D118" s="20" t="str">
        <f>A118&amp; " S" &amp;C118</f>
        <v>30 Rock S3</v>
      </c>
      <c r="E118" s="20">
        <v>38</v>
      </c>
      <c r="F118" s="20">
        <v>2</v>
      </c>
      <c r="G118" s="412" t="s">
        <v>73</v>
      </c>
      <c r="H118" s="20" t="s">
        <v>17</v>
      </c>
      <c r="I118" s="20" t="s">
        <v>15</v>
      </c>
      <c r="J118" s="441">
        <v>39758</v>
      </c>
      <c r="K118" s="20" t="str">
        <f>CHOOSE(WEEKDAY(J118),"Sun","Mon","Tue","Wed","Thu","Fri","Sat")</f>
        <v>Thu</v>
      </c>
      <c r="L118" s="47">
        <v>0.89583333333333326</v>
      </c>
      <c r="M118" s="20">
        <v>302</v>
      </c>
      <c r="N118" s="20">
        <v>8</v>
      </c>
      <c r="O118" s="20">
        <v>117</v>
      </c>
      <c r="P118" s="376" t="str">
        <f t="shared" si="1"/>
        <v/>
      </c>
      <c r="Q118" s="395" t="str">
        <f ca="1">VLOOKUP(EpisodeList[[#This Row],[Season Number]], INDIRECT("'" &amp; EpisodeList[[#This Row],[Show]] &amp; " Season Info'!C2:J15"), 8,1)</f>
        <v>2008-09</v>
      </c>
    </row>
    <row r="119" spans="1:17" x14ac:dyDescent="0.2">
      <c r="A119" s="9" t="s">
        <v>243</v>
      </c>
      <c r="B119" s="19" t="s">
        <v>223</v>
      </c>
      <c r="C119" s="19">
        <v>5</v>
      </c>
      <c r="D119" s="19" t="str">
        <f>A119&amp; " S" &amp;C119</f>
        <v>The Office S5</v>
      </c>
      <c r="E119" s="19">
        <v>80</v>
      </c>
      <c r="F119" s="19">
        <v>8</v>
      </c>
      <c r="G119" s="411" t="s">
        <v>343</v>
      </c>
      <c r="H119" s="19" t="s">
        <v>279</v>
      </c>
      <c r="I119" s="19" t="s">
        <v>284</v>
      </c>
      <c r="J119" s="440">
        <v>39765</v>
      </c>
      <c r="K119" s="19" t="str">
        <f>CHOOSE(WEEKDAY(J119),"Sun","Mon","Tue","Wed","Thu","Fri","Sat")</f>
        <v>Thu</v>
      </c>
      <c r="L119" s="46">
        <v>0.875</v>
      </c>
      <c r="M119" s="19">
        <v>5009</v>
      </c>
      <c r="N119" s="19">
        <v>8.18</v>
      </c>
      <c r="O119" s="19">
        <v>118</v>
      </c>
      <c r="P119" s="375" t="str">
        <f t="shared" si="1"/>
        <v/>
      </c>
      <c r="Q119" s="394" t="str">
        <f ca="1">VLOOKUP(EpisodeList[[#This Row],[Season Number]], INDIRECT("'" &amp; EpisodeList[[#This Row],[Show]] &amp; " Season Info'!C2:J15"), 8,1)</f>
        <v>2008-09</v>
      </c>
    </row>
    <row r="120" spans="1:17" x14ac:dyDescent="0.2">
      <c r="A120" s="15" t="s">
        <v>228</v>
      </c>
      <c r="B120" s="20" t="s">
        <v>221</v>
      </c>
      <c r="C120" s="20">
        <v>3</v>
      </c>
      <c r="D120" s="20" t="str">
        <f>A120&amp; " S" &amp;C120</f>
        <v>30 Rock S3</v>
      </c>
      <c r="E120" s="20">
        <v>39</v>
      </c>
      <c r="F120" s="20">
        <v>3</v>
      </c>
      <c r="G120" s="412" t="s">
        <v>74</v>
      </c>
      <c r="H120" s="20" t="s">
        <v>14</v>
      </c>
      <c r="I120" s="20" t="s">
        <v>20</v>
      </c>
      <c r="J120" s="441">
        <v>39765</v>
      </c>
      <c r="K120" s="20" t="str">
        <f>CHOOSE(WEEKDAY(J120),"Sun","Mon","Tue","Wed","Thu","Fri","Sat")</f>
        <v>Thu</v>
      </c>
      <c r="L120" s="47">
        <v>0.89583333333333326</v>
      </c>
      <c r="M120" s="20">
        <v>303</v>
      </c>
      <c r="N120" s="20">
        <v>7.5</v>
      </c>
      <c r="O120" s="20">
        <v>119</v>
      </c>
      <c r="P120" s="376" t="str">
        <f t="shared" si="1"/>
        <v/>
      </c>
      <c r="Q120" s="395" t="str">
        <f ca="1">VLOOKUP(EpisodeList[[#This Row],[Season Number]], INDIRECT("'" &amp; EpisodeList[[#This Row],[Show]] &amp; " Season Info'!C2:J15"), 8,1)</f>
        <v>2008-09</v>
      </c>
    </row>
    <row r="121" spans="1:17" x14ac:dyDescent="0.2">
      <c r="A121" s="9" t="s">
        <v>243</v>
      </c>
      <c r="B121" s="19" t="s">
        <v>223</v>
      </c>
      <c r="C121" s="19">
        <v>5</v>
      </c>
      <c r="D121" s="19" t="str">
        <f>A121&amp; " S" &amp;C121</f>
        <v>The Office S5</v>
      </c>
      <c r="E121" s="19">
        <v>81</v>
      </c>
      <c r="F121" s="19">
        <v>9</v>
      </c>
      <c r="G121" s="411" t="s">
        <v>344</v>
      </c>
      <c r="H121" s="19" t="s">
        <v>316</v>
      </c>
      <c r="I121" s="19" t="s">
        <v>242</v>
      </c>
      <c r="J121" s="440">
        <v>39772</v>
      </c>
      <c r="K121" s="19" t="str">
        <f>CHOOSE(WEEKDAY(J121),"Sun","Mon","Tue","Wed","Thu","Fri","Sat")</f>
        <v>Thu</v>
      </c>
      <c r="L121" s="46">
        <v>0.875</v>
      </c>
      <c r="M121" s="19">
        <v>5008</v>
      </c>
      <c r="N121" s="19">
        <v>8.4</v>
      </c>
      <c r="O121" s="19">
        <v>120</v>
      </c>
      <c r="P121" s="375" t="str">
        <f t="shared" si="1"/>
        <v/>
      </c>
      <c r="Q121" s="394" t="str">
        <f ca="1">VLOOKUP(EpisodeList[[#This Row],[Season Number]], INDIRECT("'" &amp; EpisodeList[[#This Row],[Show]] &amp; " Season Info'!C2:J15"), 8,1)</f>
        <v>2008-09</v>
      </c>
    </row>
    <row r="122" spans="1:17" x14ac:dyDescent="0.2">
      <c r="A122" s="15" t="s">
        <v>228</v>
      </c>
      <c r="B122" s="20" t="s">
        <v>221</v>
      </c>
      <c r="C122" s="20">
        <v>3</v>
      </c>
      <c r="D122" s="20" t="str">
        <f>A122&amp; " S" &amp;C122</f>
        <v>30 Rock S3</v>
      </c>
      <c r="E122" s="20">
        <v>40</v>
      </c>
      <c r="F122" s="20">
        <v>4</v>
      </c>
      <c r="G122" s="412" t="s">
        <v>75</v>
      </c>
      <c r="H122" s="20" t="s">
        <v>14</v>
      </c>
      <c r="I122" s="20" t="s">
        <v>12</v>
      </c>
      <c r="J122" s="441">
        <v>39772</v>
      </c>
      <c r="K122" s="20" t="str">
        <f>CHOOSE(WEEKDAY(J122),"Sun","Mon","Tue","Wed","Thu","Fri","Sat")</f>
        <v>Thu</v>
      </c>
      <c r="L122" s="47">
        <v>0.89583333333333326</v>
      </c>
      <c r="M122" s="20">
        <v>304</v>
      </c>
      <c r="N122" s="20">
        <v>7.3</v>
      </c>
      <c r="O122" s="20">
        <v>121</v>
      </c>
      <c r="P122" s="376" t="str">
        <f t="shared" si="1"/>
        <v/>
      </c>
      <c r="Q122" s="395" t="str">
        <f ca="1">VLOOKUP(EpisodeList[[#This Row],[Season Number]], INDIRECT("'" &amp; EpisodeList[[#This Row],[Show]] &amp; " Season Info'!C2:J15"), 8,1)</f>
        <v>2008-09</v>
      </c>
    </row>
    <row r="123" spans="1:17" x14ac:dyDescent="0.2">
      <c r="A123" s="9" t="s">
        <v>243</v>
      </c>
      <c r="B123" s="19" t="s">
        <v>223</v>
      </c>
      <c r="C123" s="19">
        <v>5</v>
      </c>
      <c r="D123" s="19" t="str">
        <f>A123&amp; " S" &amp;C123</f>
        <v>The Office S5</v>
      </c>
      <c r="E123" s="19">
        <v>82</v>
      </c>
      <c r="F123" s="19">
        <v>10</v>
      </c>
      <c r="G123" s="411" t="s">
        <v>345</v>
      </c>
      <c r="H123" s="19" t="s">
        <v>44</v>
      </c>
      <c r="I123" s="19" t="s">
        <v>250</v>
      </c>
      <c r="J123" s="440">
        <v>39786</v>
      </c>
      <c r="K123" s="19" t="str">
        <f>CHOOSE(WEEKDAY(J123),"Sun","Mon","Tue","Wed","Thu","Fri","Sat")</f>
        <v>Thu</v>
      </c>
      <c r="L123" s="46">
        <v>0.875</v>
      </c>
      <c r="M123" s="19">
        <v>5013</v>
      </c>
      <c r="N123" s="19">
        <v>8.33</v>
      </c>
      <c r="O123" s="19">
        <v>122</v>
      </c>
      <c r="P123" s="375" t="str">
        <f t="shared" si="1"/>
        <v/>
      </c>
      <c r="Q123" s="394" t="str">
        <f ca="1">VLOOKUP(EpisodeList[[#This Row],[Season Number]], INDIRECT("'" &amp; EpisodeList[[#This Row],[Show]] &amp; " Season Info'!C2:J15"), 8,1)</f>
        <v>2008-09</v>
      </c>
    </row>
    <row r="124" spans="1:17" x14ac:dyDescent="0.2">
      <c r="A124" s="15" t="s">
        <v>228</v>
      </c>
      <c r="B124" s="20" t="s">
        <v>221</v>
      </c>
      <c r="C124" s="20">
        <v>3</v>
      </c>
      <c r="D124" s="20" t="str">
        <f>A124&amp; " S" &amp;C124</f>
        <v>30 Rock S3</v>
      </c>
      <c r="E124" s="20">
        <v>41</v>
      </c>
      <c r="F124" s="20">
        <v>5</v>
      </c>
      <c r="G124" s="412" t="s">
        <v>76</v>
      </c>
      <c r="H124" s="20" t="s">
        <v>28</v>
      </c>
      <c r="I124" s="20" t="s">
        <v>29</v>
      </c>
      <c r="J124" s="441">
        <v>39786</v>
      </c>
      <c r="K124" s="20" t="str">
        <f>CHOOSE(WEEKDAY(J124),"Sun","Mon","Tue","Wed","Thu","Fri","Sat")</f>
        <v>Thu</v>
      </c>
      <c r="L124" s="47">
        <v>0.89583333333333326</v>
      </c>
      <c r="M124" s="20">
        <v>305</v>
      </c>
      <c r="N124" s="20">
        <v>7.1</v>
      </c>
      <c r="O124" s="20">
        <v>123</v>
      </c>
      <c r="P124" s="376" t="str">
        <f t="shared" si="1"/>
        <v/>
      </c>
      <c r="Q124" s="395" t="str">
        <f ca="1">VLOOKUP(EpisodeList[[#This Row],[Season Number]], INDIRECT("'" &amp; EpisodeList[[#This Row],[Show]] &amp; " Season Info'!C2:J15"), 8,1)</f>
        <v>2008-09</v>
      </c>
    </row>
    <row r="125" spans="1:17" x14ac:dyDescent="0.2">
      <c r="A125" s="9" t="s">
        <v>243</v>
      </c>
      <c r="B125" s="19" t="s">
        <v>223</v>
      </c>
      <c r="C125" s="19">
        <v>5</v>
      </c>
      <c r="D125" s="19" t="str">
        <f>A125&amp; " S" &amp;C125</f>
        <v>The Office S5</v>
      </c>
      <c r="E125" s="19">
        <v>83</v>
      </c>
      <c r="F125" s="19">
        <v>11</v>
      </c>
      <c r="G125" s="411" t="s">
        <v>346</v>
      </c>
      <c r="H125" s="19" t="s">
        <v>44</v>
      </c>
      <c r="I125" s="19" t="s">
        <v>291</v>
      </c>
      <c r="J125" s="440">
        <v>39793</v>
      </c>
      <c r="K125" s="19" t="str">
        <f>CHOOSE(WEEKDAY(J125),"Sun","Mon","Tue","Wed","Thu","Fri","Sat")</f>
        <v>Thu</v>
      </c>
      <c r="L125" s="46">
        <v>0.875</v>
      </c>
      <c r="M125" s="19">
        <v>5010</v>
      </c>
      <c r="N125" s="19">
        <v>8.7899999999999991</v>
      </c>
      <c r="O125" s="19">
        <v>124</v>
      </c>
      <c r="P125" s="375" t="str">
        <f t="shared" si="1"/>
        <v/>
      </c>
      <c r="Q125" s="394" t="str">
        <f ca="1">VLOOKUP(EpisodeList[[#This Row],[Season Number]], INDIRECT("'" &amp; EpisodeList[[#This Row],[Show]] &amp; " Season Info'!C2:J15"), 8,1)</f>
        <v>2008-09</v>
      </c>
    </row>
    <row r="126" spans="1:17" x14ac:dyDescent="0.2">
      <c r="A126" s="15" t="s">
        <v>228</v>
      </c>
      <c r="B126" s="20" t="s">
        <v>221</v>
      </c>
      <c r="C126" s="20">
        <v>3</v>
      </c>
      <c r="D126" s="20" t="str">
        <f>A126&amp; " S" &amp;C126</f>
        <v>30 Rock S3</v>
      </c>
      <c r="E126" s="20">
        <v>42</v>
      </c>
      <c r="F126" s="20">
        <v>6</v>
      </c>
      <c r="G126" s="412" t="s">
        <v>77</v>
      </c>
      <c r="H126" s="20" t="s">
        <v>17</v>
      </c>
      <c r="I126" s="20" t="s">
        <v>33</v>
      </c>
      <c r="J126" s="441">
        <v>39793</v>
      </c>
      <c r="K126" s="20" t="str">
        <f>CHOOSE(WEEKDAY(J126),"Sun","Mon","Tue","Wed","Thu","Fri","Sat")</f>
        <v>Thu</v>
      </c>
      <c r="L126" s="47">
        <v>0.89583333333333326</v>
      </c>
      <c r="M126" s="20">
        <v>306</v>
      </c>
      <c r="N126" s="20">
        <v>8.9</v>
      </c>
      <c r="O126" s="20">
        <v>125</v>
      </c>
      <c r="P126" s="376" t="str">
        <f t="shared" si="1"/>
        <v/>
      </c>
      <c r="Q126" s="395" t="str">
        <f ca="1">VLOOKUP(EpisodeList[[#This Row],[Season Number]], INDIRECT("'" &amp; EpisodeList[[#This Row],[Show]] &amp; " Season Info'!C2:J15"), 8,1)</f>
        <v>2008-09</v>
      </c>
    </row>
    <row r="127" spans="1:17" x14ac:dyDescent="0.2">
      <c r="A127" s="15" t="s">
        <v>228</v>
      </c>
      <c r="B127" s="20" t="s">
        <v>221</v>
      </c>
      <c r="C127" s="20">
        <v>3</v>
      </c>
      <c r="D127" s="20" t="str">
        <f>A127&amp; " S" &amp;C127</f>
        <v>30 Rock S3</v>
      </c>
      <c r="E127" s="20">
        <v>43</v>
      </c>
      <c r="F127" s="20">
        <v>7</v>
      </c>
      <c r="G127" s="412" t="s">
        <v>78</v>
      </c>
      <c r="H127" s="20" t="s">
        <v>28</v>
      </c>
      <c r="I127" s="20" t="s">
        <v>57</v>
      </c>
      <c r="J127" s="441">
        <v>39821</v>
      </c>
      <c r="K127" s="20" t="str">
        <f>CHOOSE(WEEKDAY(J127),"Sun","Mon","Tue","Wed","Thu","Fri","Sat")</f>
        <v>Thu</v>
      </c>
      <c r="L127" s="47">
        <v>0.89583333333333326</v>
      </c>
      <c r="M127" s="20">
        <v>307</v>
      </c>
      <c r="N127" s="20">
        <v>5.4</v>
      </c>
      <c r="O127" s="20">
        <v>126</v>
      </c>
      <c r="P127" s="376" t="str">
        <f t="shared" si="1"/>
        <v/>
      </c>
      <c r="Q127" s="395" t="str">
        <f ca="1">VLOOKUP(EpisodeList[[#This Row],[Season Number]], INDIRECT("'" &amp; EpisodeList[[#This Row],[Show]] &amp; " Season Info'!C2:J15"), 8,1)</f>
        <v>2008-09</v>
      </c>
    </row>
    <row r="128" spans="1:17" x14ac:dyDescent="0.2">
      <c r="A128" s="9" t="s">
        <v>243</v>
      </c>
      <c r="B128" s="19" t="s">
        <v>223</v>
      </c>
      <c r="C128" s="19">
        <v>5</v>
      </c>
      <c r="D128" s="19" t="str">
        <f>A128&amp; " S" &amp;C128</f>
        <v>The Office S5</v>
      </c>
      <c r="E128" s="19">
        <v>84</v>
      </c>
      <c r="F128" s="19">
        <v>12</v>
      </c>
      <c r="G128" s="411" t="s">
        <v>347</v>
      </c>
      <c r="H128" s="19" t="s">
        <v>348</v>
      </c>
      <c r="I128" s="19" t="s">
        <v>255</v>
      </c>
      <c r="J128" s="440">
        <v>39828</v>
      </c>
      <c r="K128" s="19" t="str">
        <f>CHOOSE(WEEKDAY(J128),"Sun","Mon","Tue","Wed","Thu","Fri","Sat")</f>
        <v>Thu</v>
      </c>
      <c r="L128" s="46">
        <v>0.875</v>
      </c>
      <c r="M128" s="19">
        <v>5011</v>
      </c>
      <c r="N128" s="19">
        <v>8.5</v>
      </c>
      <c r="O128" s="19">
        <v>127</v>
      </c>
      <c r="P128" s="375" t="str">
        <f t="shared" si="1"/>
        <v/>
      </c>
      <c r="Q128" s="394" t="str">
        <f ca="1">VLOOKUP(EpisodeList[[#This Row],[Season Number]], INDIRECT("'" &amp; EpisodeList[[#This Row],[Show]] &amp; " Season Info'!C2:J15"), 8,1)</f>
        <v>2008-09</v>
      </c>
    </row>
    <row r="129" spans="1:17" x14ac:dyDescent="0.2">
      <c r="A129" s="15" t="s">
        <v>228</v>
      </c>
      <c r="B129" s="20" t="s">
        <v>221</v>
      </c>
      <c r="C129" s="20">
        <v>3</v>
      </c>
      <c r="D129" s="20" t="str">
        <f>A129&amp; " S" &amp;C129</f>
        <v>30 Rock S3</v>
      </c>
      <c r="E129" s="20">
        <v>44</v>
      </c>
      <c r="F129" s="20">
        <v>8</v>
      </c>
      <c r="G129" s="412" t="s">
        <v>79</v>
      </c>
      <c r="H129" s="20" t="s">
        <v>17</v>
      </c>
      <c r="I129" s="20" t="s">
        <v>52</v>
      </c>
      <c r="J129" s="441">
        <v>39828</v>
      </c>
      <c r="K129" s="20" t="str">
        <f>CHOOSE(WEEKDAY(J129),"Sun","Mon","Tue","Wed","Thu","Fri","Sat")</f>
        <v>Thu</v>
      </c>
      <c r="L129" s="47">
        <v>0.89583333333333326</v>
      </c>
      <c r="M129" s="20">
        <v>308</v>
      </c>
      <c r="N129" s="20">
        <v>6.6</v>
      </c>
      <c r="O129" s="20">
        <v>128</v>
      </c>
      <c r="P129" s="376" t="str">
        <f t="shared" si="1"/>
        <v/>
      </c>
      <c r="Q129" s="395" t="str">
        <f ca="1">VLOOKUP(EpisodeList[[#This Row],[Season Number]], INDIRECT("'" &amp; EpisodeList[[#This Row],[Show]] &amp; " Season Info'!C2:J15"), 8,1)</f>
        <v>2008-09</v>
      </c>
    </row>
    <row r="130" spans="1:17" x14ac:dyDescent="0.2">
      <c r="A130" s="9" t="s">
        <v>243</v>
      </c>
      <c r="B130" s="19" t="s">
        <v>223</v>
      </c>
      <c r="C130" s="19">
        <v>5</v>
      </c>
      <c r="D130" s="19" t="str">
        <f>A130&amp; " S" &amp;C130</f>
        <v>The Office S5</v>
      </c>
      <c r="E130" s="19">
        <v>85</v>
      </c>
      <c r="F130" s="19">
        <v>13</v>
      </c>
      <c r="G130" s="411" t="s">
        <v>349</v>
      </c>
      <c r="H130" s="19" t="s">
        <v>350</v>
      </c>
      <c r="I130" s="19" t="s">
        <v>232</v>
      </c>
      <c r="J130" s="440">
        <v>39835</v>
      </c>
      <c r="K130" s="19" t="str">
        <f>CHOOSE(WEEKDAY(J130),"Sun","Mon","Tue","Wed","Thu","Fri","Sat")</f>
        <v>Thu</v>
      </c>
      <c r="L130" s="46">
        <v>0.875</v>
      </c>
      <c r="M130" s="19">
        <v>5012</v>
      </c>
      <c r="N130" s="19">
        <v>8.74</v>
      </c>
      <c r="O130" s="19">
        <v>129</v>
      </c>
      <c r="P130" s="375" t="str">
        <f t="shared" ref="P130:P193" si="2">IF(AND(
    COUNTIFS(A:A, A130, J:J, J130) = 1,
    COUNTIFS(A:A, "30 Rock", J:J, J130) = 1,
    COUNTIFS(A:A, "The Office", J:J, J130) = 1,
    COUNTIFS(A:A, "Community", J:J, J130) = 1,
    COUNTIFS(A:A, "Parks and Rec", J:J, J130) = 1
), "Yes", "")</f>
        <v/>
      </c>
      <c r="Q130" s="394" t="str">
        <f ca="1">VLOOKUP(EpisodeList[[#This Row],[Season Number]], INDIRECT("'" &amp; EpisodeList[[#This Row],[Show]] &amp; " Season Info'!C2:J15"), 8,1)</f>
        <v>2008-09</v>
      </c>
    </row>
    <row r="131" spans="1:17" x14ac:dyDescent="0.2">
      <c r="A131" s="15" t="s">
        <v>228</v>
      </c>
      <c r="B131" s="20" t="s">
        <v>221</v>
      </c>
      <c r="C131" s="20">
        <v>3</v>
      </c>
      <c r="D131" s="20" t="str">
        <f>A131&amp; " S" &amp;C131</f>
        <v>30 Rock S3</v>
      </c>
      <c r="E131" s="20">
        <v>45</v>
      </c>
      <c r="F131" s="20">
        <v>9</v>
      </c>
      <c r="G131" s="412" t="s">
        <v>80</v>
      </c>
      <c r="H131" s="20" t="s">
        <v>81</v>
      </c>
      <c r="I131" s="20" t="s">
        <v>59</v>
      </c>
      <c r="J131" s="441">
        <v>39835</v>
      </c>
      <c r="K131" s="20" t="str">
        <f>CHOOSE(WEEKDAY(J131),"Sun","Mon","Tue","Wed","Thu","Fri","Sat")</f>
        <v>Thu</v>
      </c>
      <c r="L131" s="47">
        <v>0.89583333333333326</v>
      </c>
      <c r="M131" s="20">
        <v>309</v>
      </c>
      <c r="N131" s="20">
        <v>6.4</v>
      </c>
      <c r="O131" s="20">
        <v>130</v>
      </c>
      <c r="P131" s="376" t="str">
        <f t="shared" si="2"/>
        <v/>
      </c>
      <c r="Q131" s="395" t="str">
        <f ca="1">VLOOKUP(EpisodeList[[#This Row],[Season Number]], INDIRECT("'" &amp; EpisodeList[[#This Row],[Show]] &amp; " Season Info'!C2:J15"), 8,1)</f>
        <v>2008-09</v>
      </c>
    </row>
    <row r="132" spans="1:17" x14ac:dyDescent="0.2">
      <c r="A132" s="9" t="s">
        <v>243</v>
      </c>
      <c r="B132" s="19" t="s">
        <v>223</v>
      </c>
      <c r="C132" s="19">
        <v>5</v>
      </c>
      <c r="D132" s="19" t="str">
        <f>A132&amp; " S" &amp;C132</f>
        <v>The Office S5</v>
      </c>
      <c r="E132" s="19">
        <v>86</v>
      </c>
      <c r="F132" s="19">
        <v>14</v>
      </c>
      <c r="G132" s="411" t="s">
        <v>493</v>
      </c>
      <c r="H132" s="19" t="s">
        <v>286</v>
      </c>
      <c r="I132" s="19" t="s">
        <v>234</v>
      </c>
      <c r="J132" s="440">
        <v>39845</v>
      </c>
      <c r="K132" s="19" t="str">
        <f>CHOOSE(WEEKDAY(J132),"Sun","Mon","Tue","Wed","Thu","Fri","Sat")</f>
        <v>Sun</v>
      </c>
      <c r="L132" s="46" t="s">
        <v>959</v>
      </c>
      <c r="M132" s="19">
        <v>5016</v>
      </c>
      <c r="N132" s="19">
        <v>22.91</v>
      </c>
      <c r="O132" s="19">
        <v>131</v>
      </c>
      <c r="P132" s="375" t="str">
        <f t="shared" si="2"/>
        <v/>
      </c>
      <c r="Q132" s="394" t="str">
        <f ca="1">VLOOKUP(EpisodeList[[#This Row],[Season Number]], INDIRECT("'" &amp; EpisodeList[[#This Row],[Show]] &amp; " Season Info'!C2:J15"), 8,1)</f>
        <v>2008-09</v>
      </c>
    </row>
    <row r="133" spans="1:17" x14ac:dyDescent="0.2">
      <c r="A133" s="9" t="s">
        <v>243</v>
      </c>
      <c r="B133" s="19" t="s">
        <v>223</v>
      </c>
      <c r="C133" s="19">
        <v>5</v>
      </c>
      <c r="D133" s="19" t="str">
        <f>A133&amp; " S" &amp;C133</f>
        <v>The Office S5</v>
      </c>
      <c r="E133" s="19">
        <v>87</v>
      </c>
      <c r="F133" s="19">
        <v>15</v>
      </c>
      <c r="G133" s="411" t="s">
        <v>493</v>
      </c>
      <c r="H133" s="19" t="s">
        <v>286</v>
      </c>
      <c r="I133" s="19" t="s">
        <v>234</v>
      </c>
      <c r="J133" s="440">
        <v>39845</v>
      </c>
      <c r="K133" s="19" t="str">
        <f>CHOOSE(WEEKDAY(J133),"Sun","Mon","Tue","Wed","Thu","Fri","Sat")</f>
        <v>Sun</v>
      </c>
      <c r="L133" s="46" t="s">
        <v>959</v>
      </c>
      <c r="M133" s="19">
        <v>5017</v>
      </c>
      <c r="N133" s="19">
        <v>22.91</v>
      </c>
      <c r="O133" s="19">
        <v>132</v>
      </c>
      <c r="P133" s="375" t="str">
        <f t="shared" si="2"/>
        <v/>
      </c>
      <c r="Q133" s="394" t="str">
        <f ca="1">VLOOKUP(EpisodeList[[#This Row],[Season Number]], INDIRECT("'" &amp; EpisodeList[[#This Row],[Show]] &amp; " Season Info'!C2:J15"), 8,1)</f>
        <v>2008-09</v>
      </c>
    </row>
    <row r="134" spans="1:17" x14ac:dyDescent="0.2">
      <c r="A134" s="9" t="s">
        <v>243</v>
      </c>
      <c r="B134" s="19" t="s">
        <v>223</v>
      </c>
      <c r="C134" s="19">
        <v>5</v>
      </c>
      <c r="D134" s="19" t="str">
        <f>A134&amp; " S" &amp;C134</f>
        <v>The Office S5</v>
      </c>
      <c r="E134" s="19">
        <v>88</v>
      </c>
      <c r="F134" s="19">
        <v>16</v>
      </c>
      <c r="G134" s="411" t="s">
        <v>351</v>
      </c>
      <c r="H134" s="19" t="s">
        <v>229</v>
      </c>
      <c r="I134" s="19" t="s">
        <v>242</v>
      </c>
      <c r="J134" s="440">
        <v>39849</v>
      </c>
      <c r="K134" s="19" t="str">
        <f>CHOOSE(WEEKDAY(J134),"Sun","Mon","Tue","Wed","Thu","Fri","Sat")</f>
        <v>Thu</v>
      </c>
      <c r="L134" s="46">
        <v>0.875</v>
      </c>
      <c r="M134" s="19">
        <v>5014</v>
      </c>
      <c r="N134" s="19">
        <v>8.39</v>
      </c>
      <c r="O134" s="19">
        <v>133</v>
      </c>
      <c r="P134" s="375" t="str">
        <f t="shared" si="2"/>
        <v/>
      </c>
      <c r="Q134" s="394" t="str">
        <f ca="1">VLOOKUP(EpisodeList[[#This Row],[Season Number]], INDIRECT("'" &amp; EpisodeList[[#This Row],[Show]] &amp; " Season Info'!C2:J15"), 8,1)</f>
        <v>2008-09</v>
      </c>
    </row>
    <row r="135" spans="1:17" x14ac:dyDescent="0.2">
      <c r="A135" s="15" t="s">
        <v>228</v>
      </c>
      <c r="B135" s="20" t="s">
        <v>221</v>
      </c>
      <c r="C135" s="20">
        <v>3</v>
      </c>
      <c r="D135" s="20" t="str">
        <f>A135&amp; " S" &amp;C135</f>
        <v>30 Rock S3</v>
      </c>
      <c r="E135" s="20">
        <v>46</v>
      </c>
      <c r="F135" s="20">
        <v>10</v>
      </c>
      <c r="G135" s="412" t="s">
        <v>82</v>
      </c>
      <c r="H135" s="20" t="s">
        <v>83</v>
      </c>
      <c r="I135" s="20" t="s">
        <v>15</v>
      </c>
      <c r="J135" s="441">
        <v>39849</v>
      </c>
      <c r="K135" s="20" t="str">
        <f>CHOOSE(WEEKDAY(J135),"Sun","Mon","Tue","Wed","Thu","Fri","Sat")</f>
        <v>Thu</v>
      </c>
      <c r="L135" s="47">
        <v>0.89583333333333326</v>
      </c>
      <c r="M135" s="20">
        <v>310</v>
      </c>
      <c r="N135" s="20">
        <v>6.4</v>
      </c>
      <c r="O135" s="20">
        <v>134</v>
      </c>
      <c r="P135" s="376" t="str">
        <f t="shared" si="2"/>
        <v/>
      </c>
      <c r="Q135" s="395" t="str">
        <f ca="1">VLOOKUP(EpisodeList[[#This Row],[Season Number]], INDIRECT("'" &amp; EpisodeList[[#This Row],[Show]] &amp; " Season Info'!C2:J15"), 8,1)</f>
        <v>2008-09</v>
      </c>
    </row>
    <row r="136" spans="1:17" x14ac:dyDescent="0.2">
      <c r="A136" s="9" t="s">
        <v>243</v>
      </c>
      <c r="B136" s="19" t="s">
        <v>223</v>
      </c>
      <c r="C136" s="19">
        <v>5</v>
      </c>
      <c r="D136" s="19" t="str">
        <f>A136&amp; " S" &amp;C136</f>
        <v>The Office S5</v>
      </c>
      <c r="E136" s="19">
        <v>89</v>
      </c>
      <c r="F136" s="19">
        <v>17</v>
      </c>
      <c r="G136" s="411" t="s">
        <v>352</v>
      </c>
      <c r="H136" s="19" t="s">
        <v>229</v>
      </c>
      <c r="I136" s="19" t="s">
        <v>242</v>
      </c>
      <c r="J136" s="440">
        <v>39856</v>
      </c>
      <c r="K136" s="19" t="str">
        <f>CHOOSE(WEEKDAY(J136),"Sun","Mon","Tue","Wed","Thu","Fri","Sat")</f>
        <v>Thu</v>
      </c>
      <c r="L136" s="46">
        <v>0.875</v>
      </c>
      <c r="M136" s="19">
        <v>5015</v>
      </c>
      <c r="N136" s="19">
        <v>8.89</v>
      </c>
      <c r="O136" s="19">
        <v>135</v>
      </c>
      <c r="P136" s="375" t="str">
        <f t="shared" si="2"/>
        <v/>
      </c>
      <c r="Q136" s="394" t="str">
        <f ca="1">VLOOKUP(EpisodeList[[#This Row],[Season Number]], INDIRECT("'" &amp; EpisodeList[[#This Row],[Show]] &amp; " Season Info'!C2:J15"), 8,1)</f>
        <v>2008-09</v>
      </c>
    </row>
    <row r="137" spans="1:17" x14ac:dyDescent="0.2">
      <c r="A137" s="15" t="s">
        <v>228</v>
      </c>
      <c r="B137" s="20" t="s">
        <v>221</v>
      </c>
      <c r="C137" s="20">
        <v>3</v>
      </c>
      <c r="D137" s="20" t="str">
        <f>A137&amp; " S" &amp;C137</f>
        <v>30 Rock S3</v>
      </c>
      <c r="E137" s="20">
        <v>47</v>
      </c>
      <c r="F137" s="20">
        <v>11</v>
      </c>
      <c r="G137" s="412" t="s">
        <v>84</v>
      </c>
      <c r="H137" s="20" t="s">
        <v>17</v>
      </c>
      <c r="I137" s="20" t="s">
        <v>85</v>
      </c>
      <c r="J137" s="441">
        <v>39856</v>
      </c>
      <c r="K137" s="20" t="str">
        <f>CHOOSE(WEEKDAY(J137),"Sun","Mon","Tue","Wed","Thu","Fri","Sat")</f>
        <v>Thu</v>
      </c>
      <c r="L137" s="47">
        <v>0.89583333333333326</v>
      </c>
      <c r="M137" s="20">
        <v>311</v>
      </c>
      <c r="N137" s="20">
        <v>7.6</v>
      </c>
      <c r="O137" s="20">
        <v>136</v>
      </c>
      <c r="P137" s="376" t="str">
        <f t="shared" si="2"/>
        <v/>
      </c>
      <c r="Q137" s="395" t="str">
        <f ca="1">VLOOKUP(EpisodeList[[#This Row],[Season Number]], INDIRECT("'" &amp; EpisodeList[[#This Row],[Show]] &amp; " Season Info'!C2:J15"), 8,1)</f>
        <v>2008-09</v>
      </c>
    </row>
    <row r="138" spans="1:17" x14ac:dyDescent="0.2">
      <c r="A138" s="15" t="s">
        <v>228</v>
      </c>
      <c r="B138" s="20" t="s">
        <v>221</v>
      </c>
      <c r="C138" s="20">
        <v>3</v>
      </c>
      <c r="D138" s="20" t="str">
        <f>A138&amp; " S" &amp;C138</f>
        <v>30 Rock S3</v>
      </c>
      <c r="E138" s="20">
        <v>48</v>
      </c>
      <c r="F138" s="20">
        <v>12</v>
      </c>
      <c r="G138" s="412" t="s">
        <v>86</v>
      </c>
      <c r="H138" s="20" t="s">
        <v>87</v>
      </c>
      <c r="I138" s="20" t="s">
        <v>29</v>
      </c>
      <c r="J138" s="441">
        <v>39870</v>
      </c>
      <c r="K138" s="20" t="str">
        <f>CHOOSE(WEEKDAY(J138),"Sun","Mon","Tue","Wed","Thu","Fri","Sat")</f>
        <v>Thu</v>
      </c>
      <c r="L138" s="47">
        <v>0.89583333333333326</v>
      </c>
      <c r="M138" s="20">
        <v>312</v>
      </c>
      <c r="N138" s="20">
        <v>6.4</v>
      </c>
      <c r="O138" s="20">
        <v>137</v>
      </c>
      <c r="P138" s="376" t="str">
        <f t="shared" si="2"/>
        <v/>
      </c>
      <c r="Q138" s="395" t="str">
        <f ca="1">VLOOKUP(EpisodeList[[#This Row],[Season Number]], INDIRECT("'" &amp; EpisodeList[[#This Row],[Show]] &amp; " Season Info'!C2:J15"), 8,1)</f>
        <v>2008-09</v>
      </c>
    </row>
    <row r="139" spans="1:17" x14ac:dyDescent="0.2">
      <c r="A139" s="9" t="s">
        <v>243</v>
      </c>
      <c r="B139" s="19" t="s">
        <v>223</v>
      </c>
      <c r="C139" s="19">
        <v>5</v>
      </c>
      <c r="D139" s="19" t="str">
        <f>A139&amp; " S" &amp;C139</f>
        <v>The Office S5</v>
      </c>
      <c r="E139" s="19">
        <v>90</v>
      </c>
      <c r="F139" s="19">
        <v>18</v>
      </c>
      <c r="G139" s="411" t="s">
        <v>353</v>
      </c>
      <c r="H139" s="19" t="s">
        <v>279</v>
      </c>
      <c r="I139" s="19" t="s">
        <v>284</v>
      </c>
      <c r="J139" s="440">
        <v>39877</v>
      </c>
      <c r="K139" s="19" t="str">
        <f>CHOOSE(WEEKDAY(J139),"Sun","Mon","Tue","Wed","Thu","Fri","Sat")</f>
        <v>Thu</v>
      </c>
      <c r="L139" s="46">
        <v>0.875</v>
      </c>
      <c r="M139" s="19">
        <v>5018</v>
      </c>
      <c r="N139" s="19">
        <v>8.6300000000000008</v>
      </c>
      <c r="O139" s="19">
        <v>138</v>
      </c>
      <c r="P139" s="375" t="str">
        <f t="shared" si="2"/>
        <v/>
      </c>
      <c r="Q139" s="394" t="str">
        <f ca="1">VLOOKUP(EpisodeList[[#This Row],[Season Number]], INDIRECT("'" &amp; EpisodeList[[#This Row],[Show]] &amp; " Season Info'!C2:J15"), 8,1)</f>
        <v>2008-09</v>
      </c>
    </row>
    <row r="140" spans="1:17" x14ac:dyDescent="0.2">
      <c r="A140" s="15" t="s">
        <v>228</v>
      </c>
      <c r="B140" s="20" t="s">
        <v>221</v>
      </c>
      <c r="C140" s="20">
        <v>3</v>
      </c>
      <c r="D140" s="20" t="str">
        <f>A140&amp; " S" &amp;C140</f>
        <v>30 Rock S3</v>
      </c>
      <c r="E140" s="20">
        <v>49</v>
      </c>
      <c r="F140" s="20">
        <v>13</v>
      </c>
      <c r="G140" s="412" t="s">
        <v>88</v>
      </c>
      <c r="H140" s="20" t="s">
        <v>12</v>
      </c>
      <c r="I140" s="20" t="s">
        <v>57</v>
      </c>
      <c r="J140" s="441">
        <v>39877</v>
      </c>
      <c r="K140" s="20" t="str">
        <f>CHOOSE(WEEKDAY(J140),"Sun","Mon","Tue","Wed","Thu","Fri","Sat")</f>
        <v>Thu</v>
      </c>
      <c r="L140" s="47">
        <v>0.89583333333333326</v>
      </c>
      <c r="M140" s="20">
        <v>313</v>
      </c>
      <c r="N140" s="20">
        <v>7.3</v>
      </c>
      <c r="O140" s="20">
        <v>139</v>
      </c>
      <c r="P140" s="376" t="str">
        <f t="shared" si="2"/>
        <v/>
      </c>
      <c r="Q140" s="395" t="str">
        <f ca="1">VLOOKUP(EpisodeList[[#This Row],[Season Number]], INDIRECT("'" &amp; EpisodeList[[#This Row],[Show]] &amp; " Season Info'!C2:J15"), 8,1)</f>
        <v>2008-09</v>
      </c>
    </row>
    <row r="141" spans="1:17" x14ac:dyDescent="0.2">
      <c r="A141" s="9" t="s">
        <v>243</v>
      </c>
      <c r="B141" s="19" t="s">
        <v>223</v>
      </c>
      <c r="C141" s="19">
        <v>5</v>
      </c>
      <c r="D141" s="19" t="str">
        <f>A141&amp; " S" &amp;C141</f>
        <v>The Office S5</v>
      </c>
      <c r="E141" s="19">
        <v>91</v>
      </c>
      <c r="F141" s="19">
        <v>19</v>
      </c>
      <c r="G141" s="411" t="s">
        <v>354</v>
      </c>
      <c r="H141" s="19" t="s">
        <v>279</v>
      </c>
      <c r="I141" s="19" t="s">
        <v>242</v>
      </c>
      <c r="J141" s="440">
        <v>39884</v>
      </c>
      <c r="K141" s="19" t="str">
        <f>CHOOSE(WEEKDAY(J141),"Sun","Mon","Tue","Wed","Thu","Fri","Sat")</f>
        <v>Thu</v>
      </c>
      <c r="L141" s="46">
        <v>0.875</v>
      </c>
      <c r="M141" s="19">
        <v>5019</v>
      </c>
      <c r="N141" s="19">
        <v>7.51</v>
      </c>
      <c r="O141" s="19">
        <v>140</v>
      </c>
      <c r="P141" s="375" t="str">
        <f t="shared" si="2"/>
        <v/>
      </c>
      <c r="Q141" s="394" t="str">
        <f ca="1">VLOOKUP(EpisodeList[[#This Row],[Season Number]], INDIRECT("'" &amp; EpisodeList[[#This Row],[Show]] &amp; " Season Info'!C2:J15"), 8,1)</f>
        <v>2008-09</v>
      </c>
    </row>
    <row r="142" spans="1:17" x14ac:dyDescent="0.2">
      <c r="A142" s="15" t="s">
        <v>228</v>
      </c>
      <c r="B142" s="20" t="s">
        <v>221</v>
      </c>
      <c r="C142" s="20">
        <v>3</v>
      </c>
      <c r="D142" s="20" t="str">
        <f>A142&amp; " S" &amp;C142</f>
        <v>30 Rock S3</v>
      </c>
      <c r="E142" s="20">
        <v>50</v>
      </c>
      <c r="F142" s="20">
        <v>14</v>
      </c>
      <c r="G142" s="412" t="s">
        <v>89</v>
      </c>
      <c r="H142" s="20" t="s">
        <v>90</v>
      </c>
      <c r="I142" s="20" t="s">
        <v>91</v>
      </c>
      <c r="J142" s="441">
        <v>39884</v>
      </c>
      <c r="K142" s="20" t="str">
        <f>CHOOSE(WEEKDAY(J142),"Sun","Mon","Tue","Wed","Thu","Fri","Sat")</f>
        <v>Thu</v>
      </c>
      <c r="L142" s="47">
        <v>0.89583333333333326</v>
      </c>
      <c r="M142" s="20">
        <v>314</v>
      </c>
      <c r="N142" s="20">
        <v>6.4</v>
      </c>
      <c r="O142" s="20">
        <v>141</v>
      </c>
      <c r="P142" s="376" t="str">
        <f t="shared" si="2"/>
        <v/>
      </c>
      <c r="Q142" s="395" t="str">
        <f ca="1">VLOOKUP(EpisodeList[[#This Row],[Season Number]], INDIRECT("'" &amp; EpisodeList[[#This Row],[Show]] &amp; " Season Info'!C2:J15"), 8,1)</f>
        <v>2008-09</v>
      </c>
    </row>
    <row r="143" spans="1:17" x14ac:dyDescent="0.2">
      <c r="A143" s="9" t="s">
        <v>243</v>
      </c>
      <c r="B143" s="19" t="s">
        <v>223</v>
      </c>
      <c r="C143" s="19">
        <v>5</v>
      </c>
      <c r="D143" s="19" t="str">
        <f>A143&amp; " S" &amp;C143</f>
        <v>The Office S5</v>
      </c>
      <c r="E143" s="19">
        <v>92</v>
      </c>
      <c r="F143" s="19">
        <v>20</v>
      </c>
      <c r="G143" s="411" t="s">
        <v>355</v>
      </c>
      <c r="H143" s="19" t="s">
        <v>44</v>
      </c>
      <c r="I143" s="19" t="s">
        <v>261</v>
      </c>
      <c r="J143" s="440">
        <v>39891</v>
      </c>
      <c r="K143" s="19" t="str">
        <f>CHOOSE(WEEKDAY(J143),"Sun","Mon","Tue","Wed","Thu","Fri","Sat")</f>
        <v>Thu</v>
      </c>
      <c r="L143" s="46">
        <v>0.875</v>
      </c>
      <c r="M143" s="19">
        <v>5020</v>
      </c>
      <c r="N143" s="19">
        <v>7.95</v>
      </c>
      <c r="O143" s="19">
        <v>142</v>
      </c>
      <c r="P143" s="375" t="str">
        <f t="shared" si="2"/>
        <v/>
      </c>
      <c r="Q143" s="394" t="str">
        <f ca="1">VLOOKUP(EpisodeList[[#This Row],[Season Number]], INDIRECT("'" &amp; EpisodeList[[#This Row],[Show]] &amp; " Season Info'!C2:J15"), 8,1)</f>
        <v>2008-09</v>
      </c>
    </row>
    <row r="144" spans="1:17" x14ac:dyDescent="0.2">
      <c r="A144" s="15" t="s">
        <v>228</v>
      </c>
      <c r="B144" s="20" t="s">
        <v>221</v>
      </c>
      <c r="C144" s="20">
        <v>3</v>
      </c>
      <c r="D144" s="20" t="str">
        <f>A144&amp; " S" &amp;C144</f>
        <v>30 Rock S3</v>
      </c>
      <c r="E144" s="20">
        <v>51</v>
      </c>
      <c r="F144" s="20">
        <v>15</v>
      </c>
      <c r="G144" s="412" t="s">
        <v>92</v>
      </c>
      <c r="H144" s="20" t="s">
        <v>93</v>
      </c>
      <c r="I144" s="20" t="s">
        <v>9</v>
      </c>
      <c r="J144" s="441">
        <v>39891</v>
      </c>
      <c r="K144" s="20" t="str">
        <f>CHOOSE(WEEKDAY(J144),"Sun","Mon","Tue","Wed","Thu","Fri","Sat")</f>
        <v>Thu</v>
      </c>
      <c r="L144" s="47">
        <v>0.89583333333333326</v>
      </c>
      <c r="M144" s="20">
        <v>315</v>
      </c>
      <c r="N144" s="20">
        <v>7.1</v>
      </c>
      <c r="O144" s="20">
        <v>143</v>
      </c>
      <c r="P144" s="376" t="str">
        <f t="shared" si="2"/>
        <v/>
      </c>
      <c r="Q144" s="395" t="str">
        <f ca="1">VLOOKUP(EpisodeList[[#This Row],[Season Number]], INDIRECT("'" &amp; EpisodeList[[#This Row],[Show]] &amp; " Season Info'!C2:J15"), 8,1)</f>
        <v>2008-09</v>
      </c>
    </row>
    <row r="145" spans="1:17" x14ac:dyDescent="0.2">
      <c r="A145" s="9" t="s">
        <v>243</v>
      </c>
      <c r="B145" s="19" t="s">
        <v>223</v>
      </c>
      <c r="C145" s="19">
        <v>5</v>
      </c>
      <c r="D145" s="19" t="str">
        <f>A145&amp; " S" &amp;C145</f>
        <v>The Office S5</v>
      </c>
      <c r="E145" s="19">
        <v>93</v>
      </c>
      <c r="F145" s="19">
        <v>21</v>
      </c>
      <c r="G145" s="411" t="s">
        <v>356</v>
      </c>
      <c r="H145" s="19" t="s">
        <v>234</v>
      </c>
      <c r="I145" s="19" t="s">
        <v>335</v>
      </c>
      <c r="J145" s="440">
        <v>39898</v>
      </c>
      <c r="K145" s="19" t="str">
        <f>CHOOSE(WEEKDAY(J145),"Sun","Mon","Tue","Wed","Thu","Fri","Sat")</f>
        <v>Thu</v>
      </c>
      <c r="L145" s="46">
        <v>0.875</v>
      </c>
      <c r="M145" s="19">
        <v>5021</v>
      </c>
      <c r="N145" s="19">
        <v>8.4499999999999993</v>
      </c>
      <c r="O145" s="19">
        <v>144</v>
      </c>
      <c r="P145" s="375" t="str">
        <f t="shared" si="2"/>
        <v/>
      </c>
      <c r="Q145" s="394" t="str">
        <f ca="1">VLOOKUP(EpisodeList[[#This Row],[Season Number]], INDIRECT("'" &amp; EpisodeList[[#This Row],[Show]] &amp; " Season Info'!C2:J15"), 8,1)</f>
        <v>2008-09</v>
      </c>
    </row>
    <row r="146" spans="1:17" x14ac:dyDescent="0.2">
      <c r="A146" s="15" t="s">
        <v>228</v>
      </c>
      <c r="B146" s="20" t="s">
        <v>221</v>
      </c>
      <c r="C146" s="20">
        <v>3</v>
      </c>
      <c r="D146" s="20" t="str">
        <f>A146&amp; " S" &amp;C146</f>
        <v>30 Rock S3</v>
      </c>
      <c r="E146" s="20">
        <v>52</v>
      </c>
      <c r="F146" s="20">
        <v>16</v>
      </c>
      <c r="G146" s="412" t="s">
        <v>94</v>
      </c>
      <c r="H146" s="20" t="s">
        <v>95</v>
      </c>
      <c r="I146" s="20" t="s">
        <v>15</v>
      </c>
      <c r="J146" s="441">
        <v>39898</v>
      </c>
      <c r="K146" s="20" t="str">
        <f>CHOOSE(WEEKDAY(J146),"Sun","Mon","Tue","Wed","Thu","Fri","Sat")</f>
        <v>Thu</v>
      </c>
      <c r="L146" s="47">
        <v>0.89583333333333326</v>
      </c>
      <c r="M146" s="20">
        <v>316</v>
      </c>
      <c r="N146" s="20">
        <v>7.2</v>
      </c>
      <c r="O146" s="20">
        <v>145</v>
      </c>
      <c r="P146" s="376" t="str">
        <f t="shared" si="2"/>
        <v/>
      </c>
      <c r="Q146" s="395" t="str">
        <f ca="1">VLOOKUP(EpisodeList[[#This Row],[Season Number]], INDIRECT("'" &amp; EpisodeList[[#This Row],[Show]] &amp; " Season Info'!C2:J15"), 8,1)</f>
        <v>2008-09</v>
      </c>
    </row>
    <row r="147" spans="1:17" x14ac:dyDescent="0.2">
      <c r="A147" s="21" t="s">
        <v>859</v>
      </c>
      <c r="B147" s="22" t="s">
        <v>219</v>
      </c>
      <c r="C147" s="22">
        <v>1</v>
      </c>
      <c r="D147" s="22" t="str">
        <f>A147&amp; " S" &amp;C147</f>
        <v>Parks and Rec S1</v>
      </c>
      <c r="E147" s="22">
        <v>1</v>
      </c>
      <c r="F147" s="22">
        <v>1</v>
      </c>
      <c r="G147" s="413" t="s">
        <v>7</v>
      </c>
      <c r="H147" s="22" t="s">
        <v>239</v>
      </c>
      <c r="I147" s="22" t="s">
        <v>688</v>
      </c>
      <c r="J147" s="442">
        <v>39912</v>
      </c>
      <c r="K147" s="22" t="str">
        <f>CHOOSE(WEEKDAY(J147),"Sun","Mon","Tue","Wed","Thu","Fri","Sat")</f>
        <v>Thu</v>
      </c>
      <c r="L147" s="48">
        <v>0.85416666666666674</v>
      </c>
      <c r="M147" s="22"/>
      <c r="N147" s="22">
        <v>6.77</v>
      </c>
      <c r="O147" s="22">
        <v>146</v>
      </c>
      <c r="P147" s="377" t="str">
        <f t="shared" si="2"/>
        <v/>
      </c>
      <c r="Q147" s="396" t="str">
        <f ca="1">VLOOKUP(EpisodeList[[#This Row],[Season Number]], INDIRECT("'" &amp; EpisodeList[[#This Row],[Show]] &amp; " Season Info'!C2:J15"), 8,1)</f>
        <v>2008-09</v>
      </c>
    </row>
    <row r="148" spans="1:17" x14ac:dyDescent="0.2">
      <c r="A148" s="9" t="s">
        <v>243</v>
      </c>
      <c r="B148" s="19" t="s">
        <v>223</v>
      </c>
      <c r="C148" s="19">
        <v>5</v>
      </c>
      <c r="D148" s="19" t="str">
        <f>A148&amp; " S" &amp;C148</f>
        <v>The Office S5</v>
      </c>
      <c r="E148" s="19">
        <v>94</v>
      </c>
      <c r="F148" s="19">
        <v>22</v>
      </c>
      <c r="G148" s="411" t="s">
        <v>357</v>
      </c>
      <c r="H148" s="19" t="s">
        <v>44</v>
      </c>
      <c r="I148" s="19" t="s">
        <v>232</v>
      </c>
      <c r="J148" s="440">
        <v>39912</v>
      </c>
      <c r="K148" s="19" t="str">
        <f>CHOOSE(WEEKDAY(J148),"Sun","Mon","Tue","Wed","Thu","Fri","Sat")</f>
        <v>Thu</v>
      </c>
      <c r="L148" s="46">
        <v>0.875</v>
      </c>
      <c r="M148" s="19">
        <v>5022</v>
      </c>
      <c r="N148" s="19">
        <v>7.2</v>
      </c>
      <c r="O148" s="19">
        <v>147</v>
      </c>
      <c r="P148" s="375" t="str">
        <f t="shared" si="2"/>
        <v/>
      </c>
      <c r="Q148" s="394" t="str">
        <f ca="1">VLOOKUP(EpisodeList[[#This Row],[Season Number]], INDIRECT("'" &amp; EpisodeList[[#This Row],[Show]] &amp; " Season Info'!C2:J15"), 8,1)</f>
        <v>2008-09</v>
      </c>
    </row>
    <row r="149" spans="1:17" x14ac:dyDescent="0.2">
      <c r="A149" s="9" t="s">
        <v>243</v>
      </c>
      <c r="B149" s="19" t="s">
        <v>223</v>
      </c>
      <c r="C149" s="19">
        <v>5</v>
      </c>
      <c r="D149" s="19" t="str">
        <f>A149&amp; " S" &amp;C149</f>
        <v>The Office S5</v>
      </c>
      <c r="E149" s="19">
        <v>95</v>
      </c>
      <c r="F149" s="19">
        <v>23</v>
      </c>
      <c r="G149" s="411" t="s">
        <v>358</v>
      </c>
      <c r="H149" s="19" t="s">
        <v>359</v>
      </c>
      <c r="I149" s="19" t="s">
        <v>291</v>
      </c>
      <c r="J149" s="440">
        <v>39912</v>
      </c>
      <c r="K149" s="19" t="str">
        <f>CHOOSE(WEEKDAY(J149),"Sun","Mon","Tue","Wed","Thu","Fri","Sat")</f>
        <v>Thu</v>
      </c>
      <c r="L149" s="46">
        <v>0.875</v>
      </c>
      <c r="M149" s="19">
        <v>5023</v>
      </c>
      <c r="N149" s="19">
        <v>7.94</v>
      </c>
      <c r="O149" s="19">
        <v>148</v>
      </c>
      <c r="P149" s="375" t="str">
        <f t="shared" si="2"/>
        <v/>
      </c>
      <c r="Q149" s="394" t="str">
        <f ca="1">VLOOKUP(EpisodeList[[#This Row],[Season Number]], INDIRECT("'" &amp; EpisodeList[[#This Row],[Show]] &amp; " Season Info'!C2:J15"), 8,1)</f>
        <v>2008-09</v>
      </c>
    </row>
    <row r="150" spans="1:17" x14ac:dyDescent="0.2">
      <c r="A150" s="15" t="s">
        <v>228</v>
      </c>
      <c r="B150" s="20" t="s">
        <v>221</v>
      </c>
      <c r="C150" s="20">
        <v>3</v>
      </c>
      <c r="D150" s="20" t="str">
        <f>A150&amp; " S" &amp;C150</f>
        <v>30 Rock S3</v>
      </c>
      <c r="E150" s="20">
        <v>53</v>
      </c>
      <c r="F150" s="20">
        <v>17</v>
      </c>
      <c r="G150" s="412" t="s">
        <v>96</v>
      </c>
      <c r="H150" s="20" t="s">
        <v>14</v>
      </c>
      <c r="I150" s="20" t="s">
        <v>29</v>
      </c>
      <c r="J150" s="441">
        <v>39912</v>
      </c>
      <c r="K150" s="20" t="str">
        <f>CHOOSE(WEEKDAY(J150),"Sun","Mon","Tue","Wed","Thu","Fri","Sat")</f>
        <v>Thu</v>
      </c>
      <c r="L150" s="47">
        <v>0.89583333333333326</v>
      </c>
      <c r="M150" s="20">
        <v>317</v>
      </c>
      <c r="N150" s="20">
        <v>6.8</v>
      </c>
      <c r="O150" s="20">
        <v>149</v>
      </c>
      <c r="P150" s="376" t="str">
        <f t="shared" si="2"/>
        <v/>
      </c>
      <c r="Q150" s="395" t="str">
        <f ca="1">VLOOKUP(EpisodeList[[#This Row],[Season Number]], INDIRECT("'" &amp; EpisodeList[[#This Row],[Show]] &amp; " Season Info'!C2:J15"), 8,1)</f>
        <v>2008-09</v>
      </c>
    </row>
    <row r="151" spans="1:17" x14ac:dyDescent="0.2">
      <c r="A151" s="21" t="s">
        <v>859</v>
      </c>
      <c r="B151" s="22" t="s">
        <v>219</v>
      </c>
      <c r="C151" s="22">
        <v>1</v>
      </c>
      <c r="D151" s="22" t="str">
        <f>A151&amp; " S" &amp;C151</f>
        <v>Parks and Rec S1</v>
      </c>
      <c r="E151" s="22">
        <v>2</v>
      </c>
      <c r="F151" s="22">
        <v>2</v>
      </c>
      <c r="G151" s="413" t="s">
        <v>689</v>
      </c>
      <c r="H151" s="22" t="s">
        <v>376</v>
      </c>
      <c r="I151" s="22" t="s">
        <v>690</v>
      </c>
      <c r="J151" s="442">
        <v>39919</v>
      </c>
      <c r="K151" s="22" t="str">
        <f>CHOOSE(WEEKDAY(J151),"Sun","Mon","Tue","Wed","Thu","Fri","Sat")</f>
        <v>Thu</v>
      </c>
      <c r="L151" s="48">
        <v>0.85416666666666674</v>
      </c>
      <c r="M151" s="22"/>
      <c r="N151" s="22">
        <v>5.92</v>
      </c>
      <c r="O151" s="22">
        <v>150</v>
      </c>
      <c r="P151" s="377" t="str">
        <f t="shared" si="2"/>
        <v/>
      </c>
      <c r="Q151" s="396" t="str">
        <f ca="1">VLOOKUP(EpisodeList[[#This Row],[Season Number]], INDIRECT("'" &amp; EpisodeList[[#This Row],[Show]] &amp; " Season Info'!C2:J15"), 8,1)</f>
        <v>2008-09</v>
      </c>
    </row>
    <row r="152" spans="1:17" x14ac:dyDescent="0.2">
      <c r="A152" s="9" t="s">
        <v>243</v>
      </c>
      <c r="B152" s="19" t="s">
        <v>223</v>
      </c>
      <c r="C152" s="19">
        <v>5</v>
      </c>
      <c r="D152" s="19" t="str">
        <f>A152&amp; " S" &amp;C152</f>
        <v>The Office S5</v>
      </c>
      <c r="E152" s="19">
        <v>96</v>
      </c>
      <c r="F152" s="19">
        <v>24</v>
      </c>
      <c r="G152" s="411" t="s">
        <v>360</v>
      </c>
      <c r="H152" s="19" t="s">
        <v>90</v>
      </c>
      <c r="I152" s="19" t="s">
        <v>333</v>
      </c>
      <c r="J152" s="440">
        <v>39919</v>
      </c>
      <c r="K152" s="19" t="str">
        <f>CHOOSE(WEEKDAY(J152),"Sun","Mon","Tue","Wed","Thu","Fri","Sat")</f>
        <v>Thu</v>
      </c>
      <c r="L152" s="46">
        <v>0.875</v>
      </c>
      <c r="M152" s="19">
        <v>5024</v>
      </c>
      <c r="N152" s="19">
        <v>8.24</v>
      </c>
      <c r="O152" s="19">
        <v>151</v>
      </c>
      <c r="P152" s="375" t="str">
        <f t="shared" si="2"/>
        <v/>
      </c>
      <c r="Q152" s="394" t="str">
        <f ca="1">VLOOKUP(EpisodeList[[#This Row],[Season Number]], INDIRECT("'" &amp; EpisodeList[[#This Row],[Show]] &amp; " Season Info'!C2:J15"), 8,1)</f>
        <v>2008-09</v>
      </c>
    </row>
    <row r="153" spans="1:17" x14ac:dyDescent="0.2">
      <c r="A153" s="15" t="s">
        <v>228</v>
      </c>
      <c r="B153" s="20" t="s">
        <v>221</v>
      </c>
      <c r="C153" s="20">
        <v>3</v>
      </c>
      <c r="D153" s="20" t="str">
        <f>A153&amp; " S" &amp;C153</f>
        <v>30 Rock S3</v>
      </c>
      <c r="E153" s="20">
        <v>54</v>
      </c>
      <c r="F153" s="20">
        <v>18</v>
      </c>
      <c r="G153" s="412" t="s">
        <v>97</v>
      </c>
      <c r="H153" s="20" t="s">
        <v>17</v>
      </c>
      <c r="I153" s="20" t="s">
        <v>98</v>
      </c>
      <c r="J153" s="441">
        <v>39919</v>
      </c>
      <c r="K153" s="20" t="str">
        <f>CHOOSE(WEEKDAY(J153),"Sun","Mon","Tue","Wed","Thu","Fri","Sat")</f>
        <v>Thu</v>
      </c>
      <c r="L153" s="47">
        <v>0.89583333333333326</v>
      </c>
      <c r="M153" s="20">
        <v>318</v>
      </c>
      <c r="N153" s="20">
        <v>7.3</v>
      </c>
      <c r="O153" s="20">
        <v>152</v>
      </c>
      <c r="P153" s="376" t="str">
        <f t="shared" si="2"/>
        <v/>
      </c>
      <c r="Q153" s="395" t="str">
        <f ca="1">VLOOKUP(EpisodeList[[#This Row],[Season Number]], INDIRECT("'" &amp; EpisodeList[[#This Row],[Show]] &amp; " Season Info'!C2:J15"), 8,1)</f>
        <v>2008-09</v>
      </c>
    </row>
    <row r="154" spans="1:17" x14ac:dyDescent="0.2">
      <c r="A154" s="21" t="s">
        <v>859</v>
      </c>
      <c r="B154" s="22" t="s">
        <v>219</v>
      </c>
      <c r="C154" s="22">
        <v>1</v>
      </c>
      <c r="D154" s="22" t="str">
        <f>A154&amp; " S" &amp;C154</f>
        <v>Parks and Rec S1</v>
      </c>
      <c r="E154" s="22">
        <v>3</v>
      </c>
      <c r="F154" s="22">
        <v>3</v>
      </c>
      <c r="G154" s="413" t="s">
        <v>691</v>
      </c>
      <c r="H154" s="22" t="s">
        <v>286</v>
      </c>
      <c r="I154" s="22" t="s">
        <v>692</v>
      </c>
      <c r="J154" s="442">
        <v>39926</v>
      </c>
      <c r="K154" s="22" t="str">
        <f>CHOOSE(WEEKDAY(J154),"Sun","Mon","Tue","Wed","Thu","Fri","Sat")</f>
        <v>Thu</v>
      </c>
      <c r="L154" s="48">
        <v>0.85416666666666674</v>
      </c>
      <c r="M154" s="22"/>
      <c r="N154" s="22">
        <v>5.24</v>
      </c>
      <c r="O154" s="22">
        <v>153</v>
      </c>
      <c r="P154" s="377" t="str">
        <f t="shared" si="2"/>
        <v/>
      </c>
      <c r="Q154" s="396" t="str">
        <f ca="1">VLOOKUP(EpisodeList[[#This Row],[Season Number]], INDIRECT("'" &amp; EpisodeList[[#This Row],[Show]] &amp; " Season Info'!C2:J15"), 8,1)</f>
        <v>2008-09</v>
      </c>
    </row>
    <row r="155" spans="1:17" x14ac:dyDescent="0.2">
      <c r="A155" s="9" t="s">
        <v>243</v>
      </c>
      <c r="B155" s="19" t="s">
        <v>223</v>
      </c>
      <c r="C155" s="19">
        <v>5</v>
      </c>
      <c r="D155" s="19" t="str">
        <f>A155&amp; " S" &amp;C155</f>
        <v>The Office S5</v>
      </c>
      <c r="E155" s="19">
        <v>97</v>
      </c>
      <c r="F155" s="19">
        <v>25</v>
      </c>
      <c r="G155" s="411" t="s">
        <v>361</v>
      </c>
      <c r="H155" s="19" t="s">
        <v>271</v>
      </c>
      <c r="I155" s="19" t="s">
        <v>337</v>
      </c>
      <c r="J155" s="440">
        <v>39926</v>
      </c>
      <c r="K155" s="19" t="str">
        <f>CHOOSE(WEEKDAY(J155),"Sun","Mon","Tue","Wed","Thu","Fri","Sat")</f>
        <v>Thu</v>
      </c>
      <c r="L155" s="46">
        <v>0.875</v>
      </c>
      <c r="M155" s="19">
        <v>5025</v>
      </c>
      <c r="N155" s="19">
        <v>7.21</v>
      </c>
      <c r="O155" s="19">
        <v>154</v>
      </c>
      <c r="P155" s="375" t="str">
        <f t="shared" si="2"/>
        <v/>
      </c>
      <c r="Q155" s="394" t="str">
        <f ca="1">VLOOKUP(EpisodeList[[#This Row],[Season Number]], INDIRECT("'" &amp; EpisodeList[[#This Row],[Show]] &amp; " Season Info'!C2:J15"), 8,1)</f>
        <v>2008-09</v>
      </c>
    </row>
    <row r="156" spans="1:17" x14ac:dyDescent="0.2">
      <c r="A156" s="15" t="s">
        <v>228</v>
      </c>
      <c r="B156" s="20" t="s">
        <v>221</v>
      </c>
      <c r="C156" s="20">
        <v>3</v>
      </c>
      <c r="D156" s="20" t="str">
        <f>A156&amp; " S" &amp;C156</f>
        <v>30 Rock S3</v>
      </c>
      <c r="E156" s="20">
        <v>55</v>
      </c>
      <c r="F156" s="20">
        <v>19</v>
      </c>
      <c r="G156" s="412" t="s">
        <v>99</v>
      </c>
      <c r="H156" s="20" t="s">
        <v>28</v>
      </c>
      <c r="I156" s="20" t="s">
        <v>20</v>
      </c>
      <c r="J156" s="441">
        <v>39926</v>
      </c>
      <c r="K156" s="20" t="str">
        <f>CHOOSE(WEEKDAY(J156),"Sun","Mon","Tue","Wed","Thu","Fri","Sat")</f>
        <v>Thu</v>
      </c>
      <c r="L156" s="47">
        <v>0.89583333333333326</v>
      </c>
      <c r="M156" s="20">
        <v>319</v>
      </c>
      <c r="N156" s="20">
        <v>6.3</v>
      </c>
      <c r="O156" s="20">
        <v>155</v>
      </c>
      <c r="P156" s="376" t="str">
        <f t="shared" si="2"/>
        <v/>
      </c>
      <c r="Q156" s="395" t="str">
        <f ca="1">VLOOKUP(EpisodeList[[#This Row],[Season Number]], INDIRECT("'" &amp; EpisodeList[[#This Row],[Show]] &amp; " Season Info'!C2:J15"), 8,1)</f>
        <v>2008-09</v>
      </c>
    </row>
    <row r="157" spans="1:17" x14ac:dyDescent="0.2">
      <c r="A157" s="21" t="s">
        <v>859</v>
      </c>
      <c r="B157" s="22" t="s">
        <v>219</v>
      </c>
      <c r="C157" s="22">
        <v>1</v>
      </c>
      <c r="D157" s="22" t="str">
        <f>A157&amp; " S" &amp;C157</f>
        <v>Parks and Rec S1</v>
      </c>
      <c r="E157" s="22">
        <v>4</v>
      </c>
      <c r="F157" s="22">
        <v>4</v>
      </c>
      <c r="G157" s="413" t="s">
        <v>693</v>
      </c>
      <c r="H157" s="22" t="s">
        <v>694</v>
      </c>
      <c r="I157" s="22" t="s">
        <v>695</v>
      </c>
      <c r="J157" s="442">
        <v>39933</v>
      </c>
      <c r="K157" s="22" t="str">
        <f>CHOOSE(WEEKDAY(J157),"Sun","Mon","Tue","Wed","Thu","Fri","Sat")</f>
        <v>Thu</v>
      </c>
      <c r="L157" s="48">
        <v>0.85416666666666674</v>
      </c>
      <c r="M157" s="22"/>
      <c r="N157" s="22">
        <v>5.29</v>
      </c>
      <c r="O157" s="22">
        <v>156</v>
      </c>
      <c r="P157" s="377" t="str">
        <f t="shared" si="2"/>
        <v/>
      </c>
      <c r="Q157" s="396" t="str">
        <f ca="1">VLOOKUP(EpisodeList[[#This Row],[Season Number]], INDIRECT("'" &amp; EpisodeList[[#This Row],[Show]] &amp; " Season Info'!C2:J15"), 8,1)</f>
        <v>2008-09</v>
      </c>
    </row>
    <row r="158" spans="1:17" x14ac:dyDescent="0.2">
      <c r="A158" s="9" t="s">
        <v>243</v>
      </c>
      <c r="B158" s="19" t="s">
        <v>223</v>
      </c>
      <c r="C158" s="19">
        <v>5</v>
      </c>
      <c r="D158" s="19" t="str">
        <f>A158&amp; " S" &amp;C158</f>
        <v>The Office S5</v>
      </c>
      <c r="E158" s="19">
        <v>98</v>
      </c>
      <c r="F158" s="19">
        <v>26</v>
      </c>
      <c r="G158" s="411" t="s">
        <v>362</v>
      </c>
      <c r="H158" s="19" t="s">
        <v>284</v>
      </c>
      <c r="I158" s="19" t="s">
        <v>340</v>
      </c>
      <c r="J158" s="440">
        <v>39933</v>
      </c>
      <c r="K158" s="19" t="str">
        <f>CHOOSE(WEEKDAY(J158),"Sun","Mon","Tue","Wed","Thu","Fri","Sat")</f>
        <v>Thu</v>
      </c>
      <c r="L158" s="46">
        <v>0.875</v>
      </c>
      <c r="M158" s="19">
        <v>5026</v>
      </c>
      <c r="N158" s="19">
        <v>7.31</v>
      </c>
      <c r="O158" s="19">
        <v>157</v>
      </c>
      <c r="P158" s="375" t="str">
        <f t="shared" si="2"/>
        <v/>
      </c>
      <c r="Q158" s="394" t="str">
        <f ca="1">VLOOKUP(EpisodeList[[#This Row],[Season Number]], INDIRECT("'" &amp; EpisodeList[[#This Row],[Show]] &amp; " Season Info'!C2:J15"), 8,1)</f>
        <v>2008-09</v>
      </c>
    </row>
    <row r="159" spans="1:17" x14ac:dyDescent="0.2">
      <c r="A159" s="15" t="s">
        <v>228</v>
      </c>
      <c r="B159" s="20" t="s">
        <v>221</v>
      </c>
      <c r="C159" s="20">
        <v>3</v>
      </c>
      <c r="D159" s="20" t="str">
        <f>A159&amp; " S" &amp;C159</f>
        <v>30 Rock S3</v>
      </c>
      <c r="E159" s="20">
        <v>56</v>
      </c>
      <c r="F159" s="20">
        <v>20</v>
      </c>
      <c r="G159" s="412" t="s">
        <v>100</v>
      </c>
      <c r="H159" s="20" t="s">
        <v>23</v>
      </c>
      <c r="I159" s="20" t="s">
        <v>101</v>
      </c>
      <c r="J159" s="441">
        <v>39933</v>
      </c>
      <c r="K159" s="20" t="str">
        <f>CHOOSE(WEEKDAY(J159),"Sun","Mon","Tue","Wed","Thu","Fri","Sat")</f>
        <v>Thu</v>
      </c>
      <c r="L159" s="47">
        <v>0.89583333333333326</v>
      </c>
      <c r="M159" s="20">
        <v>320</v>
      </c>
      <c r="N159" s="20">
        <v>6</v>
      </c>
      <c r="O159" s="20">
        <v>158</v>
      </c>
      <c r="P159" s="376" t="str">
        <f t="shared" si="2"/>
        <v/>
      </c>
      <c r="Q159" s="395" t="str">
        <f ca="1">VLOOKUP(EpisodeList[[#This Row],[Season Number]], INDIRECT("'" &amp; EpisodeList[[#This Row],[Show]] &amp; " Season Info'!C2:J15"), 8,1)</f>
        <v>2008-09</v>
      </c>
    </row>
    <row r="160" spans="1:17" x14ac:dyDescent="0.2">
      <c r="A160" s="21" t="s">
        <v>859</v>
      </c>
      <c r="B160" s="22" t="s">
        <v>219</v>
      </c>
      <c r="C160" s="22">
        <v>1</v>
      </c>
      <c r="D160" s="22" t="str">
        <f>A160&amp; " S" &amp;C160</f>
        <v>Parks and Rec S1</v>
      </c>
      <c r="E160" s="22">
        <v>5</v>
      </c>
      <c r="F160" s="22">
        <v>5</v>
      </c>
      <c r="G160" s="413" t="s">
        <v>696</v>
      </c>
      <c r="H160" s="22" t="s">
        <v>140</v>
      </c>
      <c r="I160" s="22" t="s">
        <v>697</v>
      </c>
      <c r="J160" s="442">
        <v>39940</v>
      </c>
      <c r="K160" s="22" t="str">
        <f>CHOOSE(WEEKDAY(J160),"Sun","Mon","Tue","Wed","Thu","Fri","Sat")</f>
        <v>Thu</v>
      </c>
      <c r="L160" s="48">
        <v>0.85416666666666674</v>
      </c>
      <c r="M160" s="22"/>
      <c r="N160" s="22">
        <v>4.6399999999999997</v>
      </c>
      <c r="O160" s="22">
        <v>159</v>
      </c>
      <c r="P160" s="377" t="str">
        <f t="shared" si="2"/>
        <v/>
      </c>
      <c r="Q160" s="396" t="str">
        <f ca="1">VLOOKUP(EpisodeList[[#This Row],[Season Number]], INDIRECT("'" &amp; EpisodeList[[#This Row],[Show]] &amp; " Season Info'!C2:J15"), 8,1)</f>
        <v>2008-09</v>
      </c>
    </row>
    <row r="161" spans="1:17" x14ac:dyDescent="0.2">
      <c r="A161" s="9" t="s">
        <v>243</v>
      </c>
      <c r="B161" s="19" t="s">
        <v>223</v>
      </c>
      <c r="C161" s="19">
        <v>5</v>
      </c>
      <c r="D161" s="19" t="str">
        <f>A161&amp; " S" &amp;C161</f>
        <v>The Office S5</v>
      </c>
      <c r="E161" s="19">
        <v>99</v>
      </c>
      <c r="F161" s="19">
        <v>27</v>
      </c>
      <c r="G161" s="411" t="s">
        <v>363</v>
      </c>
      <c r="H161" s="19" t="s">
        <v>279</v>
      </c>
      <c r="I161" s="19" t="s">
        <v>364</v>
      </c>
      <c r="J161" s="440">
        <v>39940</v>
      </c>
      <c r="K161" s="19" t="str">
        <f>CHOOSE(WEEKDAY(J161),"Sun","Mon","Tue","Wed","Thu","Fri","Sat")</f>
        <v>Thu</v>
      </c>
      <c r="L161" s="46">
        <v>0.875</v>
      </c>
      <c r="M161" s="19">
        <v>5027</v>
      </c>
      <c r="N161" s="19">
        <v>7.71</v>
      </c>
      <c r="O161" s="19">
        <v>160</v>
      </c>
      <c r="P161" s="375" t="str">
        <f t="shared" si="2"/>
        <v/>
      </c>
      <c r="Q161" s="394" t="str">
        <f ca="1">VLOOKUP(EpisodeList[[#This Row],[Season Number]], INDIRECT("'" &amp; EpisodeList[[#This Row],[Show]] &amp; " Season Info'!C2:J15"), 8,1)</f>
        <v>2008-09</v>
      </c>
    </row>
    <row r="162" spans="1:17" x14ac:dyDescent="0.2">
      <c r="A162" s="15" t="s">
        <v>228</v>
      </c>
      <c r="B162" s="20" t="s">
        <v>221</v>
      </c>
      <c r="C162" s="20">
        <v>3</v>
      </c>
      <c r="D162" s="20" t="str">
        <f>A162&amp; " S" &amp;C162</f>
        <v>30 Rock S3</v>
      </c>
      <c r="E162" s="20">
        <v>57</v>
      </c>
      <c r="F162" s="20">
        <v>21</v>
      </c>
      <c r="G162" s="412" t="s">
        <v>102</v>
      </c>
      <c r="H162" s="20" t="s">
        <v>17</v>
      </c>
      <c r="I162" s="20" t="s">
        <v>57</v>
      </c>
      <c r="J162" s="441">
        <v>39940</v>
      </c>
      <c r="K162" s="20" t="str">
        <f>CHOOSE(WEEKDAY(J162),"Sun","Mon","Tue","Wed","Thu","Fri","Sat")</f>
        <v>Thu</v>
      </c>
      <c r="L162" s="47">
        <v>0.89583333333333326</v>
      </c>
      <c r="M162" s="20">
        <v>321</v>
      </c>
      <c r="N162" s="20">
        <v>6.2</v>
      </c>
      <c r="O162" s="20">
        <v>161</v>
      </c>
      <c r="P162" s="376" t="str">
        <f t="shared" si="2"/>
        <v/>
      </c>
      <c r="Q162" s="395" t="str">
        <f ca="1">VLOOKUP(EpisodeList[[#This Row],[Season Number]], INDIRECT("'" &amp; EpisodeList[[#This Row],[Show]] &amp; " Season Info'!C2:J15"), 8,1)</f>
        <v>2008-09</v>
      </c>
    </row>
    <row r="163" spans="1:17" x14ac:dyDescent="0.2">
      <c r="A163" s="21" t="s">
        <v>859</v>
      </c>
      <c r="B163" s="22" t="s">
        <v>219</v>
      </c>
      <c r="C163" s="22">
        <v>1</v>
      </c>
      <c r="D163" s="22" t="str">
        <f>A163&amp; " S" &amp;C163</f>
        <v>Parks and Rec S1</v>
      </c>
      <c r="E163" s="22">
        <v>6</v>
      </c>
      <c r="F163" s="22">
        <v>6</v>
      </c>
      <c r="G163" s="413" t="s">
        <v>699</v>
      </c>
      <c r="H163" s="22" t="s">
        <v>237</v>
      </c>
      <c r="I163" s="22" t="s">
        <v>698</v>
      </c>
      <c r="J163" s="442">
        <v>39947</v>
      </c>
      <c r="K163" s="22" t="str">
        <f>CHOOSE(WEEKDAY(J163),"Sun","Mon","Tue","Wed","Thu","Fri","Sat")</f>
        <v>Thu</v>
      </c>
      <c r="L163" s="48">
        <v>0.85416666666666674</v>
      </c>
      <c r="M163" s="22"/>
      <c r="N163" s="22">
        <v>4.25</v>
      </c>
      <c r="O163" s="22">
        <v>162</v>
      </c>
      <c r="P163" s="377" t="str">
        <f t="shared" si="2"/>
        <v/>
      </c>
      <c r="Q163" s="396" t="str">
        <f ca="1">VLOOKUP(EpisodeList[[#This Row],[Season Number]], INDIRECT("'" &amp; EpisodeList[[#This Row],[Show]] &amp; " Season Info'!C2:J15"), 8,1)</f>
        <v>2008-09</v>
      </c>
    </row>
    <row r="164" spans="1:17" x14ac:dyDescent="0.2">
      <c r="A164" s="9" t="s">
        <v>243</v>
      </c>
      <c r="B164" s="19" t="s">
        <v>223</v>
      </c>
      <c r="C164" s="19">
        <v>5</v>
      </c>
      <c r="D164" s="19" t="str">
        <f>A164&amp; " S" &amp;C164</f>
        <v>The Office S5</v>
      </c>
      <c r="E164" s="19">
        <v>100</v>
      </c>
      <c r="F164" s="19">
        <v>28</v>
      </c>
      <c r="G164" s="411" t="s">
        <v>365</v>
      </c>
      <c r="H164" s="19" t="s">
        <v>229</v>
      </c>
      <c r="I164" s="19" t="s">
        <v>327</v>
      </c>
      <c r="J164" s="440">
        <v>39947</v>
      </c>
      <c r="K164" s="19" t="str">
        <f>CHOOSE(WEEKDAY(J164),"Sun","Mon","Tue","Wed","Thu","Fri","Sat")</f>
        <v>Thu</v>
      </c>
      <c r="L164" s="46">
        <v>0.875</v>
      </c>
      <c r="M164" s="19">
        <v>5028</v>
      </c>
      <c r="N164" s="19">
        <v>6.72</v>
      </c>
      <c r="O164" s="19">
        <v>163</v>
      </c>
      <c r="P164" s="375" t="str">
        <f t="shared" si="2"/>
        <v/>
      </c>
      <c r="Q164" s="394" t="str">
        <f ca="1">VLOOKUP(EpisodeList[[#This Row],[Season Number]], INDIRECT("'" &amp; EpisodeList[[#This Row],[Show]] &amp; " Season Info'!C2:J15"), 8,1)</f>
        <v>2008-09</v>
      </c>
    </row>
    <row r="165" spans="1:17" x14ac:dyDescent="0.2">
      <c r="A165" s="15" t="s">
        <v>228</v>
      </c>
      <c r="B165" s="20" t="s">
        <v>221</v>
      </c>
      <c r="C165" s="20">
        <v>3</v>
      </c>
      <c r="D165" s="20" t="str">
        <f>A165&amp; " S" &amp;C165</f>
        <v>30 Rock S3</v>
      </c>
      <c r="E165" s="20">
        <v>58</v>
      </c>
      <c r="F165" s="20">
        <v>22</v>
      </c>
      <c r="G165" s="412" t="s">
        <v>103</v>
      </c>
      <c r="H165" s="20" t="s">
        <v>17</v>
      </c>
      <c r="I165" s="20" t="s">
        <v>45</v>
      </c>
      <c r="J165" s="441">
        <v>39947</v>
      </c>
      <c r="K165" s="20" t="str">
        <f>CHOOSE(WEEKDAY(J165),"Sun","Mon","Tue","Wed","Thu","Fri","Sat")</f>
        <v>Thu</v>
      </c>
      <c r="L165" s="47">
        <v>0.89583333333333326</v>
      </c>
      <c r="M165" s="20">
        <v>322</v>
      </c>
      <c r="N165" s="20">
        <v>5.7</v>
      </c>
      <c r="O165" s="20">
        <v>164</v>
      </c>
      <c r="P165" s="376" t="str">
        <f t="shared" si="2"/>
        <v/>
      </c>
      <c r="Q165" s="395" t="str">
        <f ca="1">VLOOKUP(EpisodeList[[#This Row],[Season Number]], INDIRECT("'" &amp; EpisodeList[[#This Row],[Show]] &amp; " Season Info'!C2:J15"), 8,1)</f>
        <v>2008-09</v>
      </c>
    </row>
    <row r="166" spans="1:17" x14ac:dyDescent="0.2">
      <c r="A166" s="21" t="s">
        <v>859</v>
      </c>
      <c r="B166" s="23" t="s">
        <v>220</v>
      </c>
      <c r="C166" s="23">
        <v>2</v>
      </c>
      <c r="D166" s="23" t="str">
        <f>A166&amp; " S" &amp;C166</f>
        <v>Parks and Rec S2</v>
      </c>
      <c r="E166" s="23">
        <v>7</v>
      </c>
      <c r="F166" s="23">
        <v>1</v>
      </c>
      <c r="G166" s="414" t="s">
        <v>700</v>
      </c>
      <c r="H166" s="23" t="s">
        <v>44</v>
      </c>
      <c r="I166" s="23" t="s">
        <v>698</v>
      </c>
      <c r="J166" s="443">
        <v>40073</v>
      </c>
      <c r="K166" s="23" t="str">
        <f>CHOOSE(WEEKDAY(J166),"Sun","Mon","Tue","Wed","Thu","Fri","Sat")</f>
        <v>Thu</v>
      </c>
      <c r="L166" s="49">
        <v>0.85416666666666674</v>
      </c>
      <c r="M166" s="23"/>
      <c r="N166" s="23">
        <v>5</v>
      </c>
      <c r="O166" s="23">
        <v>165</v>
      </c>
      <c r="P166" s="339" t="str">
        <f t="shared" si="2"/>
        <v/>
      </c>
      <c r="Q166" s="351" t="str">
        <f ca="1">VLOOKUP(EpisodeList[[#This Row],[Season Number]], INDIRECT("'" &amp; EpisodeList[[#This Row],[Show]] &amp; " Season Info'!C2:J15"), 8,1)</f>
        <v>2009-10</v>
      </c>
    </row>
    <row r="167" spans="1:17" x14ac:dyDescent="0.2">
      <c r="A167" s="9" t="s">
        <v>243</v>
      </c>
      <c r="B167" s="24" t="s">
        <v>224</v>
      </c>
      <c r="C167" s="24">
        <v>6</v>
      </c>
      <c r="D167" s="24" t="str">
        <f>A167&amp; " S" &amp;C167</f>
        <v>The Office S6</v>
      </c>
      <c r="E167" s="24">
        <v>101</v>
      </c>
      <c r="F167" s="24">
        <v>1</v>
      </c>
      <c r="G167" s="415" t="s">
        <v>366</v>
      </c>
      <c r="H167" s="24" t="s">
        <v>234</v>
      </c>
      <c r="I167" s="24" t="s">
        <v>234</v>
      </c>
      <c r="J167" s="444">
        <v>40073</v>
      </c>
      <c r="K167" s="24" t="str">
        <f>CHOOSE(WEEKDAY(J167),"Sun","Mon","Tue","Wed","Thu","Fri","Sat")</f>
        <v>Thu</v>
      </c>
      <c r="L167" s="50">
        <v>0.875</v>
      </c>
      <c r="M167" s="24">
        <v>6001</v>
      </c>
      <c r="N167" s="24">
        <v>8.1999999999999993</v>
      </c>
      <c r="O167" s="24">
        <v>166</v>
      </c>
      <c r="P167" s="340" t="str">
        <f t="shared" si="2"/>
        <v/>
      </c>
      <c r="Q167" s="352" t="str">
        <f ca="1">VLOOKUP(EpisodeList[[#This Row],[Season Number]], INDIRECT("'" &amp; EpisodeList[[#This Row],[Show]] &amp; " Season Info'!C2:J15"), 8,1)</f>
        <v>2009-10</v>
      </c>
    </row>
    <row r="168" spans="1:17" x14ac:dyDescent="0.2">
      <c r="A168" s="25" t="s">
        <v>687</v>
      </c>
      <c r="B168" s="26" t="s">
        <v>219</v>
      </c>
      <c r="C168" s="26">
        <v>1</v>
      </c>
      <c r="D168" s="26" t="str">
        <f>A168&amp; " S" &amp;C168</f>
        <v>Community S1</v>
      </c>
      <c r="E168" s="26">
        <v>1</v>
      </c>
      <c r="F168" s="26">
        <v>1</v>
      </c>
      <c r="G168" s="416" t="s">
        <v>7</v>
      </c>
      <c r="H168" s="26" t="s">
        <v>507</v>
      </c>
      <c r="I168" s="26" t="s">
        <v>508</v>
      </c>
      <c r="J168" s="445">
        <v>40073</v>
      </c>
      <c r="K168" s="26" t="str">
        <f>CHOOSE(WEEKDAY(J168),"Sun","Mon","Tue","Wed","Thu","Fri","Sat")</f>
        <v>Thu</v>
      </c>
      <c r="L168" s="51">
        <v>0.89583333333333326</v>
      </c>
      <c r="M168" s="26">
        <v>100</v>
      </c>
      <c r="N168" s="26">
        <v>7.89</v>
      </c>
      <c r="O168" s="26">
        <v>167</v>
      </c>
      <c r="P168" s="338" t="str">
        <f t="shared" si="2"/>
        <v/>
      </c>
      <c r="Q168" s="350" t="str">
        <f ca="1">VLOOKUP(EpisodeList[[#This Row],[Season Number]], INDIRECT("'" &amp; EpisodeList[[#This Row],[Show]] &amp; " Season Info'!C2:J15"), 8,1)</f>
        <v>2009-10</v>
      </c>
    </row>
    <row r="169" spans="1:17" x14ac:dyDescent="0.2">
      <c r="A169" s="21" t="s">
        <v>859</v>
      </c>
      <c r="B169" s="23" t="s">
        <v>220</v>
      </c>
      <c r="C169" s="23">
        <v>2</v>
      </c>
      <c r="D169" s="23" t="str">
        <f>A169&amp; " S" &amp;C169</f>
        <v>Parks and Rec S2</v>
      </c>
      <c r="E169" s="23">
        <v>8</v>
      </c>
      <c r="F169" s="23">
        <v>2</v>
      </c>
      <c r="G169" s="414" t="s">
        <v>701</v>
      </c>
      <c r="H169" s="23" t="s">
        <v>376</v>
      </c>
      <c r="I169" s="23" t="s">
        <v>690</v>
      </c>
      <c r="J169" s="443">
        <v>40080</v>
      </c>
      <c r="K169" s="23" t="str">
        <f>CHOOSE(WEEKDAY(J169),"Sun","Mon","Tue","Wed","Thu","Fri","Sat")</f>
        <v>Thu</v>
      </c>
      <c r="L169" s="49">
        <v>0.85416666666666674</v>
      </c>
      <c r="M169" s="23"/>
      <c r="N169" s="23">
        <v>4.22</v>
      </c>
      <c r="O169" s="23">
        <v>168</v>
      </c>
      <c r="P169" s="339" t="str">
        <f t="shared" si="2"/>
        <v/>
      </c>
      <c r="Q169" s="351" t="str">
        <f ca="1">VLOOKUP(EpisodeList[[#This Row],[Season Number]], INDIRECT("'" &amp; EpisodeList[[#This Row],[Show]] &amp; " Season Info'!C2:J15"), 8,1)</f>
        <v>2009-10</v>
      </c>
    </row>
    <row r="170" spans="1:17" x14ac:dyDescent="0.2">
      <c r="A170" s="9" t="s">
        <v>243</v>
      </c>
      <c r="B170" s="24" t="s">
        <v>224</v>
      </c>
      <c r="C170" s="24">
        <v>6</v>
      </c>
      <c r="D170" s="24" t="str">
        <f>A170&amp; " S" &amp;C170</f>
        <v>The Office S6</v>
      </c>
      <c r="E170" s="24">
        <v>102</v>
      </c>
      <c r="F170" s="24">
        <v>2</v>
      </c>
      <c r="G170" s="415" t="s">
        <v>367</v>
      </c>
      <c r="H170" s="24" t="s">
        <v>279</v>
      </c>
      <c r="I170" s="24" t="s">
        <v>335</v>
      </c>
      <c r="J170" s="444">
        <v>40080</v>
      </c>
      <c r="K170" s="24" t="str">
        <f>CHOOSE(WEEKDAY(J170),"Sun","Mon","Tue","Wed","Thu","Fri","Sat")</f>
        <v>Thu</v>
      </c>
      <c r="L170" s="50">
        <v>0.875</v>
      </c>
      <c r="M170" s="24">
        <v>6002</v>
      </c>
      <c r="N170" s="24">
        <v>7.33</v>
      </c>
      <c r="O170" s="24">
        <v>169</v>
      </c>
      <c r="P170" s="340" t="str">
        <f t="shared" si="2"/>
        <v/>
      </c>
      <c r="Q170" s="352" t="str">
        <f ca="1">VLOOKUP(EpisodeList[[#This Row],[Season Number]], INDIRECT("'" &amp; EpisodeList[[#This Row],[Show]] &amp; " Season Info'!C2:J15"), 8,1)</f>
        <v>2009-10</v>
      </c>
    </row>
    <row r="171" spans="1:17" x14ac:dyDescent="0.2">
      <c r="A171" s="25" t="s">
        <v>687</v>
      </c>
      <c r="B171" s="26" t="s">
        <v>219</v>
      </c>
      <c r="C171" s="26">
        <v>1</v>
      </c>
      <c r="D171" s="26" t="str">
        <f>A171&amp; " S" &amp;C171</f>
        <v>Community S1</v>
      </c>
      <c r="E171" s="26">
        <v>2</v>
      </c>
      <c r="F171" s="26">
        <v>2</v>
      </c>
      <c r="G171" s="416" t="s">
        <v>509</v>
      </c>
      <c r="H171" s="26" t="s">
        <v>510</v>
      </c>
      <c r="I171" s="26" t="s">
        <v>508</v>
      </c>
      <c r="J171" s="445">
        <v>40080</v>
      </c>
      <c r="K171" s="26" t="str">
        <f>CHOOSE(WEEKDAY(J171),"Sun","Mon","Tue","Wed","Thu","Fri","Sat")</f>
        <v>Thu</v>
      </c>
      <c r="L171" s="51">
        <v>0.89583333333333326</v>
      </c>
      <c r="M171" s="26">
        <v>101</v>
      </c>
      <c r="N171" s="26">
        <v>5.39</v>
      </c>
      <c r="O171" s="26">
        <v>170</v>
      </c>
      <c r="P171" s="338" t="str">
        <f t="shared" si="2"/>
        <v/>
      </c>
      <c r="Q171" s="350" t="str">
        <f ca="1">VLOOKUP(EpisodeList[[#This Row],[Season Number]], INDIRECT("'" &amp; EpisodeList[[#This Row],[Show]] &amp; " Season Info'!C2:J15"), 8,1)</f>
        <v>2009-10</v>
      </c>
    </row>
    <row r="172" spans="1:17" x14ac:dyDescent="0.2">
      <c r="A172" s="21" t="s">
        <v>859</v>
      </c>
      <c r="B172" s="23" t="s">
        <v>220</v>
      </c>
      <c r="C172" s="23">
        <v>2</v>
      </c>
      <c r="D172" s="23" t="str">
        <f>A172&amp; " S" &amp;C172</f>
        <v>Parks and Rec S2</v>
      </c>
      <c r="E172" s="23">
        <v>9</v>
      </c>
      <c r="F172" s="23">
        <v>3</v>
      </c>
      <c r="G172" s="414" t="s">
        <v>702</v>
      </c>
      <c r="H172" s="23" t="s">
        <v>703</v>
      </c>
      <c r="I172" s="23" t="s">
        <v>704</v>
      </c>
      <c r="J172" s="443">
        <v>40087</v>
      </c>
      <c r="K172" s="23" t="str">
        <f>CHOOSE(WEEKDAY(J172),"Sun","Mon","Tue","Wed","Thu","Fri","Sat")</f>
        <v>Thu</v>
      </c>
      <c r="L172" s="49">
        <v>0.85416666666666674</v>
      </c>
      <c r="M172" s="23"/>
      <c r="N172" s="23">
        <v>4.63</v>
      </c>
      <c r="O172" s="23">
        <v>171</v>
      </c>
      <c r="P172" s="339" t="str">
        <f t="shared" si="2"/>
        <v/>
      </c>
      <c r="Q172" s="351" t="str">
        <f ca="1">VLOOKUP(EpisodeList[[#This Row],[Season Number]], INDIRECT("'" &amp; EpisodeList[[#This Row],[Show]] &amp; " Season Info'!C2:J15"), 8,1)</f>
        <v>2009-10</v>
      </c>
    </row>
    <row r="173" spans="1:17" x14ac:dyDescent="0.2">
      <c r="A173" s="9" t="s">
        <v>243</v>
      </c>
      <c r="B173" s="24" t="s">
        <v>224</v>
      </c>
      <c r="C173" s="24">
        <v>6</v>
      </c>
      <c r="D173" s="24" t="str">
        <f>A173&amp; " S" &amp;C173</f>
        <v>The Office S6</v>
      </c>
      <c r="E173" s="24">
        <v>103</v>
      </c>
      <c r="F173" s="24">
        <v>3</v>
      </c>
      <c r="G173" s="415" t="s">
        <v>368</v>
      </c>
      <c r="H173" s="24" t="s">
        <v>255</v>
      </c>
      <c r="I173" s="24" t="s">
        <v>255</v>
      </c>
      <c r="J173" s="444">
        <v>40087</v>
      </c>
      <c r="K173" s="24" t="str">
        <f>CHOOSE(WEEKDAY(J173),"Sun","Mon","Tue","Wed","Thu","Fri","Sat")</f>
        <v>Thu</v>
      </c>
      <c r="L173" s="50">
        <v>0.875</v>
      </c>
      <c r="M173" s="24">
        <v>6003</v>
      </c>
      <c r="N173" s="24">
        <v>7.28</v>
      </c>
      <c r="O173" s="24">
        <v>172</v>
      </c>
      <c r="P173" s="340" t="str">
        <f t="shared" si="2"/>
        <v/>
      </c>
      <c r="Q173" s="352" t="str">
        <f ca="1">VLOOKUP(EpisodeList[[#This Row],[Season Number]], INDIRECT("'" &amp; EpisodeList[[#This Row],[Show]] &amp; " Season Info'!C2:J15"), 8,1)</f>
        <v>2009-10</v>
      </c>
    </row>
    <row r="174" spans="1:17" x14ac:dyDescent="0.2">
      <c r="A174" s="25" t="s">
        <v>687</v>
      </c>
      <c r="B174" s="26" t="s">
        <v>219</v>
      </c>
      <c r="C174" s="26">
        <v>1</v>
      </c>
      <c r="D174" s="26" t="str">
        <f>A174&amp; " S" &amp;C174</f>
        <v>Community S1</v>
      </c>
      <c r="E174" s="26">
        <v>3</v>
      </c>
      <c r="F174" s="26">
        <v>3</v>
      </c>
      <c r="G174" s="416" t="s">
        <v>511</v>
      </c>
      <c r="H174" s="26" t="s">
        <v>512</v>
      </c>
      <c r="I174" s="26" t="s">
        <v>513</v>
      </c>
      <c r="J174" s="445">
        <v>40087</v>
      </c>
      <c r="K174" s="26" t="str">
        <f>CHOOSE(WEEKDAY(J174),"Sun","Mon","Tue","Wed","Thu","Fri","Sat")</f>
        <v>Thu</v>
      </c>
      <c r="L174" s="51">
        <v>0.89583333333333326</v>
      </c>
      <c r="M174" s="26">
        <v>102</v>
      </c>
      <c r="N174" s="26">
        <v>5.86</v>
      </c>
      <c r="O174" s="26">
        <v>173</v>
      </c>
      <c r="P174" s="338" t="str">
        <f t="shared" si="2"/>
        <v/>
      </c>
      <c r="Q174" s="350" t="str">
        <f ca="1">VLOOKUP(EpisodeList[[#This Row],[Season Number]], INDIRECT("'" &amp; EpisodeList[[#This Row],[Show]] &amp; " Season Info'!C2:J15"), 8,1)</f>
        <v>2009-10</v>
      </c>
    </row>
    <row r="175" spans="1:17" x14ac:dyDescent="0.2">
      <c r="A175" s="25" t="s">
        <v>687</v>
      </c>
      <c r="B175" s="26" t="s">
        <v>219</v>
      </c>
      <c r="C175" s="26">
        <v>1</v>
      </c>
      <c r="D175" s="26" t="str">
        <f>A175&amp; " S" &amp;C175</f>
        <v>Community S1</v>
      </c>
      <c r="E175" s="26">
        <v>4</v>
      </c>
      <c r="F175" s="26">
        <v>4</v>
      </c>
      <c r="G175" s="416" t="s">
        <v>514</v>
      </c>
      <c r="H175" s="26" t="s">
        <v>512</v>
      </c>
      <c r="I175" s="26" t="s">
        <v>515</v>
      </c>
      <c r="J175" s="445">
        <v>40094</v>
      </c>
      <c r="K175" s="26" t="str">
        <f>CHOOSE(WEEKDAY(J175),"Sun","Mon","Tue","Wed","Thu","Fri","Sat")</f>
        <v>Thu</v>
      </c>
      <c r="L175" s="51">
        <v>0.83333333333333326</v>
      </c>
      <c r="M175" s="26">
        <v>104</v>
      </c>
      <c r="N175" s="26">
        <v>4.87</v>
      </c>
      <c r="O175" s="26">
        <v>174</v>
      </c>
      <c r="P175" s="338" t="str">
        <f t="shared" si="2"/>
        <v/>
      </c>
      <c r="Q175" s="350" t="str">
        <f ca="1">VLOOKUP(EpisodeList[[#This Row],[Season Number]], INDIRECT("'" &amp; EpisodeList[[#This Row],[Show]] &amp; " Season Info'!C2:J15"), 8,1)</f>
        <v>2009-10</v>
      </c>
    </row>
    <row r="176" spans="1:17" x14ac:dyDescent="0.2">
      <c r="A176" s="21" t="s">
        <v>859</v>
      </c>
      <c r="B176" s="23" t="s">
        <v>220</v>
      </c>
      <c r="C176" s="23">
        <v>2</v>
      </c>
      <c r="D176" s="23" t="str">
        <f>A176&amp; " S" &amp;C176</f>
        <v>Parks and Rec S2</v>
      </c>
      <c r="E176" s="23">
        <v>10</v>
      </c>
      <c r="F176" s="23">
        <v>4</v>
      </c>
      <c r="G176" s="414" t="s">
        <v>705</v>
      </c>
      <c r="H176" s="23" t="s">
        <v>405</v>
      </c>
      <c r="I176" s="23" t="s">
        <v>706</v>
      </c>
      <c r="J176" s="443">
        <v>40094</v>
      </c>
      <c r="K176" s="23" t="str">
        <f>CHOOSE(WEEKDAY(J176),"Sun","Mon","Tue","Wed","Thu","Fri","Sat")</f>
        <v>Thu</v>
      </c>
      <c r="L176" s="49">
        <v>0.85416666666666674</v>
      </c>
      <c r="M176" s="23"/>
      <c r="N176" s="23">
        <v>4.97</v>
      </c>
      <c r="O176" s="23">
        <v>175</v>
      </c>
      <c r="P176" s="339" t="str">
        <f t="shared" si="2"/>
        <v/>
      </c>
      <c r="Q176" s="351" t="str">
        <f ca="1">VLOOKUP(EpisodeList[[#This Row],[Season Number]], INDIRECT("'" &amp; EpisodeList[[#This Row],[Show]] &amp; " Season Info'!C2:J15"), 8,1)</f>
        <v>2009-10</v>
      </c>
    </row>
    <row r="177" spans="1:17" x14ac:dyDescent="0.2">
      <c r="A177" s="9" t="s">
        <v>243</v>
      </c>
      <c r="B177" s="24" t="s">
        <v>224</v>
      </c>
      <c r="C177" s="24">
        <v>6</v>
      </c>
      <c r="D177" s="24" t="str">
        <f>A177&amp; " S" &amp;C177</f>
        <v>The Office S6</v>
      </c>
      <c r="E177" s="24">
        <v>104</v>
      </c>
      <c r="F177" s="24">
        <v>4</v>
      </c>
      <c r="G177" s="415" t="s">
        <v>494</v>
      </c>
      <c r="H177" s="24" t="s">
        <v>44</v>
      </c>
      <c r="I177" s="24" t="s">
        <v>369</v>
      </c>
      <c r="J177" s="444">
        <v>40094</v>
      </c>
      <c r="K177" s="24" t="str">
        <f>CHOOSE(WEEKDAY(J177),"Sun","Mon","Tue","Wed","Thu","Fri","Sat")</f>
        <v>Thu</v>
      </c>
      <c r="L177" s="50">
        <v>0.875</v>
      </c>
      <c r="M177" s="24">
        <v>6004</v>
      </c>
      <c r="N177" s="24">
        <v>9.42</v>
      </c>
      <c r="O177" s="24">
        <v>176</v>
      </c>
      <c r="P177" s="340" t="str">
        <f t="shared" si="2"/>
        <v/>
      </c>
      <c r="Q177" s="352" t="str">
        <f ca="1">VLOOKUP(EpisodeList[[#This Row],[Season Number]], INDIRECT("'" &amp; EpisodeList[[#This Row],[Show]] &amp; " Season Info'!C2:J15"), 8,1)</f>
        <v>2009-10</v>
      </c>
    </row>
    <row r="178" spans="1:17" x14ac:dyDescent="0.2">
      <c r="A178" s="9" t="s">
        <v>243</v>
      </c>
      <c r="B178" s="24" t="s">
        <v>224</v>
      </c>
      <c r="C178" s="24">
        <v>6</v>
      </c>
      <c r="D178" s="24" t="str">
        <f>A178&amp; " S" &amp;C178</f>
        <v>The Office S6</v>
      </c>
      <c r="E178" s="24">
        <v>105</v>
      </c>
      <c r="F178" s="24">
        <v>5</v>
      </c>
      <c r="G178" s="415" t="s">
        <v>494</v>
      </c>
      <c r="H178" s="24" t="s">
        <v>44</v>
      </c>
      <c r="I178" s="24" t="s">
        <v>369</v>
      </c>
      <c r="J178" s="444">
        <v>40094</v>
      </c>
      <c r="K178" s="24" t="str">
        <f>CHOOSE(WEEKDAY(J178),"Sun","Mon","Tue","Wed","Thu","Fri","Sat")</f>
        <v>Thu</v>
      </c>
      <c r="L178" s="50">
        <v>0.89583333333333337</v>
      </c>
      <c r="M178" s="24">
        <v>6005</v>
      </c>
      <c r="N178" s="24">
        <v>9.42</v>
      </c>
      <c r="O178" s="24">
        <v>177</v>
      </c>
      <c r="P178" s="340" t="str">
        <f t="shared" si="2"/>
        <v/>
      </c>
      <c r="Q178" s="352" t="str">
        <f ca="1">VLOOKUP(EpisodeList[[#This Row],[Season Number]], INDIRECT("'" &amp; EpisodeList[[#This Row],[Show]] &amp; " Season Info'!C2:J15"), 8,1)</f>
        <v>2009-10</v>
      </c>
    </row>
    <row r="179" spans="1:17" x14ac:dyDescent="0.2">
      <c r="A179" s="25" t="s">
        <v>687</v>
      </c>
      <c r="B179" s="26" t="s">
        <v>219</v>
      </c>
      <c r="C179" s="26">
        <v>1</v>
      </c>
      <c r="D179" s="26" t="str">
        <f>A179&amp; " S" &amp;C179</f>
        <v>Community S1</v>
      </c>
      <c r="E179" s="26">
        <v>5</v>
      </c>
      <c r="F179" s="26">
        <v>5</v>
      </c>
      <c r="G179" s="416" t="s">
        <v>516</v>
      </c>
      <c r="H179" s="26" t="s">
        <v>510</v>
      </c>
      <c r="I179" s="26" t="s">
        <v>517</v>
      </c>
      <c r="J179" s="445">
        <v>40101</v>
      </c>
      <c r="K179" s="26" t="str">
        <f>CHOOSE(WEEKDAY(J179),"Sun","Mon","Tue","Wed","Thu","Fri","Sat")</f>
        <v>Thu</v>
      </c>
      <c r="L179" s="51">
        <v>0.83333333333333326</v>
      </c>
      <c r="M179" s="26">
        <v>105</v>
      </c>
      <c r="N179" s="26">
        <v>5.01</v>
      </c>
      <c r="O179" s="26">
        <v>178</v>
      </c>
      <c r="P179" s="338" t="str">
        <f t="shared" si="2"/>
        <v>Yes</v>
      </c>
      <c r="Q179" s="350" t="str">
        <f ca="1">VLOOKUP(EpisodeList[[#This Row],[Season Number]], INDIRECT("'" &amp; EpisodeList[[#This Row],[Show]] &amp; " Season Info'!C2:J15"), 8,1)</f>
        <v>2009-10</v>
      </c>
    </row>
    <row r="180" spans="1:17" x14ac:dyDescent="0.2">
      <c r="A180" s="21" t="s">
        <v>859</v>
      </c>
      <c r="B180" s="23" t="s">
        <v>220</v>
      </c>
      <c r="C180" s="23">
        <v>2</v>
      </c>
      <c r="D180" s="23" t="str">
        <f>A180&amp; " S" &amp;C180</f>
        <v>Parks and Rec S2</v>
      </c>
      <c r="E180" s="23">
        <v>11</v>
      </c>
      <c r="F180" s="23">
        <v>5</v>
      </c>
      <c r="G180" s="414" t="s">
        <v>707</v>
      </c>
      <c r="H180" s="23" t="s">
        <v>237</v>
      </c>
      <c r="I180" s="23" t="s">
        <v>695</v>
      </c>
      <c r="J180" s="443">
        <v>40101</v>
      </c>
      <c r="K180" s="23" t="str">
        <f>CHOOSE(WEEKDAY(J180),"Sun","Mon","Tue","Wed","Thu","Fri","Sat")</f>
        <v>Thu</v>
      </c>
      <c r="L180" s="49">
        <v>0.85416666666666674</v>
      </c>
      <c r="M180" s="23"/>
      <c r="N180" s="23">
        <v>4.6900000000000004</v>
      </c>
      <c r="O180" s="23">
        <v>179</v>
      </c>
      <c r="P180" s="339" t="str">
        <f t="shared" si="2"/>
        <v>Yes</v>
      </c>
      <c r="Q180" s="351" t="str">
        <f ca="1">VLOOKUP(EpisodeList[[#This Row],[Season Number]], INDIRECT("'" &amp; EpisodeList[[#This Row],[Show]] &amp; " Season Info'!C2:J15"), 8,1)</f>
        <v>2009-10</v>
      </c>
    </row>
    <row r="181" spans="1:17" x14ac:dyDescent="0.2">
      <c r="A181" s="9" t="s">
        <v>243</v>
      </c>
      <c r="B181" s="24" t="s">
        <v>224</v>
      </c>
      <c r="C181" s="24">
        <v>6</v>
      </c>
      <c r="D181" s="24" t="str">
        <f>A181&amp; " S" &amp;C181</f>
        <v>The Office S6</v>
      </c>
      <c r="E181" s="24">
        <v>106</v>
      </c>
      <c r="F181" s="24">
        <v>6</v>
      </c>
      <c r="G181" s="415" t="s">
        <v>370</v>
      </c>
      <c r="H181" s="24" t="s">
        <v>339</v>
      </c>
      <c r="I181" s="24" t="s">
        <v>284</v>
      </c>
      <c r="J181" s="444">
        <v>40101</v>
      </c>
      <c r="K181" s="24" t="str">
        <f>CHOOSE(WEEKDAY(J181),"Sun","Mon","Tue","Wed","Thu","Fri","Sat")</f>
        <v>Thu</v>
      </c>
      <c r="L181" s="50">
        <v>0.875</v>
      </c>
      <c r="M181" s="24">
        <v>6006</v>
      </c>
      <c r="N181" s="24">
        <v>8.1</v>
      </c>
      <c r="O181" s="24">
        <v>180</v>
      </c>
      <c r="P181" s="340" t="str">
        <f t="shared" si="2"/>
        <v>Yes</v>
      </c>
      <c r="Q181" s="352" t="str">
        <f ca="1">VLOOKUP(EpisodeList[[#This Row],[Season Number]], INDIRECT("'" &amp; EpisodeList[[#This Row],[Show]] &amp; " Season Info'!C2:J15"), 8,1)</f>
        <v>2009-10</v>
      </c>
    </row>
    <row r="182" spans="1:17" x14ac:dyDescent="0.2">
      <c r="A182" s="15" t="s">
        <v>228</v>
      </c>
      <c r="B182" s="27" t="s">
        <v>222</v>
      </c>
      <c r="C182" s="27">
        <v>4</v>
      </c>
      <c r="D182" s="27" t="str">
        <f>A182&amp; " S" &amp;C182</f>
        <v>30 Rock S4</v>
      </c>
      <c r="E182" s="27">
        <v>59</v>
      </c>
      <c r="F182" s="27">
        <v>1</v>
      </c>
      <c r="G182" s="417" t="s">
        <v>104</v>
      </c>
      <c r="H182" s="27" t="s">
        <v>17</v>
      </c>
      <c r="I182" s="27" t="s">
        <v>9</v>
      </c>
      <c r="J182" s="446">
        <v>40101</v>
      </c>
      <c r="K182" s="27" t="str">
        <f>CHOOSE(WEEKDAY(J182),"Sun","Mon","Tue","Wed","Thu","Fri","Sat")</f>
        <v>Thu</v>
      </c>
      <c r="L182" s="52">
        <v>0.89583333333333326</v>
      </c>
      <c r="M182" s="27">
        <v>401</v>
      </c>
      <c r="N182" s="27">
        <v>6.39</v>
      </c>
      <c r="O182" s="27">
        <v>181</v>
      </c>
      <c r="P182" s="341" t="str">
        <f t="shared" si="2"/>
        <v>Yes</v>
      </c>
      <c r="Q182" s="353" t="str">
        <f ca="1">VLOOKUP(EpisodeList[[#This Row],[Season Number]], INDIRECT("'" &amp; EpisodeList[[#This Row],[Show]] &amp; " Season Info'!C2:J15"), 8,1)</f>
        <v>2009-10</v>
      </c>
    </row>
    <row r="183" spans="1:17" x14ac:dyDescent="0.2">
      <c r="A183" s="25" t="s">
        <v>687</v>
      </c>
      <c r="B183" s="26" t="s">
        <v>219</v>
      </c>
      <c r="C183" s="26">
        <v>1</v>
      </c>
      <c r="D183" s="26" t="str">
        <f>A183&amp; " S" &amp;C183</f>
        <v>Community S1</v>
      </c>
      <c r="E183" s="26">
        <v>6</v>
      </c>
      <c r="F183" s="26">
        <v>6</v>
      </c>
      <c r="G183" s="416" t="s">
        <v>518</v>
      </c>
      <c r="H183" s="26" t="s">
        <v>510</v>
      </c>
      <c r="I183" s="26" t="s">
        <v>519</v>
      </c>
      <c r="J183" s="445">
        <v>40108</v>
      </c>
      <c r="K183" s="26" t="str">
        <f>CHOOSE(WEEKDAY(J183),"Sun","Mon","Tue","Wed","Thu","Fri","Sat")</f>
        <v>Thu</v>
      </c>
      <c r="L183" s="51">
        <v>0.83333333333333326</v>
      </c>
      <c r="M183" s="26">
        <v>103</v>
      </c>
      <c r="N183" s="26">
        <v>5.18</v>
      </c>
      <c r="O183" s="26">
        <v>182</v>
      </c>
      <c r="P183" s="338" t="str">
        <f t="shared" si="2"/>
        <v>Yes</v>
      </c>
      <c r="Q183" s="350" t="str">
        <f ca="1">VLOOKUP(EpisodeList[[#This Row],[Season Number]], INDIRECT("'" &amp; EpisodeList[[#This Row],[Show]] &amp; " Season Info'!C2:J15"), 8,1)</f>
        <v>2009-10</v>
      </c>
    </row>
    <row r="184" spans="1:17" x14ac:dyDescent="0.2">
      <c r="A184" s="21" t="s">
        <v>859</v>
      </c>
      <c r="B184" s="23" t="s">
        <v>220</v>
      </c>
      <c r="C184" s="23">
        <v>2</v>
      </c>
      <c r="D184" s="23" t="str">
        <f>A184&amp; " S" &amp;C184</f>
        <v>Parks and Rec S2</v>
      </c>
      <c r="E184" s="23">
        <v>12</v>
      </c>
      <c r="F184" s="23">
        <v>6</v>
      </c>
      <c r="G184" s="414" t="s">
        <v>708</v>
      </c>
      <c r="H184" s="23" t="s">
        <v>257</v>
      </c>
      <c r="I184" s="23" t="s">
        <v>709</v>
      </c>
      <c r="J184" s="443">
        <v>40108</v>
      </c>
      <c r="K184" s="23" t="str">
        <f>CHOOSE(WEEKDAY(J184),"Sun","Mon","Tue","Wed","Thu","Fri","Sat")</f>
        <v>Thu</v>
      </c>
      <c r="L184" s="49">
        <v>0.85416666666666674</v>
      </c>
      <c r="M184" s="23"/>
      <c r="N184" s="23">
        <v>4.9800000000000004</v>
      </c>
      <c r="O184" s="23">
        <v>183</v>
      </c>
      <c r="P184" s="339" t="str">
        <f t="shared" si="2"/>
        <v>Yes</v>
      </c>
      <c r="Q184" s="351" t="str">
        <f ca="1">VLOOKUP(EpisodeList[[#This Row],[Season Number]], INDIRECT("'" &amp; EpisodeList[[#This Row],[Show]] &amp; " Season Info'!C2:J15"), 8,1)</f>
        <v>2009-10</v>
      </c>
    </row>
    <row r="185" spans="1:17" x14ac:dyDescent="0.2">
      <c r="A185" s="9" t="s">
        <v>243</v>
      </c>
      <c r="B185" s="24" t="s">
        <v>224</v>
      </c>
      <c r="C185" s="24">
        <v>6</v>
      </c>
      <c r="D185" s="24" t="str">
        <f>A185&amp; " S" &amp;C185</f>
        <v>The Office S6</v>
      </c>
      <c r="E185" s="24">
        <v>107</v>
      </c>
      <c r="F185" s="24">
        <v>7</v>
      </c>
      <c r="G185" s="415" t="s">
        <v>371</v>
      </c>
      <c r="H185" s="24" t="s">
        <v>372</v>
      </c>
      <c r="I185" s="24" t="s">
        <v>261</v>
      </c>
      <c r="J185" s="444">
        <v>40108</v>
      </c>
      <c r="K185" s="24" t="str">
        <f>CHOOSE(WEEKDAY(J185),"Sun","Mon","Tue","Wed","Thu","Fri","Sat")</f>
        <v>Thu</v>
      </c>
      <c r="L185" s="50">
        <v>0.875</v>
      </c>
      <c r="M185" s="24">
        <v>6007</v>
      </c>
      <c r="N185" s="24">
        <v>8.52</v>
      </c>
      <c r="O185" s="24">
        <v>184</v>
      </c>
      <c r="P185" s="340" t="str">
        <f t="shared" si="2"/>
        <v>Yes</v>
      </c>
      <c r="Q185" s="352" t="str">
        <f ca="1">VLOOKUP(EpisodeList[[#This Row],[Season Number]], INDIRECT("'" &amp; EpisodeList[[#This Row],[Show]] &amp; " Season Info'!C2:J15"), 8,1)</f>
        <v>2009-10</v>
      </c>
    </row>
    <row r="186" spans="1:17" x14ac:dyDescent="0.2">
      <c r="A186" s="15" t="s">
        <v>228</v>
      </c>
      <c r="B186" s="27" t="s">
        <v>222</v>
      </c>
      <c r="C186" s="27">
        <v>4</v>
      </c>
      <c r="D186" s="27" t="str">
        <f>A186&amp; " S" &amp;C186</f>
        <v>30 Rock S4</v>
      </c>
      <c r="E186" s="27">
        <v>60</v>
      </c>
      <c r="F186" s="27">
        <v>2</v>
      </c>
      <c r="G186" s="417" t="s">
        <v>105</v>
      </c>
      <c r="H186" s="27" t="s">
        <v>106</v>
      </c>
      <c r="I186" s="27" t="s">
        <v>15</v>
      </c>
      <c r="J186" s="446">
        <v>40108</v>
      </c>
      <c r="K186" s="27" t="str">
        <f>CHOOSE(WEEKDAY(J186),"Sun","Mon","Tue","Wed","Thu","Fri","Sat")</f>
        <v>Thu</v>
      </c>
      <c r="L186" s="52">
        <v>0.89583333333333326</v>
      </c>
      <c r="M186" s="27">
        <v>402</v>
      </c>
      <c r="N186" s="27">
        <v>6.68</v>
      </c>
      <c r="O186" s="27">
        <v>185</v>
      </c>
      <c r="P186" s="341" t="str">
        <f t="shared" si="2"/>
        <v>Yes</v>
      </c>
      <c r="Q186" s="353" t="str">
        <f ca="1">VLOOKUP(EpisodeList[[#This Row],[Season Number]], INDIRECT("'" &amp; EpisodeList[[#This Row],[Show]] &amp; " Season Info'!C2:J15"), 8,1)</f>
        <v>2009-10</v>
      </c>
    </row>
    <row r="187" spans="1:17" x14ac:dyDescent="0.2">
      <c r="A187" s="25" t="s">
        <v>687</v>
      </c>
      <c r="B187" s="26" t="s">
        <v>219</v>
      </c>
      <c r="C187" s="26">
        <v>1</v>
      </c>
      <c r="D187" s="26" t="str">
        <f>A187&amp; " S" &amp;C187</f>
        <v>Community S1</v>
      </c>
      <c r="E187" s="26">
        <v>7</v>
      </c>
      <c r="F187" s="26">
        <v>7</v>
      </c>
      <c r="G187" s="416" t="s">
        <v>520</v>
      </c>
      <c r="H187" s="26" t="s">
        <v>521</v>
      </c>
      <c r="I187" s="26" t="s">
        <v>513</v>
      </c>
      <c r="J187" s="445">
        <v>40115</v>
      </c>
      <c r="K187" s="26" t="str">
        <f>CHOOSE(WEEKDAY(J187),"Sun","Mon","Tue","Wed","Thu","Fri","Sat")</f>
        <v>Thu</v>
      </c>
      <c r="L187" s="51">
        <v>0.83333333333333326</v>
      </c>
      <c r="M187" s="26">
        <v>106</v>
      </c>
      <c r="N187" s="26">
        <v>5.32</v>
      </c>
      <c r="O187" s="26">
        <v>186</v>
      </c>
      <c r="P187" s="338" t="str">
        <f t="shared" si="2"/>
        <v>Yes</v>
      </c>
      <c r="Q187" s="350" t="str">
        <f ca="1">VLOOKUP(EpisodeList[[#This Row],[Season Number]], INDIRECT("'" &amp; EpisodeList[[#This Row],[Show]] &amp; " Season Info'!C2:J15"), 8,1)</f>
        <v>2009-10</v>
      </c>
    </row>
    <row r="188" spans="1:17" x14ac:dyDescent="0.2">
      <c r="A188" s="21" t="s">
        <v>859</v>
      </c>
      <c r="B188" s="23" t="s">
        <v>220</v>
      </c>
      <c r="C188" s="23">
        <v>2</v>
      </c>
      <c r="D188" s="23" t="str">
        <f>A188&amp; " S" &amp;C188</f>
        <v>Parks and Rec S2</v>
      </c>
      <c r="E188" s="23">
        <v>13</v>
      </c>
      <c r="F188" s="23">
        <v>7</v>
      </c>
      <c r="G188" s="414" t="s">
        <v>710</v>
      </c>
      <c r="H188" s="23" t="s">
        <v>348</v>
      </c>
      <c r="I188" s="23" t="s">
        <v>237</v>
      </c>
      <c r="J188" s="443">
        <v>40115</v>
      </c>
      <c r="K188" s="23" t="str">
        <f>CHOOSE(WEEKDAY(J188),"Sun","Mon","Tue","Wed","Thu","Fri","Sat")</f>
        <v>Thu</v>
      </c>
      <c r="L188" s="49">
        <v>0.85416666666666674</v>
      </c>
      <c r="M188" s="23"/>
      <c r="N188" s="23">
        <v>4.96</v>
      </c>
      <c r="O188" s="23">
        <v>187</v>
      </c>
      <c r="P188" s="339" t="str">
        <f t="shared" si="2"/>
        <v>Yes</v>
      </c>
      <c r="Q188" s="351" t="str">
        <f ca="1">VLOOKUP(EpisodeList[[#This Row],[Season Number]], INDIRECT("'" &amp; EpisodeList[[#This Row],[Show]] &amp; " Season Info'!C2:J15"), 8,1)</f>
        <v>2009-10</v>
      </c>
    </row>
    <row r="189" spans="1:17" x14ac:dyDescent="0.2">
      <c r="A189" s="9" t="s">
        <v>243</v>
      </c>
      <c r="B189" s="24" t="s">
        <v>224</v>
      </c>
      <c r="C189" s="24">
        <v>6</v>
      </c>
      <c r="D189" s="24" t="str">
        <f>A189&amp; " S" &amp;C189</f>
        <v>The Office S6</v>
      </c>
      <c r="E189" s="24">
        <v>108</v>
      </c>
      <c r="F189" s="24">
        <v>8</v>
      </c>
      <c r="G189" s="415" t="s">
        <v>373</v>
      </c>
      <c r="H189" s="24" t="s">
        <v>374</v>
      </c>
      <c r="I189" s="24" t="s">
        <v>364</v>
      </c>
      <c r="J189" s="444">
        <v>40115</v>
      </c>
      <c r="K189" s="24" t="str">
        <f>CHOOSE(WEEKDAY(J189),"Sun","Mon","Tue","Wed","Thu","Fri","Sat")</f>
        <v>Thu</v>
      </c>
      <c r="L189" s="50">
        <v>0.875</v>
      </c>
      <c r="M189" s="24">
        <v>6009</v>
      </c>
      <c r="N189" s="24">
        <v>8.1999999999999993</v>
      </c>
      <c r="O189" s="24">
        <v>188</v>
      </c>
      <c r="P189" s="340" t="str">
        <f t="shared" si="2"/>
        <v>Yes</v>
      </c>
      <c r="Q189" s="352" t="str">
        <f ca="1">VLOOKUP(EpisodeList[[#This Row],[Season Number]], INDIRECT("'" &amp; EpisodeList[[#This Row],[Show]] &amp; " Season Info'!C2:J15"), 8,1)</f>
        <v>2009-10</v>
      </c>
    </row>
    <row r="190" spans="1:17" x14ac:dyDescent="0.2">
      <c r="A190" s="15" t="s">
        <v>228</v>
      </c>
      <c r="B190" s="27" t="s">
        <v>222</v>
      </c>
      <c r="C190" s="27">
        <v>4</v>
      </c>
      <c r="D190" s="27" t="str">
        <f>A190&amp; " S" &amp;C190</f>
        <v>30 Rock S4</v>
      </c>
      <c r="E190" s="27">
        <v>61</v>
      </c>
      <c r="F190" s="27">
        <v>3</v>
      </c>
      <c r="G190" s="417" t="s">
        <v>107</v>
      </c>
      <c r="H190" s="27" t="s">
        <v>17</v>
      </c>
      <c r="I190" s="27" t="s">
        <v>12</v>
      </c>
      <c r="J190" s="446">
        <v>40115</v>
      </c>
      <c r="K190" s="27" t="str">
        <f>CHOOSE(WEEKDAY(J190),"Sun","Mon","Tue","Wed","Thu","Fri","Sat")</f>
        <v>Thu</v>
      </c>
      <c r="L190" s="52">
        <v>0.89583333333333326</v>
      </c>
      <c r="M190" s="27">
        <v>403</v>
      </c>
      <c r="N190" s="27">
        <v>6.01</v>
      </c>
      <c r="O190" s="27">
        <v>189</v>
      </c>
      <c r="P190" s="341" t="str">
        <f t="shared" si="2"/>
        <v>Yes</v>
      </c>
      <c r="Q190" s="353" t="str">
        <f ca="1">VLOOKUP(EpisodeList[[#This Row],[Season Number]], INDIRECT("'" &amp; EpisodeList[[#This Row],[Show]] &amp; " Season Info'!C2:J15"), 8,1)</f>
        <v>2009-10</v>
      </c>
    </row>
    <row r="191" spans="1:17" x14ac:dyDescent="0.2">
      <c r="A191" s="25" t="s">
        <v>687</v>
      </c>
      <c r="B191" s="26" t="s">
        <v>219</v>
      </c>
      <c r="C191" s="26">
        <v>1</v>
      </c>
      <c r="D191" s="26" t="str">
        <f>A191&amp; " S" &amp;C191</f>
        <v>Community S1</v>
      </c>
      <c r="E191" s="26">
        <v>8</v>
      </c>
      <c r="F191" s="26">
        <v>8</v>
      </c>
      <c r="G191" s="416" t="s">
        <v>522</v>
      </c>
      <c r="H191" s="26" t="s">
        <v>512</v>
      </c>
      <c r="I191" s="26" t="s">
        <v>523</v>
      </c>
      <c r="J191" s="445">
        <v>40122</v>
      </c>
      <c r="K191" s="26" t="str">
        <f>CHOOSE(WEEKDAY(J191),"Sun","Mon","Tue","Wed","Thu","Fri","Sat")</f>
        <v>Thu</v>
      </c>
      <c r="L191" s="51">
        <v>0.83333333333333326</v>
      </c>
      <c r="M191" s="26">
        <v>107</v>
      </c>
      <c r="N191" s="26">
        <v>5.45</v>
      </c>
      <c r="O191" s="26">
        <v>190</v>
      </c>
      <c r="P191" s="338" t="str">
        <f t="shared" si="2"/>
        <v>Yes</v>
      </c>
      <c r="Q191" s="350" t="str">
        <f ca="1">VLOOKUP(EpisodeList[[#This Row],[Season Number]], INDIRECT("'" &amp; EpisodeList[[#This Row],[Show]] &amp; " Season Info'!C2:J15"), 8,1)</f>
        <v>2009-10</v>
      </c>
    </row>
    <row r="192" spans="1:17" x14ac:dyDescent="0.2">
      <c r="A192" s="21" t="s">
        <v>859</v>
      </c>
      <c r="B192" s="23" t="s">
        <v>220</v>
      </c>
      <c r="C192" s="23">
        <v>2</v>
      </c>
      <c r="D192" s="23" t="str">
        <f>A192&amp; " S" &amp;C192</f>
        <v>Parks and Rec S2</v>
      </c>
      <c r="E192" s="23">
        <v>14</v>
      </c>
      <c r="F192" s="23">
        <v>8</v>
      </c>
      <c r="G192" s="414" t="s">
        <v>711</v>
      </c>
      <c r="H192" s="23" t="s">
        <v>428</v>
      </c>
      <c r="I192" s="23" t="s">
        <v>712</v>
      </c>
      <c r="J192" s="443">
        <v>40122</v>
      </c>
      <c r="K192" s="23" t="str">
        <f>CHOOSE(WEEKDAY(J192),"Sun","Mon","Tue","Wed","Thu","Fri","Sat")</f>
        <v>Thu</v>
      </c>
      <c r="L192" s="49">
        <v>0.85416666666666674</v>
      </c>
      <c r="M192" s="23"/>
      <c r="N192" s="23">
        <v>4.9400000000000004</v>
      </c>
      <c r="O192" s="23">
        <v>191</v>
      </c>
      <c r="P192" s="339" t="str">
        <f t="shared" si="2"/>
        <v>Yes</v>
      </c>
      <c r="Q192" s="351" t="str">
        <f ca="1">VLOOKUP(EpisodeList[[#This Row],[Season Number]], INDIRECT("'" &amp; EpisodeList[[#This Row],[Show]] &amp; " Season Info'!C2:J15"), 8,1)</f>
        <v>2009-10</v>
      </c>
    </row>
    <row r="193" spans="1:17" x14ac:dyDescent="0.2">
      <c r="A193" s="9" t="s">
        <v>243</v>
      </c>
      <c r="B193" s="24" t="s">
        <v>224</v>
      </c>
      <c r="C193" s="24">
        <v>6</v>
      </c>
      <c r="D193" s="24" t="str">
        <f>A193&amp; " S" &amp;C193</f>
        <v>The Office S6</v>
      </c>
      <c r="E193" s="24">
        <v>109</v>
      </c>
      <c r="F193" s="24">
        <v>9</v>
      </c>
      <c r="G193" s="415" t="s">
        <v>375</v>
      </c>
      <c r="H193" s="24" t="s">
        <v>376</v>
      </c>
      <c r="I193" s="24" t="s">
        <v>337</v>
      </c>
      <c r="J193" s="444">
        <v>40122</v>
      </c>
      <c r="K193" s="24" t="str">
        <f>CHOOSE(WEEKDAY(J193),"Sun","Mon","Tue","Wed","Thu","Fri","Sat")</f>
        <v>Thu</v>
      </c>
      <c r="L193" s="50">
        <v>0.875</v>
      </c>
      <c r="M193" s="24">
        <v>6008</v>
      </c>
      <c r="N193" s="24">
        <v>7.94</v>
      </c>
      <c r="O193" s="24">
        <v>192</v>
      </c>
      <c r="P193" s="340" t="str">
        <f t="shared" si="2"/>
        <v>Yes</v>
      </c>
      <c r="Q193" s="352" t="str">
        <f ca="1">VLOOKUP(EpisodeList[[#This Row],[Season Number]], INDIRECT("'" &amp; EpisodeList[[#This Row],[Show]] &amp; " Season Info'!C2:J15"), 8,1)</f>
        <v>2009-10</v>
      </c>
    </row>
    <row r="194" spans="1:17" x14ac:dyDescent="0.2">
      <c r="A194" s="15" t="s">
        <v>228</v>
      </c>
      <c r="B194" s="27" t="s">
        <v>222</v>
      </c>
      <c r="C194" s="27">
        <v>4</v>
      </c>
      <c r="D194" s="27" t="str">
        <f>A194&amp; " S" &amp;C194</f>
        <v>30 Rock S4</v>
      </c>
      <c r="E194" s="27">
        <v>62</v>
      </c>
      <c r="F194" s="27">
        <v>4</v>
      </c>
      <c r="G194" s="417" t="s">
        <v>108</v>
      </c>
      <c r="H194" s="27" t="s">
        <v>106</v>
      </c>
      <c r="I194" s="27" t="s">
        <v>29</v>
      </c>
      <c r="J194" s="446">
        <v>40122</v>
      </c>
      <c r="K194" s="27" t="str">
        <f>CHOOSE(WEEKDAY(J194),"Sun","Mon","Tue","Wed","Thu","Fri","Sat")</f>
        <v>Thu</v>
      </c>
      <c r="L194" s="52">
        <v>0.89583333333333326</v>
      </c>
      <c r="M194" s="27">
        <v>404</v>
      </c>
      <c r="N194" s="27">
        <v>6.15</v>
      </c>
      <c r="O194" s="27">
        <v>193</v>
      </c>
      <c r="P194" s="341" t="str">
        <f t="shared" ref="P194:P257" si="3">IF(AND(
    COUNTIFS(A:A, A194, J:J, J194) = 1,
    COUNTIFS(A:A, "30 Rock", J:J, J194) = 1,
    COUNTIFS(A:A, "The Office", J:J, J194) = 1,
    COUNTIFS(A:A, "Community", J:J, J194) = 1,
    COUNTIFS(A:A, "Parks and Rec", J:J, J194) = 1
), "Yes", "")</f>
        <v>Yes</v>
      </c>
      <c r="Q194" s="353" t="str">
        <f ca="1">VLOOKUP(EpisodeList[[#This Row],[Season Number]], INDIRECT("'" &amp; EpisodeList[[#This Row],[Show]] &amp; " Season Info'!C2:J15"), 8,1)</f>
        <v>2009-10</v>
      </c>
    </row>
    <row r="195" spans="1:17" x14ac:dyDescent="0.2">
      <c r="A195" s="25" t="s">
        <v>687</v>
      </c>
      <c r="B195" s="26" t="s">
        <v>219</v>
      </c>
      <c r="C195" s="26">
        <v>1</v>
      </c>
      <c r="D195" s="26" t="str">
        <f>A195&amp; " S" &amp;C195</f>
        <v>Community S1</v>
      </c>
      <c r="E195" s="26">
        <v>9</v>
      </c>
      <c r="F195" s="26">
        <v>9</v>
      </c>
      <c r="G195" s="416" t="s">
        <v>524</v>
      </c>
      <c r="H195" s="26" t="s">
        <v>510</v>
      </c>
      <c r="I195" s="26" t="s">
        <v>525</v>
      </c>
      <c r="J195" s="445">
        <v>40129</v>
      </c>
      <c r="K195" s="26" t="str">
        <f>CHOOSE(WEEKDAY(J195),"Sun","Mon","Tue","Wed","Thu","Fri","Sat")</f>
        <v>Thu</v>
      </c>
      <c r="L195" s="51">
        <v>0.83333333333333326</v>
      </c>
      <c r="M195" s="26">
        <v>109</v>
      </c>
      <c r="N195" s="26">
        <v>5.09</v>
      </c>
      <c r="O195" s="26">
        <v>194</v>
      </c>
      <c r="P195" s="338" t="str">
        <f t="shared" si="3"/>
        <v>Yes</v>
      </c>
      <c r="Q195" s="350" t="str">
        <f ca="1">VLOOKUP(EpisodeList[[#This Row],[Season Number]], INDIRECT("'" &amp; EpisodeList[[#This Row],[Show]] &amp; " Season Info'!C2:J15"), 8,1)</f>
        <v>2009-10</v>
      </c>
    </row>
    <row r="196" spans="1:17" x14ac:dyDescent="0.2">
      <c r="A196" s="21" t="s">
        <v>859</v>
      </c>
      <c r="B196" s="23" t="s">
        <v>220</v>
      </c>
      <c r="C196" s="23">
        <v>2</v>
      </c>
      <c r="D196" s="23" t="str">
        <f>A196&amp; " S" &amp;C196</f>
        <v>Parks and Rec S2</v>
      </c>
      <c r="E196" s="23">
        <v>15</v>
      </c>
      <c r="F196" s="23">
        <v>9</v>
      </c>
      <c r="G196" s="414" t="s">
        <v>713</v>
      </c>
      <c r="H196" s="23" t="s">
        <v>95</v>
      </c>
      <c r="I196" s="23" t="s">
        <v>690</v>
      </c>
      <c r="J196" s="443">
        <v>40129</v>
      </c>
      <c r="K196" s="23" t="str">
        <f>CHOOSE(WEEKDAY(J196),"Sun","Mon","Tue","Wed","Thu","Fri","Sat")</f>
        <v>Thu</v>
      </c>
      <c r="L196" s="49">
        <v>0.85416666666666674</v>
      </c>
      <c r="M196" s="23"/>
      <c r="N196" s="23">
        <v>4.67</v>
      </c>
      <c r="O196" s="23">
        <v>195</v>
      </c>
      <c r="P196" s="339" t="str">
        <f t="shared" si="3"/>
        <v>Yes</v>
      </c>
      <c r="Q196" s="351" t="str">
        <f ca="1">VLOOKUP(EpisodeList[[#This Row],[Season Number]], INDIRECT("'" &amp; EpisodeList[[#This Row],[Show]] &amp; " Season Info'!C2:J15"), 8,1)</f>
        <v>2009-10</v>
      </c>
    </row>
    <row r="197" spans="1:17" x14ac:dyDescent="0.2">
      <c r="A197" s="9" t="s">
        <v>243</v>
      </c>
      <c r="B197" s="24" t="s">
        <v>224</v>
      </c>
      <c r="C197" s="24">
        <v>6</v>
      </c>
      <c r="D197" s="24" t="str">
        <f>A197&amp; " S" &amp;C197</f>
        <v>The Office S6</v>
      </c>
      <c r="E197" s="24">
        <v>110</v>
      </c>
      <c r="F197" s="24">
        <v>10</v>
      </c>
      <c r="G197" s="415" t="s">
        <v>377</v>
      </c>
      <c r="H197" s="24" t="s">
        <v>239</v>
      </c>
      <c r="I197" s="24" t="s">
        <v>378</v>
      </c>
      <c r="J197" s="444">
        <v>40129</v>
      </c>
      <c r="K197" s="24" t="str">
        <f>CHOOSE(WEEKDAY(J197),"Sun","Mon","Tue","Wed","Thu","Fri","Sat")</f>
        <v>Thu</v>
      </c>
      <c r="L197" s="50">
        <v>0.875</v>
      </c>
      <c r="M197" s="24">
        <v>6010</v>
      </c>
      <c r="N197" s="24">
        <v>7.76</v>
      </c>
      <c r="O197" s="24">
        <v>196</v>
      </c>
      <c r="P197" s="340" t="str">
        <f t="shared" si="3"/>
        <v>Yes</v>
      </c>
      <c r="Q197" s="352" t="str">
        <f ca="1">VLOOKUP(EpisodeList[[#This Row],[Season Number]], INDIRECT("'" &amp; EpisodeList[[#This Row],[Show]] &amp; " Season Info'!C2:J15"), 8,1)</f>
        <v>2009-10</v>
      </c>
    </row>
    <row r="198" spans="1:17" x14ac:dyDescent="0.2">
      <c r="A198" s="15" t="s">
        <v>228</v>
      </c>
      <c r="B198" s="27" t="s">
        <v>222</v>
      </c>
      <c r="C198" s="27">
        <v>4</v>
      </c>
      <c r="D198" s="27" t="str">
        <f>A198&amp; " S" &amp;C198</f>
        <v>30 Rock S4</v>
      </c>
      <c r="E198" s="27">
        <v>63</v>
      </c>
      <c r="F198" s="27">
        <v>5</v>
      </c>
      <c r="G198" s="417" t="s">
        <v>109</v>
      </c>
      <c r="H198" s="27" t="s">
        <v>12</v>
      </c>
      <c r="I198" s="27" t="s">
        <v>57</v>
      </c>
      <c r="J198" s="446">
        <v>40129</v>
      </c>
      <c r="K198" s="27" t="str">
        <f>CHOOSE(WEEKDAY(J198),"Sun","Mon","Tue","Wed","Thu","Fri","Sat")</f>
        <v>Thu</v>
      </c>
      <c r="L198" s="52">
        <v>0.89583333333333326</v>
      </c>
      <c r="M198" s="27">
        <v>405</v>
      </c>
      <c r="N198" s="27">
        <v>6</v>
      </c>
      <c r="O198" s="27">
        <v>197</v>
      </c>
      <c r="P198" s="341" t="str">
        <f t="shared" si="3"/>
        <v>Yes</v>
      </c>
      <c r="Q198" s="353" t="str">
        <f ca="1">VLOOKUP(EpisodeList[[#This Row],[Season Number]], INDIRECT("'" &amp; EpisodeList[[#This Row],[Show]] &amp; " Season Info'!C2:J15"), 8,1)</f>
        <v>2009-10</v>
      </c>
    </row>
    <row r="199" spans="1:17" x14ac:dyDescent="0.2">
      <c r="A199" s="25" t="s">
        <v>687</v>
      </c>
      <c r="B199" s="26" t="s">
        <v>219</v>
      </c>
      <c r="C199" s="26">
        <v>1</v>
      </c>
      <c r="D199" s="26" t="str">
        <f>A199&amp; " S" &amp;C199</f>
        <v>Community S1</v>
      </c>
      <c r="E199" s="26">
        <v>10</v>
      </c>
      <c r="F199" s="26">
        <v>10</v>
      </c>
      <c r="G199" s="416" t="s">
        <v>526</v>
      </c>
      <c r="H199" s="26" t="s">
        <v>376</v>
      </c>
      <c r="I199" s="26" t="s">
        <v>527</v>
      </c>
      <c r="J199" s="445">
        <v>40136</v>
      </c>
      <c r="K199" s="26" t="str">
        <f>CHOOSE(WEEKDAY(J199),"Sun","Mon","Tue","Wed","Thu","Fri","Sat")</f>
        <v>Thu</v>
      </c>
      <c r="L199" s="51">
        <v>0.83333333333333326</v>
      </c>
      <c r="M199" s="26">
        <v>108</v>
      </c>
      <c r="N199" s="26">
        <v>4.8600000000000003</v>
      </c>
      <c r="O199" s="26">
        <v>198</v>
      </c>
      <c r="P199" s="338" t="str">
        <f t="shared" si="3"/>
        <v>Yes</v>
      </c>
      <c r="Q199" s="350" t="str">
        <f ca="1">VLOOKUP(EpisodeList[[#This Row],[Season Number]], INDIRECT("'" &amp; EpisodeList[[#This Row],[Show]] &amp; " Season Info'!C2:J15"), 8,1)</f>
        <v>2009-10</v>
      </c>
    </row>
    <row r="200" spans="1:17" x14ac:dyDescent="0.2">
      <c r="A200" s="21" t="s">
        <v>859</v>
      </c>
      <c r="B200" s="23" t="s">
        <v>220</v>
      </c>
      <c r="C200" s="23">
        <v>2</v>
      </c>
      <c r="D200" s="23" t="str">
        <f>A200&amp; " S" &amp;C200</f>
        <v>Parks and Rec S2</v>
      </c>
      <c r="E200" s="23">
        <v>16</v>
      </c>
      <c r="F200" s="23">
        <v>10</v>
      </c>
      <c r="G200" s="414" t="s">
        <v>714</v>
      </c>
      <c r="H200" s="23" t="s">
        <v>239</v>
      </c>
      <c r="I200" s="23" t="s">
        <v>692</v>
      </c>
      <c r="J200" s="443">
        <v>40136</v>
      </c>
      <c r="K200" s="23" t="str">
        <f>CHOOSE(WEEKDAY(J200),"Sun","Mon","Tue","Wed","Thu","Fri","Sat")</f>
        <v>Thu</v>
      </c>
      <c r="L200" s="49">
        <v>0.85416666666666674</v>
      </c>
      <c r="M200" s="23"/>
      <c r="N200" s="23">
        <v>4.6100000000000003</v>
      </c>
      <c r="O200" s="23">
        <v>199</v>
      </c>
      <c r="P200" s="339" t="str">
        <f t="shared" si="3"/>
        <v>Yes</v>
      </c>
      <c r="Q200" s="351" t="str">
        <f ca="1">VLOOKUP(EpisodeList[[#This Row],[Season Number]], INDIRECT("'" &amp; EpisodeList[[#This Row],[Show]] &amp; " Season Info'!C2:J15"), 8,1)</f>
        <v>2009-10</v>
      </c>
    </row>
    <row r="201" spans="1:17" x14ac:dyDescent="0.2">
      <c r="A201" s="9" t="s">
        <v>243</v>
      </c>
      <c r="B201" s="24" t="s">
        <v>224</v>
      </c>
      <c r="C201" s="24">
        <v>6</v>
      </c>
      <c r="D201" s="24" t="str">
        <f>A201&amp; " S" &amp;C201</f>
        <v>The Office S6</v>
      </c>
      <c r="E201" s="24">
        <v>111</v>
      </c>
      <c r="F201" s="24">
        <v>11</v>
      </c>
      <c r="G201" s="415" t="s">
        <v>379</v>
      </c>
      <c r="H201" s="24" t="s">
        <v>257</v>
      </c>
      <c r="I201" s="24" t="s">
        <v>291</v>
      </c>
      <c r="J201" s="444">
        <v>40136</v>
      </c>
      <c r="K201" s="24" t="str">
        <f>CHOOSE(WEEKDAY(J201),"Sun","Mon","Tue","Wed","Thu","Fri","Sat")</f>
        <v>Thu</v>
      </c>
      <c r="L201" s="50">
        <v>0.875</v>
      </c>
      <c r="M201" s="24">
        <v>6011</v>
      </c>
      <c r="N201" s="24">
        <v>7.43</v>
      </c>
      <c r="O201" s="24">
        <v>200</v>
      </c>
      <c r="P201" s="340" t="str">
        <f t="shared" si="3"/>
        <v>Yes</v>
      </c>
      <c r="Q201" s="352" t="str">
        <f ca="1">VLOOKUP(EpisodeList[[#This Row],[Season Number]], INDIRECT("'" &amp; EpisodeList[[#This Row],[Show]] &amp; " Season Info'!C2:J15"), 8,1)</f>
        <v>2009-10</v>
      </c>
    </row>
    <row r="202" spans="1:17" x14ac:dyDescent="0.2">
      <c r="A202" s="15" t="s">
        <v>228</v>
      </c>
      <c r="B202" s="27" t="s">
        <v>222</v>
      </c>
      <c r="C202" s="27">
        <v>4</v>
      </c>
      <c r="D202" s="27" t="str">
        <f>A202&amp; " S" &amp;C202</f>
        <v>30 Rock S4</v>
      </c>
      <c r="E202" s="27">
        <v>64</v>
      </c>
      <c r="F202" s="27">
        <v>6</v>
      </c>
      <c r="G202" s="417" t="s">
        <v>110</v>
      </c>
      <c r="H202" s="27" t="s">
        <v>14</v>
      </c>
      <c r="I202" s="27" t="s">
        <v>111</v>
      </c>
      <c r="J202" s="446">
        <v>40136</v>
      </c>
      <c r="K202" s="27" t="str">
        <f>CHOOSE(WEEKDAY(J202),"Sun","Mon","Tue","Wed","Thu","Fri","Sat")</f>
        <v>Thu</v>
      </c>
      <c r="L202" s="52">
        <v>0.89583333333333326</v>
      </c>
      <c r="M202" s="27">
        <v>406</v>
      </c>
      <c r="N202" s="27">
        <v>5.72</v>
      </c>
      <c r="O202" s="27">
        <v>201</v>
      </c>
      <c r="P202" s="341" t="str">
        <f t="shared" si="3"/>
        <v>Yes</v>
      </c>
      <c r="Q202" s="353" t="str">
        <f ca="1">VLOOKUP(EpisodeList[[#This Row],[Season Number]], INDIRECT("'" &amp; EpisodeList[[#This Row],[Show]] &amp; " Season Info'!C2:J15"), 8,1)</f>
        <v>2009-10</v>
      </c>
    </row>
    <row r="203" spans="1:17" x14ac:dyDescent="0.2">
      <c r="A203" s="25" t="s">
        <v>687</v>
      </c>
      <c r="B203" s="26" t="s">
        <v>219</v>
      </c>
      <c r="C203" s="26">
        <v>1</v>
      </c>
      <c r="D203" s="26" t="str">
        <f>A203&amp; " S" &amp;C203</f>
        <v>Community S1</v>
      </c>
      <c r="E203" s="26">
        <v>11</v>
      </c>
      <c r="F203" s="26">
        <v>11</v>
      </c>
      <c r="G203" s="416" t="s">
        <v>528</v>
      </c>
      <c r="H203" s="26" t="s">
        <v>512</v>
      </c>
      <c r="I203" s="26" t="s">
        <v>519</v>
      </c>
      <c r="J203" s="445">
        <v>40150</v>
      </c>
      <c r="K203" s="26" t="str">
        <f>CHOOSE(WEEKDAY(J203),"Sun","Mon","Tue","Wed","Thu","Fri","Sat")</f>
        <v>Thu</v>
      </c>
      <c r="L203" s="51">
        <v>0.83333333333333326</v>
      </c>
      <c r="M203" s="26">
        <v>110</v>
      </c>
      <c r="N203" s="26">
        <v>5.42</v>
      </c>
      <c r="O203" s="26">
        <v>202</v>
      </c>
      <c r="P203" s="338" t="str">
        <f t="shared" si="3"/>
        <v>Yes</v>
      </c>
      <c r="Q203" s="350" t="str">
        <f ca="1">VLOOKUP(EpisodeList[[#This Row],[Season Number]], INDIRECT("'" &amp; EpisodeList[[#This Row],[Show]] &amp; " Season Info'!C2:J15"), 8,1)</f>
        <v>2009-10</v>
      </c>
    </row>
    <row r="204" spans="1:17" x14ac:dyDescent="0.2">
      <c r="A204" s="21" t="s">
        <v>859</v>
      </c>
      <c r="B204" s="23" t="s">
        <v>220</v>
      </c>
      <c r="C204" s="23">
        <v>2</v>
      </c>
      <c r="D204" s="23" t="str">
        <f>A204&amp; " S" &amp;C204</f>
        <v>Parks and Rec S2</v>
      </c>
      <c r="E204" s="23">
        <v>17</v>
      </c>
      <c r="F204" s="23">
        <v>11</v>
      </c>
      <c r="G204" s="414" t="s">
        <v>715</v>
      </c>
      <c r="H204" s="23" t="s">
        <v>428</v>
      </c>
      <c r="I204" s="23" t="s">
        <v>706</v>
      </c>
      <c r="J204" s="443">
        <v>40150</v>
      </c>
      <c r="K204" s="23" t="str">
        <f>CHOOSE(WEEKDAY(J204),"Sun","Mon","Tue","Wed","Thu","Fri","Sat")</f>
        <v>Thu</v>
      </c>
      <c r="L204" s="49">
        <v>0.85416666666666674</v>
      </c>
      <c r="M204" s="23"/>
      <c r="N204" s="23">
        <v>4.83</v>
      </c>
      <c r="O204" s="23">
        <v>203</v>
      </c>
      <c r="P204" s="339" t="str">
        <f t="shared" si="3"/>
        <v>Yes</v>
      </c>
      <c r="Q204" s="351" t="str">
        <f ca="1">VLOOKUP(EpisodeList[[#This Row],[Season Number]], INDIRECT("'" &amp; EpisodeList[[#This Row],[Show]] &amp; " Season Info'!C2:J15"), 8,1)</f>
        <v>2009-10</v>
      </c>
    </row>
    <row r="205" spans="1:17" x14ac:dyDescent="0.2">
      <c r="A205" s="9" t="s">
        <v>243</v>
      </c>
      <c r="B205" s="24" t="s">
        <v>224</v>
      </c>
      <c r="C205" s="24">
        <v>6</v>
      </c>
      <c r="D205" s="24" t="str">
        <f>A205&amp; " S" &amp;C205</f>
        <v>The Office S6</v>
      </c>
      <c r="E205" s="24">
        <v>112</v>
      </c>
      <c r="F205" s="24">
        <v>12</v>
      </c>
      <c r="G205" s="415" t="s">
        <v>380</v>
      </c>
      <c r="H205" s="24" t="s">
        <v>232</v>
      </c>
      <c r="I205" s="24" t="s">
        <v>250</v>
      </c>
      <c r="J205" s="444">
        <v>40150</v>
      </c>
      <c r="K205" s="24" t="str">
        <f>CHOOSE(WEEKDAY(J205),"Sun","Mon","Tue","Wed","Thu","Fri","Sat")</f>
        <v>Thu</v>
      </c>
      <c r="L205" s="50">
        <v>0.875</v>
      </c>
      <c r="M205" s="24">
        <v>6013</v>
      </c>
      <c r="N205" s="24">
        <v>8.1</v>
      </c>
      <c r="O205" s="24">
        <v>204</v>
      </c>
      <c r="P205" s="340" t="str">
        <f t="shared" si="3"/>
        <v>Yes</v>
      </c>
      <c r="Q205" s="352" t="str">
        <f ca="1">VLOOKUP(EpisodeList[[#This Row],[Season Number]], INDIRECT("'" &amp; EpisodeList[[#This Row],[Show]] &amp; " Season Info'!C2:J15"), 8,1)</f>
        <v>2009-10</v>
      </c>
    </row>
    <row r="206" spans="1:17" x14ac:dyDescent="0.2">
      <c r="A206" s="15" t="s">
        <v>228</v>
      </c>
      <c r="B206" s="27" t="s">
        <v>222</v>
      </c>
      <c r="C206" s="27">
        <v>4</v>
      </c>
      <c r="D206" s="27" t="str">
        <f>A206&amp; " S" &amp;C206</f>
        <v>30 Rock S4</v>
      </c>
      <c r="E206" s="27">
        <v>65</v>
      </c>
      <c r="F206" s="27">
        <v>7</v>
      </c>
      <c r="G206" s="417" t="s">
        <v>112</v>
      </c>
      <c r="H206" s="27" t="s">
        <v>17</v>
      </c>
      <c r="I206" s="27" t="s">
        <v>113</v>
      </c>
      <c r="J206" s="446">
        <v>40150</v>
      </c>
      <c r="K206" s="27" t="str">
        <f>CHOOSE(WEEKDAY(J206),"Sun","Mon","Tue","Wed","Thu","Fri","Sat")</f>
        <v>Thu</v>
      </c>
      <c r="L206" s="52">
        <v>0.89583333333333326</v>
      </c>
      <c r="M206" s="27">
        <v>407</v>
      </c>
      <c r="N206" s="27">
        <v>6.08</v>
      </c>
      <c r="O206" s="27">
        <v>205</v>
      </c>
      <c r="P206" s="341" t="str">
        <f t="shared" si="3"/>
        <v>Yes</v>
      </c>
      <c r="Q206" s="353" t="str">
        <f ca="1">VLOOKUP(EpisodeList[[#This Row],[Season Number]], INDIRECT("'" &amp; EpisodeList[[#This Row],[Show]] &amp; " Season Info'!C2:J15"), 8,1)</f>
        <v>2009-10</v>
      </c>
    </row>
    <row r="207" spans="1:17" x14ac:dyDescent="0.2">
      <c r="A207" s="25" t="s">
        <v>687</v>
      </c>
      <c r="B207" s="26" t="s">
        <v>219</v>
      </c>
      <c r="C207" s="26">
        <v>1</v>
      </c>
      <c r="D207" s="26" t="str">
        <f>A207&amp; " S" &amp;C207</f>
        <v>Community S1</v>
      </c>
      <c r="E207" s="26">
        <v>12</v>
      </c>
      <c r="F207" s="26">
        <v>12</v>
      </c>
      <c r="G207" s="416" t="s">
        <v>529</v>
      </c>
      <c r="H207" s="26" t="s">
        <v>530</v>
      </c>
      <c r="I207" s="26" t="s">
        <v>515</v>
      </c>
      <c r="J207" s="445">
        <v>40157</v>
      </c>
      <c r="K207" s="26" t="str">
        <f>CHOOSE(WEEKDAY(J207),"Sun","Mon","Tue","Wed","Thu","Fri","Sat")</f>
        <v>Thu</v>
      </c>
      <c r="L207" s="51">
        <v>0.83333333333333326</v>
      </c>
      <c r="M207" s="26">
        <v>111</v>
      </c>
      <c r="N207" s="26">
        <v>5.51</v>
      </c>
      <c r="O207" s="26">
        <v>206</v>
      </c>
      <c r="P207" s="338" t="str">
        <f t="shared" si="3"/>
        <v>Yes</v>
      </c>
      <c r="Q207" s="350" t="str">
        <f ca="1">VLOOKUP(EpisodeList[[#This Row],[Season Number]], INDIRECT("'" &amp; EpisodeList[[#This Row],[Show]] &amp; " Season Info'!C2:J15"), 8,1)</f>
        <v>2009-10</v>
      </c>
    </row>
    <row r="208" spans="1:17" x14ac:dyDescent="0.2">
      <c r="A208" s="21" t="s">
        <v>859</v>
      </c>
      <c r="B208" s="23" t="s">
        <v>220</v>
      </c>
      <c r="C208" s="23">
        <v>2</v>
      </c>
      <c r="D208" s="23" t="str">
        <f>A208&amp; " S" &amp;C208</f>
        <v>Parks and Rec S2</v>
      </c>
      <c r="E208" s="23">
        <v>18</v>
      </c>
      <c r="F208" s="23">
        <v>12</v>
      </c>
      <c r="G208" s="414" t="s">
        <v>716</v>
      </c>
      <c r="H208" s="23" t="s">
        <v>279</v>
      </c>
      <c r="I208" s="23" t="s">
        <v>237</v>
      </c>
      <c r="J208" s="443">
        <v>40157</v>
      </c>
      <c r="K208" s="23" t="str">
        <f>CHOOSE(WEEKDAY(J208),"Sun","Mon","Tue","Wed","Thu","Fri","Sat")</f>
        <v>Thu</v>
      </c>
      <c r="L208" s="49">
        <v>0.85416666666666674</v>
      </c>
      <c r="M208" s="23"/>
      <c r="N208" s="23">
        <v>4.9000000000000004</v>
      </c>
      <c r="O208" s="23">
        <v>207</v>
      </c>
      <c r="P208" s="339" t="str">
        <f t="shared" si="3"/>
        <v>Yes</v>
      </c>
      <c r="Q208" s="351" t="str">
        <f ca="1">VLOOKUP(EpisodeList[[#This Row],[Season Number]], INDIRECT("'" &amp; EpisodeList[[#This Row],[Show]] &amp; " Season Info'!C2:J15"), 8,1)</f>
        <v>2009-10</v>
      </c>
    </row>
    <row r="209" spans="1:17" x14ac:dyDescent="0.2">
      <c r="A209" s="9" t="s">
        <v>243</v>
      </c>
      <c r="B209" s="24" t="s">
        <v>224</v>
      </c>
      <c r="C209" s="24">
        <v>6</v>
      </c>
      <c r="D209" s="24" t="str">
        <f>A209&amp; " S" &amp;C209</f>
        <v>The Office S6</v>
      </c>
      <c r="E209" s="24">
        <v>113</v>
      </c>
      <c r="F209" s="24">
        <v>13</v>
      </c>
      <c r="G209" s="415" t="s">
        <v>114</v>
      </c>
      <c r="H209" s="24" t="s">
        <v>279</v>
      </c>
      <c r="I209" s="24" t="s">
        <v>242</v>
      </c>
      <c r="J209" s="444">
        <v>40157</v>
      </c>
      <c r="K209" s="24" t="str">
        <f>CHOOSE(WEEKDAY(J209),"Sun","Mon","Tue","Wed","Thu","Fri","Sat")</f>
        <v>Thu</v>
      </c>
      <c r="L209" s="50">
        <v>0.875</v>
      </c>
      <c r="M209" s="24">
        <v>6014</v>
      </c>
      <c r="N209" s="24">
        <v>8.51</v>
      </c>
      <c r="O209" s="24">
        <v>208</v>
      </c>
      <c r="P209" s="340" t="str">
        <f t="shared" si="3"/>
        <v>Yes</v>
      </c>
      <c r="Q209" s="352" t="str">
        <f ca="1">VLOOKUP(EpisodeList[[#This Row],[Season Number]], INDIRECT("'" &amp; EpisodeList[[#This Row],[Show]] &amp; " Season Info'!C2:J15"), 8,1)</f>
        <v>2009-10</v>
      </c>
    </row>
    <row r="210" spans="1:17" x14ac:dyDescent="0.2">
      <c r="A210" s="15" t="s">
        <v>228</v>
      </c>
      <c r="B210" s="27" t="s">
        <v>222</v>
      </c>
      <c r="C210" s="27">
        <v>4</v>
      </c>
      <c r="D210" s="27" t="str">
        <f>A210&amp; " S" &amp;C210</f>
        <v>30 Rock S4</v>
      </c>
      <c r="E210" s="27">
        <v>66</v>
      </c>
      <c r="F210" s="27">
        <v>8</v>
      </c>
      <c r="G210" s="417" t="s">
        <v>114</v>
      </c>
      <c r="H210" s="27" t="s">
        <v>106</v>
      </c>
      <c r="I210" s="27" t="s">
        <v>9</v>
      </c>
      <c r="J210" s="446">
        <v>40157</v>
      </c>
      <c r="K210" s="27" t="str">
        <f>CHOOSE(WEEKDAY(J210),"Sun","Mon","Tue","Wed","Thu","Fri","Sat")</f>
        <v>Thu</v>
      </c>
      <c r="L210" s="52">
        <v>0.89583333333333326</v>
      </c>
      <c r="M210" s="27">
        <v>408</v>
      </c>
      <c r="N210" s="27">
        <v>6.7</v>
      </c>
      <c r="O210" s="27">
        <v>209</v>
      </c>
      <c r="P210" s="341" t="str">
        <f t="shared" si="3"/>
        <v>Yes</v>
      </c>
      <c r="Q210" s="353" t="str">
        <f ca="1">VLOOKUP(EpisodeList[[#This Row],[Season Number]], INDIRECT("'" &amp; EpisodeList[[#This Row],[Show]] &amp; " Season Info'!C2:J15"), 8,1)</f>
        <v>2009-10</v>
      </c>
    </row>
    <row r="211" spans="1:17" x14ac:dyDescent="0.2">
      <c r="A211" s="25" t="s">
        <v>687</v>
      </c>
      <c r="B211" s="26" t="s">
        <v>219</v>
      </c>
      <c r="C211" s="26">
        <v>1</v>
      </c>
      <c r="D211" s="26" t="str">
        <f>A211&amp; " S" &amp;C211</f>
        <v>Community S1</v>
      </c>
      <c r="E211" s="26">
        <v>13</v>
      </c>
      <c r="F211" s="26">
        <v>13</v>
      </c>
      <c r="G211" s="416" t="s">
        <v>531</v>
      </c>
      <c r="H211" s="26" t="s">
        <v>510</v>
      </c>
      <c r="I211" s="26" t="s">
        <v>532</v>
      </c>
      <c r="J211" s="445">
        <v>40192</v>
      </c>
      <c r="K211" s="26" t="str">
        <f>CHOOSE(WEEKDAY(J211),"Sun","Mon","Tue","Wed","Thu","Fri","Sat")</f>
        <v>Thu</v>
      </c>
      <c r="L211" s="51">
        <v>0.83333333333333326</v>
      </c>
      <c r="M211" s="26">
        <v>113</v>
      </c>
      <c r="N211" s="26">
        <v>5.42</v>
      </c>
      <c r="O211" s="26">
        <v>210</v>
      </c>
      <c r="P211" s="338" t="str">
        <f t="shared" si="3"/>
        <v/>
      </c>
      <c r="Q211" s="350" t="str">
        <f ca="1">VLOOKUP(EpisodeList[[#This Row],[Season Number]], INDIRECT("'" &amp; EpisodeList[[#This Row],[Show]] &amp; " Season Info'!C2:J15"), 8,1)</f>
        <v>2009-10</v>
      </c>
    </row>
    <row r="212" spans="1:17" x14ac:dyDescent="0.2">
      <c r="A212" s="21" t="s">
        <v>859</v>
      </c>
      <c r="B212" s="23" t="s">
        <v>220</v>
      </c>
      <c r="C212" s="23">
        <v>2</v>
      </c>
      <c r="D212" s="23" t="str">
        <f>A212&amp; " S" &amp;C212</f>
        <v>Parks and Rec S2</v>
      </c>
      <c r="E212" s="23">
        <v>19</v>
      </c>
      <c r="F212" s="23">
        <v>13</v>
      </c>
      <c r="G212" s="414" t="s">
        <v>730</v>
      </c>
      <c r="H212" s="23" t="s">
        <v>428</v>
      </c>
      <c r="I212" s="23" t="s">
        <v>704</v>
      </c>
      <c r="J212" s="443">
        <v>40192</v>
      </c>
      <c r="K212" s="23" t="str">
        <f>CHOOSE(WEEKDAY(J212),"Sun","Mon","Tue","Wed","Thu","Fri","Sat")</f>
        <v>Thu</v>
      </c>
      <c r="L212" s="49">
        <v>0.85416666666666674</v>
      </c>
      <c r="M212" s="23"/>
      <c r="N212" s="23">
        <v>4.59</v>
      </c>
      <c r="O212" s="23">
        <v>211</v>
      </c>
      <c r="P212" s="339" t="str">
        <f t="shared" si="3"/>
        <v/>
      </c>
      <c r="Q212" s="351" t="str">
        <f ca="1">VLOOKUP(EpisodeList[[#This Row],[Season Number]], INDIRECT("'" &amp; EpisodeList[[#This Row],[Show]] &amp; " Season Info'!C2:J15"), 8,1)</f>
        <v>2009-10</v>
      </c>
    </row>
    <row r="213" spans="1:17" x14ac:dyDescent="0.2">
      <c r="A213" s="15" t="s">
        <v>228</v>
      </c>
      <c r="B213" s="27" t="s">
        <v>222</v>
      </c>
      <c r="C213" s="27">
        <v>4</v>
      </c>
      <c r="D213" s="27" t="str">
        <f>A213&amp; " S" &amp;C213</f>
        <v>30 Rock S4</v>
      </c>
      <c r="E213" s="27">
        <v>67</v>
      </c>
      <c r="F213" s="27">
        <v>9</v>
      </c>
      <c r="G213" s="417" t="s">
        <v>115</v>
      </c>
      <c r="H213" s="27" t="s">
        <v>14</v>
      </c>
      <c r="I213" s="27" t="s">
        <v>15</v>
      </c>
      <c r="J213" s="446">
        <v>40192</v>
      </c>
      <c r="K213" s="27" t="str">
        <f>CHOOSE(WEEKDAY(J213),"Sun","Mon","Tue","Wed","Thu","Fri","Sat")</f>
        <v>Thu</v>
      </c>
      <c r="L213" s="52">
        <v>0.875</v>
      </c>
      <c r="M213" s="27">
        <v>409</v>
      </c>
      <c r="N213" s="27">
        <v>5.12</v>
      </c>
      <c r="O213" s="27">
        <v>212</v>
      </c>
      <c r="P213" s="341" t="str">
        <f t="shared" si="3"/>
        <v/>
      </c>
      <c r="Q213" s="353" t="str">
        <f ca="1">VLOOKUP(EpisodeList[[#This Row],[Season Number]], INDIRECT("'" &amp; EpisodeList[[#This Row],[Show]] &amp; " Season Info'!C2:J15"), 8,1)</f>
        <v>2009-10</v>
      </c>
    </row>
    <row r="214" spans="1:17" x14ac:dyDescent="0.2">
      <c r="A214" s="15" t="s">
        <v>228</v>
      </c>
      <c r="B214" s="27" t="s">
        <v>222</v>
      </c>
      <c r="C214" s="27">
        <v>4</v>
      </c>
      <c r="D214" s="27" t="str">
        <f>A214&amp; " S" &amp;C214</f>
        <v>30 Rock S4</v>
      </c>
      <c r="E214" s="27">
        <v>68</v>
      </c>
      <c r="F214" s="27">
        <v>10</v>
      </c>
      <c r="G214" s="417" t="s">
        <v>116</v>
      </c>
      <c r="H214" s="27" t="s">
        <v>17</v>
      </c>
      <c r="I214" s="27" t="s">
        <v>117</v>
      </c>
      <c r="J214" s="446">
        <v>40192</v>
      </c>
      <c r="K214" s="27" t="str">
        <f>CHOOSE(WEEKDAY(J214),"Sun","Mon","Tue","Wed","Thu","Fri","Sat")</f>
        <v>Thu</v>
      </c>
      <c r="L214" s="52">
        <v>0.89583333333333326</v>
      </c>
      <c r="M214" s="27">
        <v>410</v>
      </c>
      <c r="N214" s="27">
        <v>5.01</v>
      </c>
      <c r="O214" s="27">
        <v>213</v>
      </c>
      <c r="P214" s="341" t="str">
        <f t="shared" si="3"/>
        <v/>
      </c>
      <c r="Q214" s="353" t="str">
        <f ca="1">VLOOKUP(EpisodeList[[#This Row],[Season Number]], INDIRECT("'" &amp; EpisodeList[[#This Row],[Show]] &amp; " Season Info'!C2:J15"), 8,1)</f>
        <v>2009-10</v>
      </c>
    </row>
    <row r="215" spans="1:17" x14ac:dyDescent="0.2">
      <c r="A215" s="25" t="s">
        <v>687</v>
      </c>
      <c r="B215" s="26" t="s">
        <v>219</v>
      </c>
      <c r="C215" s="26">
        <v>1</v>
      </c>
      <c r="D215" s="26" t="str">
        <f>A215&amp; " S" &amp;C215</f>
        <v>Community S1</v>
      </c>
      <c r="E215" s="26">
        <v>14</v>
      </c>
      <c r="F215" s="26">
        <v>14</v>
      </c>
      <c r="G215" s="416" t="s">
        <v>533</v>
      </c>
      <c r="H215" s="26" t="s">
        <v>521</v>
      </c>
      <c r="I215" s="26" t="s">
        <v>523</v>
      </c>
      <c r="J215" s="445">
        <v>40199</v>
      </c>
      <c r="K215" s="26" t="str">
        <f>CHOOSE(WEEKDAY(J215),"Sun","Mon","Tue","Wed","Thu","Fri","Sat")</f>
        <v>Thu</v>
      </c>
      <c r="L215" s="51">
        <v>0.83333333333333326</v>
      </c>
      <c r="M215" s="26">
        <v>112</v>
      </c>
      <c r="N215" s="26">
        <v>4.7300000000000004</v>
      </c>
      <c r="O215" s="26">
        <v>214</v>
      </c>
      <c r="P215" s="338" t="str">
        <f t="shared" si="3"/>
        <v>Yes</v>
      </c>
      <c r="Q215" s="350" t="str">
        <f ca="1">VLOOKUP(EpisodeList[[#This Row],[Season Number]], INDIRECT("'" &amp; EpisodeList[[#This Row],[Show]] &amp; " Season Info'!C2:J15"), 8,1)</f>
        <v>2009-10</v>
      </c>
    </row>
    <row r="216" spans="1:17" x14ac:dyDescent="0.2">
      <c r="A216" s="21" t="s">
        <v>859</v>
      </c>
      <c r="B216" s="23" t="s">
        <v>220</v>
      </c>
      <c r="C216" s="23">
        <v>2</v>
      </c>
      <c r="D216" s="23" t="str">
        <f>A216&amp; " S" &amp;C216</f>
        <v>Parks and Rec S2</v>
      </c>
      <c r="E216" s="23">
        <v>20</v>
      </c>
      <c r="F216" s="23">
        <v>14</v>
      </c>
      <c r="G216" s="414" t="s">
        <v>717</v>
      </c>
      <c r="H216" s="23" t="s">
        <v>405</v>
      </c>
      <c r="I216" s="23" t="s">
        <v>692</v>
      </c>
      <c r="J216" s="443">
        <v>40199</v>
      </c>
      <c r="K216" s="23" t="str">
        <f>CHOOSE(WEEKDAY(J216),"Sun","Mon","Tue","Wed","Thu","Fri","Sat")</f>
        <v>Thu</v>
      </c>
      <c r="L216" s="49">
        <v>0.85416666666666674</v>
      </c>
      <c r="M216" s="23"/>
      <c r="N216" s="23">
        <v>4.3499999999999996</v>
      </c>
      <c r="O216" s="23">
        <v>215</v>
      </c>
      <c r="P216" s="339" t="str">
        <f t="shared" si="3"/>
        <v>Yes</v>
      </c>
      <c r="Q216" s="351" t="str">
        <f ca="1">VLOOKUP(EpisodeList[[#This Row],[Season Number]], INDIRECT("'" &amp; EpisodeList[[#This Row],[Show]] &amp; " Season Info'!C2:J15"), 8,1)</f>
        <v>2009-10</v>
      </c>
    </row>
    <row r="217" spans="1:17" x14ac:dyDescent="0.2">
      <c r="A217" s="9" t="s">
        <v>243</v>
      </c>
      <c r="B217" s="24" t="s">
        <v>224</v>
      </c>
      <c r="C217" s="24">
        <v>6</v>
      </c>
      <c r="D217" s="24" t="str">
        <f>A217&amp; " S" &amp;C217</f>
        <v>The Office S6</v>
      </c>
      <c r="E217" s="24">
        <v>114</v>
      </c>
      <c r="F217" s="24">
        <v>14</v>
      </c>
      <c r="G217" s="415" t="s">
        <v>381</v>
      </c>
      <c r="H217" s="24" t="s">
        <v>286</v>
      </c>
      <c r="I217" s="24" t="s">
        <v>382</v>
      </c>
      <c r="J217" s="444">
        <v>40199</v>
      </c>
      <c r="K217" s="24" t="str">
        <f>CHOOSE(WEEKDAY(J217),"Sun","Mon","Tue","Wed","Thu","Fri","Sat")</f>
        <v>Thu</v>
      </c>
      <c r="L217" s="50">
        <v>0.875</v>
      </c>
      <c r="M217" s="24">
        <v>6012</v>
      </c>
      <c r="N217" s="24">
        <v>7.29</v>
      </c>
      <c r="O217" s="24">
        <v>216</v>
      </c>
      <c r="P217" s="340" t="str">
        <f t="shared" si="3"/>
        <v>Yes</v>
      </c>
      <c r="Q217" s="352" t="str">
        <f ca="1">VLOOKUP(EpisodeList[[#This Row],[Season Number]], INDIRECT("'" &amp; EpisodeList[[#This Row],[Show]] &amp; " Season Info'!C2:J15"), 8,1)</f>
        <v>2009-10</v>
      </c>
    </row>
    <row r="218" spans="1:17" x14ac:dyDescent="0.2">
      <c r="A218" s="15" t="s">
        <v>228</v>
      </c>
      <c r="B218" s="27" t="s">
        <v>222</v>
      </c>
      <c r="C218" s="27">
        <v>4</v>
      </c>
      <c r="D218" s="27" t="str">
        <f>A218&amp; " S" &amp;C218</f>
        <v>30 Rock S4</v>
      </c>
      <c r="E218" s="27">
        <v>69</v>
      </c>
      <c r="F218" s="27">
        <v>11</v>
      </c>
      <c r="G218" s="417" t="s">
        <v>118</v>
      </c>
      <c r="H218" s="27" t="s">
        <v>106</v>
      </c>
      <c r="I218" s="27" t="s">
        <v>119</v>
      </c>
      <c r="J218" s="446">
        <v>40199</v>
      </c>
      <c r="K218" s="27" t="str">
        <f>CHOOSE(WEEKDAY(J218),"Sun","Mon","Tue","Wed","Thu","Fri","Sat")</f>
        <v>Thu</v>
      </c>
      <c r="L218" s="52">
        <v>0.89583333333333326</v>
      </c>
      <c r="M218" s="27">
        <v>411</v>
      </c>
      <c r="N218" s="27">
        <v>5.58</v>
      </c>
      <c r="O218" s="27">
        <v>217</v>
      </c>
      <c r="P218" s="341" t="str">
        <f t="shared" si="3"/>
        <v>Yes</v>
      </c>
      <c r="Q218" s="353" t="str">
        <f ca="1">VLOOKUP(EpisodeList[[#This Row],[Season Number]], INDIRECT("'" &amp; EpisodeList[[#This Row],[Show]] &amp; " Season Info'!C2:J15"), 8,1)</f>
        <v>2009-10</v>
      </c>
    </row>
    <row r="219" spans="1:17" x14ac:dyDescent="0.2">
      <c r="A219" s="25" t="s">
        <v>687</v>
      </c>
      <c r="B219" s="26" t="s">
        <v>219</v>
      </c>
      <c r="C219" s="26">
        <v>1</v>
      </c>
      <c r="D219" s="26" t="str">
        <f>A219&amp; " S" &amp;C219</f>
        <v>Community S1</v>
      </c>
      <c r="E219" s="26">
        <v>15</v>
      </c>
      <c r="F219" s="26">
        <v>15</v>
      </c>
      <c r="G219" s="416" t="s">
        <v>534</v>
      </c>
      <c r="H219" s="26" t="s">
        <v>510</v>
      </c>
      <c r="I219" s="26" t="s">
        <v>517</v>
      </c>
      <c r="J219" s="445">
        <v>40213</v>
      </c>
      <c r="K219" s="26" t="str">
        <f>CHOOSE(WEEKDAY(J219),"Sun","Mon","Tue","Wed","Thu","Fri","Sat")</f>
        <v>Thu</v>
      </c>
      <c r="L219" s="51">
        <v>0.83333333333333326</v>
      </c>
      <c r="M219" s="26">
        <v>115</v>
      </c>
      <c r="N219" s="26">
        <v>5.23</v>
      </c>
      <c r="O219" s="26">
        <v>218</v>
      </c>
      <c r="P219" s="338" t="str">
        <f t="shared" si="3"/>
        <v>Yes</v>
      </c>
      <c r="Q219" s="350" t="str">
        <f ca="1">VLOOKUP(EpisodeList[[#This Row],[Season Number]], INDIRECT("'" &amp; EpisodeList[[#This Row],[Show]] &amp; " Season Info'!C2:J15"), 8,1)</f>
        <v>2009-10</v>
      </c>
    </row>
    <row r="220" spans="1:17" x14ac:dyDescent="0.2">
      <c r="A220" s="21" t="s">
        <v>859</v>
      </c>
      <c r="B220" s="23" t="s">
        <v>220</v>
      </c>
      <c r="C220" s="23">
        <v>2</v>
      </c>
      <c r="D220" s="23" t="str">
        <f>A220&amp; " S" &amp;C220</f>
        <v>Parks and Rec S2</v>
      </c>
      <c r="E220" s="23">
        <v>21</v>
      </c>
      <c r="F220" s="23">
        <v>15</v>
      </c>
      <c r="G220" s="414" t="s">
        <v>718</v>
      </c>
      <c r="H220" s="23" t="s">
        <v>348</v>
      </c>
      <c r="I220" s="23" t="s">
        <v>695</v>
      </c>
      <c r="J220" s="443">
        <v>40213</v>
      </c>
      <c r="K220" s="23" t="str">
        <f>CHOOSE(WEEKDAY(J220),"Sun","Mon","Tue","Wed","Thu","Fri","Sat")</f>
        <v>Thu</v>
      </c>
      <c r="L220" s="49">
        <v>0.85416666666666674</v>
      </c>
      <c r="M220" s="23"/>
      <c r="N220" s="23">
        <v>4.87</v>
      </c>
      <c r="O220" s="23">
        <v>219</v>
      </c>
      <c r="P220" s="339" t="str">
        <f t="shared" si="3"/>
        <v>Yes</v>
      </c>
      <c r="Q220" s="351" t="str">
        <f ca="1">VLOOKUP(EpisodeList[[#This Row],[Season Number]], INDIRECT("'" &amp; EpisodeList[[#This Row],[Show]] &amp; " Season Info'!C2:J15"), 8,1)</f>
        <v>2009-10</v>
      </c>
    </row>
    <row r="221" spans="1:17" x14ac:dyDescent="0.2">
      <c r="A221" s="9" t="s">
        <v>243</v>
      </c>
      <c r="B221" s="24" t="s">
        <v>224</v>
      </c>
      <c r="C221" s="24">
        <v>6</v>
      </c>
      <c r="D221" s="24" t="str">
        <f>A221&amp; " S" &amp;C221</f>
        <v>The Office S6</v>
      </c>
      <c r="E221" s="24">
        <v>115</v>
      </c>
      <c r="F221" s="24">
        <v>15</v>
      </c>
      <c r="G221" s="415" t="s">
        <v>383</v>
      </c>
      <c r="H221" s="24" t="s">
        <v>384</v>
      </c>
      <c r="I221" s="24" t="s">
        <v>255</v>
      </c>
      <c r="J221" s="444">
        <v>40213</v>
      </c>
      <c r="K221" s="24" t="str">
        <f>CHOOSE(WEEKDAY(J221),"Sun","Mon","Tue","Wed","Thu","Fri","Sat")</f>
        <v>Thu</v>
      </c>
      <c r="L221" s="50">
        <v>0.875</v>
      </c>
      <c r="M221" s="24">
        <v>6015</v>
      </c>
      <c r="N221" s="24">
        <v>7.36</v>
      </c>
      <c r="O221" s="24">
        <v>220</v>
      </c>
      <c r="P221" s="340" t="str">
        <f t="shared" si="3"/>
        <v>Yes</v>
      </c>
      <c r="Q221" s="352" t="str">
        <f ca="1">VLOOKUP(EpisodeList[[#This Row],[Season Number]], INDIRECT("'" &amp; EpisodeList[[#This Row],[Show]] &amp; " Season Info'!C2:J15"), 8,1)</f>
        <v>2009-10</v>
      </c>
    </row>
    <row r="222" spans="1:17" x14ac:dyDescent="0.2">
      <c r="A222" s="15" t="s">
        <v>228</v>
      </c>
      <c r="B222" s="27" t="s">
        <v>222</v>
      </c>
      <c r="C222" s="27">
        <v>4</v>
      </c>
      <c r="D222" s="27" t="str">
        <f>A222&amp; " S" &amp;C222</f>
        <v>30 Rock S4</v>
      </c>
      <c r="E222" s="27">
        <v>70</v>
      </c>
      <c r="F222" s="27">
        <v>12</v>
      </c>
      <c r="G222" s="417" t="s">
        <v>120</v>
      </c>
      <c r="H222" s="27" t="s">
        <v>17</v>
      </c>
      <c r="I222" s="27" t="s">
        <v>57</v>
      </c>
      <c r="J222" s="446">
        <v>40213</v>
      </c>
      <c r="K222" s="27" t="str">
        <f>CHOOSE(WEEKDAY(J222),"Sun","Mon","Tue","Wed","Thu","Fri","Sat")</f>
        <v>Thu</v>
      </c>
      <c r="L222" s="52">
        <v>0.89583333333333326</v>
      </c>
      <c r="M222" s="27">
        <v>412</v>
      </c>
      <c r="N222" s="27">
        <v>5.79</v>
      </c>
      <c r="O222" s="27">
        <v>221</v>
      </c>
      <c r="P222" s="341" t="str">
        <f t="shared" si="3"/>
        <v>Yes</v>
      </c>
      <c r="Q222" s="353" t="str">
        <f ca="1">VLOOKUP(EpisodeList[[#This Row],[Season Number]], INDIRECT("'" &amp; EpisodeList[[#This Row],[Show]] &amp; " Season Info'!C2:J15"), 8,1)</f>
        <v>2009-10</v>
      </c>
    </row>
    <row r="223" spans="1:17" x14ac:dyDescent="0.2">
      <c r="A223" s="25" t="s">
        <v>687</v>
      </c>
      <c r="B223" s="26" t="s">
        <v>219</v>
      </c>
      <c r="C223" s="26">
        <v>1</v>
      </c>
      <c r="D223" s="26" t="str">
        <f>A223&amp; " S" &amp;C223</f>
        <v>Community S1</v>
      </c>
      <c r="E223" s="26">
        <v>16</v>
      </c>
      <c r="F223" s="26">
        <v>16</v>
      </c>
      <c r="G223" s="416" t="s">
        <v>535</v>
      </c>
      <c r="H223" s="26" t="s">
        <v>530</v>
      </c>
      <c r="I223" s="26" t="s">
        <v>536</v>
      </c>
      <c r="J223" s="445">
        <v>40220</v>
      </c>
      <c r="K223" s="26" t="str">
        <f>CHOOSE(WEEKDAY(J223),"Sun","Mon","Tue","Wed","Thu","Fri","Sat")</f>
        <v>Thu</v>
      </c>
      <c r="L223" s="51">
        <v>0.83333333333333326</v>
      </c>
      <c r="M223" s="26">
        <v>116</v>
      </c>
      <c r="N223" s="26">
        <v>5.15</v>
      </c>
      <c r="O223" s="26">
        <v>222</v>
      </c>
      <c r="P223" s="338" t="str">
        <f t="shared" si="3"/>
        <v>Yes</v>
      </c>
      <c r="Q223" s="350" t="str">
        <f ca="1">VLOOKUP(EpisodeList[[#This Row],[Season Number]], INDIRECT("'" &amp; EpisodeList[[#This Row],[Show]] &amp; " Season Info'!C2:J15"), 8,1)</f>
        <v>2009-10</v>
      </c>
    </row>
    <row r="224" spans="1:17" x14ac:dyDescent="0.2">
      <c r="A224" s="21" t="s">
        <v>859</v>
      </c>
      <c r="B224" s="23" t="s">
        <v>220</v>
      </c>
      <c r="C224" s="23">
        <v>2</v>
      </c>
      <c r="D224" s="23" t="str">
        <f>A224&amp; " S" &amp;C224</f>
        <v>Parks and Rec S2</v>
      </c>
      <c r="E224" s="23">
        <v>22</v>
      </c>
      <c r="F224" s="23">
        <v>16</v>
      </c>
      <c r="G224" s="414" t="s">
        <v>719</v>
      </c>
      <c r="H224" s="23" t="s">
        <v>229</v>
      </c>
      <c r="I224" s="23" t="s">
        <v>237</v>
      </c>
      <c r="J224" s="443">
        <v>40220</v>
      </c>
      <c r="K224" s="23" t="str">
        <f>CHOOSE(WEEKDAY(J224),"Sun","Mon","Tue","Wed","Thu","Fri","Sat")</f>
        <v>Thu</v>
      </c>
      <c r="L224" s="49">
        <v>0.85416666666666674</v>
      </c>
      <c r="M224" s="23"/>
      <c r="N224" s="23">
        <v>4.9800000000000004</v>
      </c>
      <c r="O224" s="23">
        <v>223</v>
      </c>
      <c r="P224" s="339" t="str">
        <f t="shared" si="3"/>
        <v>Yes</v>
      </c>
      <c r="Q224" s="351" t="str">
        <f ca="1">VLOOKUP(EpisodeList[[#This Row],[Season Number]], INDIRECT("'" &amp; EpisodeList[[#This Row],[Show]] &amp; " Season Info'!C2:J15"), 8,1)</f>
        <v>2009-10</v>
      </c>
    </row>
    <row r="225" spans="1:17" x14ac:dyDescent="0.2">
      <c r="A225" s="9" t="s">
        <v>243</v>
      </c>
      <c r="B225" s="24" t="s">
        <v>224</v>
      </c>
      <c r="C225" s="24">
        <v>6</v>
      </c>
      <c r="D225" s="24" t="str">
        <f>A225&amp; " S" &amp;C225</f>
        <v>The Office S6</v>
      </c>
      <c r="E225" s="24">
        <v>116</v>
      </c>
      <c r="F225" s="24">
        <v>16</v>
      </c>
      <c r="G225" s="415" t="s">
        <v>385</v>
      </c>
      <c r="H225" s="24" t="s">
        <v>386</v>
      </c>
      <c r="I225" s="24" t="s">
        <v>242</v>
      </c>
      <c r="J225" s="444">
        <v>40220</v>
      </c>
      <c r="K225" s="24" t="str">
        <f>CHOOSE(WEEKDAY(J225),"Sun","Mon","Tue","Wed","Thu","Fri","Sat")</f>
        <v>Thu</v>
      </c>
      <c r="L225" s="50">
        <v>0.875</v>
      </c>
      <c r="M225" s="24">
        <v>6016</v>
      </c>
      <c r="N225" s="24">
        <v>7.4</v>
      </c>
      <c r="O225" s="24">
        <v>224</v>
      </c>
      <c r="P225" s="340" t="str">
        <f t="shared" si="3"/>
        <v>Yes</v>
      </c>
      <c r="Q225" s="352" t="str">
        <f ca="1">VLOOKUP(EpisodeList[[#This Row],[Season Number]], INDIRECT("'" &amp; EpisodeList[[#This Row],[Show]] &amp; " Season Info'!C2:J15"), 8,1)</f>
        <v>2009-10</v>
      </c>
    </row>
    <row r="226" spans="1:17" x14ac:dyDescent="0.2">
      <c r="A226" s="15" t="s">
        <v>228</v>
      </c>
      <c r="B226" s="27" t="s">
        <v>222</v>
      </c>
      <c r="C226" s="27">
        <v>4</v>
      </c>
      <c r="D226" s="27" t="str">
        <f>A226&amp; " S" &amp;C226</f>
        <v>30 Rock S4</v>
      </c>
      <c r="E226" s="27">
        <v>71</v>
      </c>
      <c r="F226" s="27">
        <v>13</v>
      </c>
      <c r="G226" s="417" t="s">
        <v>121</v>
      </c>
      <c r="H226" s="27" t="s">
        <v>90</v>
      </c>
      <c r="I226" s="27" t="s">
        <v>29</v>
      </c>
      <c r="J226" s="446">
        <v>40220</v>
      </c>
      <c r="K226" s="27" t="str">
        <f>CHOOSE(WEEKDAY(J226),"Sun","Mon","Tue","Wed","Thu","Fri","Sat")</f>
        <v>Thu</v>
      </c>
      <c r="L226" s="52">
        <v>0.89583333333333326</v>
      </c>
      <c r="M226" s="27">
        <v>413</v>
      </c>
      <c r="N226" s="27">
        <v>6</v>
      </c>
      <c r="O226" s="27">
        <v>225</v>
      </c>
      <c r="P226" s="341" t="str">
        <f t="shared" si="3"/>
        <v>Yes</v>
      </c>
      <c r="Q226" s="353" t="str">
        <f ca="1">VLOOKUP(EpisodeList[[#This Row],[Season Number]], INDIRECT("'" &amp; EpisodeList[[#This Row],[Show]] &amp; " Season Info'!C2:J15"), 8,1)</f>
        <v>2009-10</v>
      </c>
    </row>
    <row r="227" spans="1:17" x14ac:dyDescent="0.2">
      <c r="A227" s="25" t="s">
        <v>687</v>
      </c>
      <c r="B227" s="26" t="s">
        <v>219</v>
      </c>
      <c r="C227" s="26">
        <v>1</v>
      </c>
      <c r="D227" s="26" t="str">
        <f>A227&amp; " S" &amp;C227</f>
        <v>Community S1</v>
      </c>
      <c r="E227" s="26">
        <v>17</v>
      </c>
      <c r="F227" s="26">
        <v>17</v>
      </c>
      <c r="G227" s="416" t="s">
        <v>537</v>
      </c>
      <c r="H227" s="26" t="s">
        <v>512</v>
      </c>
      <c r="I227" s="26" t="s">
        <v>538</v>
      </c>
      <c r="J227" s="445">
        <v>40241</v>
      </c>
      <c r="K227" s="26" t="str">
        <f>CHOOSE(WEEKDAY(J227),"Sun","Mon","Tue","Wed","Thu","Fri","Sat")</f>
        <v>Thu</v>
      </c>
      <c r="L227" s="51">
        <v>0.83333333333333326</v>
      </c>
      <c r="M227" s="26">
        <v>118</v>
      </c>
      <c r="N227" s="26">
        <v>5.0599999999999996</v>
      </c>
      <c r="O227" s="26">
        <v>226</v>
      </c>
      <c r="P227" s="338" t="str">
        <f t="shared" si="3"/>
        <v/>
      </c>
      <c r="Q227" s="350" t="str">
        <f ca="1">VLOOKUP(EpisodeList[[#This Row],[Season Number]], INDIRECT("'" &amp; EpisodeList[[#This Row],[Show]] &amp; " Season Info'!C2:J15"), 8,1)</f>
        <v>2009-10</v>
      </c>
    </row>
    <row r="228" spans="1:17" x14ac:dyDescent="0.2">
      <c r="A228" s="21" t="s">
        <v>859</v>
      </c>
      <c r="B228" s="23" t="s">
        <v>220</v>
      </c>
      <c r="C228" s="23">
        <v>2</v>
      </c>
      <c r="D228" s="23" t="str">
        <f>A228&amp; " S" &amp;C228</f>
        <v>Parks and Rec S2</v>
      </c>
      <c r="E228" s="23">
        <v>23</v>
      </c>
      <c r="F228" s="23">
        <v>17</v>
      </c>
      <c r="G228" s="414" t="s">
        <v>720</v>
      </c>
      <c r="H228" s="23" t="s">
        <v>703</v>
      </c>
      <c r="I228" s="23" t="s">
        <v>698</v>
      </c>
      <c r="J228" s="443">
        <v>40241</v>
      </c>
      <c r="K228" s="23" t="str">
        <f>CHOOSE(WEEKDAY(J228),"Sun","Mon","Tue","Wed","Thu","Fri","Sat")</f>
        <v>Thu</v>
      </c>
      <c r="L228" s="49">
        <v>0.85416666666666674</v>
      </c>
      <c r="M228" s="23"/>
      <c r="N228" s="23">
        <v>4.6399999999999997</v>
      </c>
      <c r="O228" s="23">
        <v>227</v>
      </c>
      <c r="P228" s="339" t="str">
        <f t="shared" si="3"/>
        <v/>
      </c>
      <c r="Q228" s="351" t="str">
        <f ca="1">VLOOKUP(EpisodeList[[#This Row],[Season Number]], INDIRECT("'" &amp; EpisodeList[[#This Row],[Show]] &amp; " Season Info'!C2:J15"), 8,1)</f>
        <v>2009-10</v>
      </c>
    </row>
    <row r="229" spans="1:17" x14ac:dyDescent="0.2">
      <c r="A229" s="9" t="s">
        <v>243</v>
      </c>
      <c r="B229" s="24" t="s">
        <v>224</v>
      </c>
      <c r="C229" s="24">
        <v>6</v>
      </c>
      <c r="D229" s="24" t="str">
        <f>A229&amp; " S" &amp;C229</f>
        <v>The Office S6</v>
      </c>
      <c r="E229" s="24">
        <v>117</v>
      </c>
      <c r="F229" s="24">
        <v>17</v>
      </c>
      <c r="G229" s="415" t="s">
        <v>495</v>
      </c>
      <c r="H229" s="24" t="s">
        <v>502</v>
      </c>
      <c r="I229" s="24" t="s">
        <v>503</v>
      </c>
      <c r="J229" s="444">
        <v>40241</v>
      </c>
      <c r="K229" s="24" t="str">
        <f>CHOOSE(WEEKDAY(J229),"Sun","Mon","Tue","Wed","Thu","Fri","Sat")</f>
        <v>Thu</v>
      </c>
      <c r="L229" s="50">
        <v>0.875</v>
      </c>
      <c r="M229" s="24">
        <v>6018</v>
      </c>
      <c r="N229" s="24">
        <v>9</v>
      </c>
      <c r="O229" s="24">
        <v>228</v>
      </c>
      <c r="P229" s="340" t="str">
        <f t="shared" si="3"/>
        <v/>
      </c>
      <c r="Q229" s="352" t="str">
        <f ca="1">VLOOKUP(EpisodeList[[#This Row],[Season Number]], INDIRECT("'" &amp; EpisodeList[[#This Row],[Show]] &amp; " Season Info'!C2:J15"), 8,1)</f>
        <v>2009-10</v>
      </c>
    </row>
    <row r="230" spans="1:17" x14ac:dyDescent="0.2">
      <c r="A230" s="9" t="s">
        <v>243</v>
      </c>
      <c r="B230" s="24" t="s">
        <v>224</v>
      </c>
      <c r="C230" s="24">
        <v>6</v>
      </c>
      <c r="D230" s="24" t="str">
        <f>A230&amp; " S" &amp;C230</f>
        <v>The Office S6</v>
      </c>
      <c r="E230" s="24">
        <v>118</v>
      </c>
      <c r="F230" s="24">
        <v>18</v>
      </c>
      <c r="G230" s="415" t="s">
        <v>495</v>
      </c>
      <c r="H230" s="24" t="s">
        <v>502</v>
      </c>
      <c r="I230" s="24" t="s">
        <v>503</v>
      </c>
      <c r="J230" s="444">
        <v>40241</v>
      </c>
      <c r="K230" s="24" t="str">
        <f>CHOOSE(WEEKDAY(J230),"Sun","Mon","Tue","Wed","Thu","Fri","Sat")</f>
        <v>Thu</v>
      </c>
      <c r="L230" s="50">
        <v>0.89583333333333337</v>
      </c>
      <c r="M230" s="24">
        <v>6019</v>
      </c>
      <c r="N230" s="24">
        <v>9</v>
      </c>
      <c r="O230" s="24">
        <v>229</v>
      </c>
      <c r="P230" s="340" t="str">
        <f t="shared" si="3"/>
        <v/>
      </c>
      <c r="Q230" s="352" t="str">
        <f ca="1">VLOOKUP(EpisodeList[[#This Row],[Season Number]], INDIRECT("'" &amp; EpisodeList[[#This Row],[Show]] &amp; " Season Info'!C2:J15"), 8,1)</f>
        <v>2009-10</v>
      </c>
    </row>
    <row r="231" spans="1:17" x14ac:dyDescent="0.2">
      <c r="A231" s="25" t="s">
        <v>687</v>
      </c>
      <c r="B231" s="26" t="s">
        <v>219</v>
      </c>
      <c r="C231" s="26">
        <v>1</v>
      </c>
      <c r="D231" s="26" t="str">
        <f>A231&amp; " S" &amp;C231</f>
        <v>Community S1</v>
      </c>
      <c r="E231" s="26">
        <v>18</v>
      </c>
      <c r="F231" s="26">
        <v>18</v>
      </c>
      <c r="G231" s="416" t="s">
        <v>539</v>
      </c>
      <c r="H231" s="26" t="s">
        <v>90</v>
      </c>
      <c r="I231" s="26" t="s">
        <v>540</v>
      </c>
      <c r="J231" s="445">
        <v>40248</v>
      </c>
      <c r="K231" s="26" t="str">
        <f>CHOOSE(WEEKDAY(J231),"Sun","Mon","Tue","Wed","Thu","Fri","Sat")</f>
        <v>Thu</v>
      </c>
      <c r="L231" s="51">
        <v>0.83333333333333326</v>
      </c>
      <c r="M231" s="26">
        <v>117</v>
      </c>
      <c r="N231" s="26">
        <v>4.7</v>
      </c>
      <c r="O231" s="26">
        <v>230</v>
      </c>
      <c r="P231" s="338" t="str">
        <f t="shared" si="3"/>
        <v>Yes</v>
      </c>
      <c r="Q231" s="350" t="str">
        <f ca="1">VLOOKUP(EpisodeList[[#This Row],[Season Number]], INDIRECT("'" &amp; EpisodeList[[#This Row],[Show]] &amp; " Season Info'!C2:J15"), 8,1)</f>
        <v>2009-10</v>
      </c>
    </row>
    <row r="232" spans="1:17" x14ac:dyDescent="0.2">
      <c r="A232" s="21" t="s">
        <v>859</v>
      </c>
      <c r="B232" s="23" t="s">
        <v>220</v>
      </c>
      <c r="C232" s="23">
        <v>2</v>
      </c>
      <c r="D232" s="23" t="str">
        <f>A232&amp; " S" &amp;C232</f>
        <v>Parks and Rec S2</v>
      </c>
      <c r="E232" s="23">
        <v>24</v>
      </c>
      <c r="F232" s="23">
        <v>18</v>
      </c>
      <c r="G232" s="414" t="s">
        <v>721</v>
      </c>
      <c r="H232" s="23" t="s">
        <v>544</v>
      </c>
      <c r="I232" s="23" t="s">
        <v>712</v>
      </c>
      <c r="J232" s="443">
        <v>40248</v>
      </c>
      <c r="K232" s="23" t="str">
        <f>CHOOSE(WEEKDAY(J232),"Sun","Mon","Tue","Wed","Thu","Fri","Sat")</f>
        <v>Thu</v>
      </c>
      <c r="L232" s="49">
        <v>0.85416666666666674</v>
      </c>
      <c r="M232" s="23"/>
      <c r="N232" s="23">
        <v>4.6100000000000003</v>
      </c>
      <c r="O232" s="23">
        <v>231</v>
      </c>
      <c r="P232" s="339" t="str">
        <f t="shared" si="3"/>
        <v>Yes</v>
      </c>
      <c r="Q232" s="351" t="str">
        <f ca="1">VLOOKUP(EpisodeList[[#This Row],[Season Number]], INDIRECT("'" &amp; EpisodeList[[#This Row],[Show]] &amp; " Season Info'!C2:J15"), 8,1)</f>
        <v>2009-10</v>
      </c>
    </row>
    <row r="233" spans="1:17" x14ac:dyDescent="0.2">
      <c r="A233" s="9" t="s">
        <v>243</v>
      </c>
      <c r="B233" s="24" t="s">
        <v>224</v>
      </c>
      <c r="C233" s="24">
        <v>6</v>
      </c>
      <c r="D233" s="24" t="str">
        <f>A233&amp; " S" &amp;C233</f>
        <v>The Office S6</v>
      </c>
      <c r="E233" s="24">
        <v>119</v>
      </c>
      <c r="F233" s="24">
        <v>19</v>
      </c>
      <c r="G233" s="415" t="s">
        <v>182</v>
      </c>
      <c r="H233" s="24" t="s">
        <v>279</v>
      </c>
      <c r="I233" s="24" t="s">
        <v>387</v>
      </c>
      <c r="J233" s="444">
        <v>40248</v>
      </c>
      <c r="K233" s="24" t="str">
        <f>CHOOSE(WEEKDAY(J233),"Sun","Mon","Tue","Wed","Thu","Fri","Sat")</f>
        <v>Thu</v>
      </c>
      <c r="L233" s="50">
        <v>0.875</v>
      </c>
      <c r="M233" s="24">
        <v>6017</v>
      </c>
      <c r="N233" s="24">
        <v>7.51</v>
      </c>
      <c r="O233" s="24">
        <v>232</v>
      </c>
      <c r="P233" s="340" t="str">
        <f t="shared" si="3"/>
        <v>Yes</v>
      </c>
      <c r="Q233" s="352" t="str">
        <f ca="1">VLOOKUP(EpisodeList[[#This Row],[Season Number]], INDIRECT("'" &amp; EpisodeList[[#This Row],[Show]] &amp; " Season Info'!C2:J15"), 8,1)</f>
        <v>2009-10</v>
      </c>
    </row>
    <row r="234" spans="1:17" x14ac:dyDescent="0.2">
      <c r="A234" s="15" t="s">
        <v>228</v>
      </c>
      <c r="B234" s="27" t="s">
        <v>222</v>
      </c>
      <c r="C234" s="27">
        <v>4</v>
      </c>
      <c r="D234" s="27" t="str">
        <f>A234&amp; " S" &amp;C234</f>
        <v>30 Rock S4</v>
      </c>
      <c r="E234" s="27">
        <v>72</v>
      </c>
      <c r="F234" s="27">
        <v>14</v>
      </c>
      <c r="G234" s="417" t="s">
        <v>122</v>
      </c>
      <c r="H234" s="27" t="s">
        <v>17</v>
      </c>
      <c r="I234" s="27" t="s">
        <v>123</v>
      </c>
      <c r="J234" s="446">
        <v>40248</v>
      </c>
      <c r="K234" s="27" t="str">
        <f>CHOOSE(WEEKDAY(J234),"Sun","Mon","Tue","Wed","Thu","Fri","Sat")</f>
        <v>Thu</v>
      </c>
      <c r="L234" s="52">
        <v>0.89583333333333326</v>
      </c>
      <c r="M234" s="27">
        <v>414</v>
      </c>
      <c r="N234" s="27">
        <v>5.89</v>
      </c>
      <c r="O234" s="27">
        <v>233</v>
      </c>
      <c r="P234" s="341" t="str">
        <f t="shared" si="3"/>
        <v>Yes</v>
      </c>
      <c r="Q234" s="353" t="str">
        <f ca="1">VLOOKUP(EpisodeList[[#This Row],[Season Number]], INDIRECT("'" &amp; EpisodeList[[#This Row],[Show]] &amp; " Season Info'!C2:J15"), 8,1)</f>
        <v>2009-10</v>
      </c>
    </row>
    <row r="235" spans="1:17" x14ac:dyDescent="0.2">
      <c r="A235" s="25" t="s">
        <v>687</v>
      </c>
      <c r="B235" s="26" t="s">
        <v>219</v>
      </c>
      <c r="C235" s="26">
        <v>1</v>
      </c>
      <c r="D235" s="26" t="str">
        <f>A235&amp; " S" &amp;C235</f>
        <v>Community S1</v>
      </c>
      <c r="E235" s="26">
        <v>19</v>
      </c>
      <c r="F235" s="26">
        <v>19</v>
      </c>
      <c r="G235" s="416" t="s">
        <v>541</v>
      </c>
      <c r="H235" s="26" t="s">
        <v>512</v>
      </c>
      <c r="I235" s="26" t="s">
        <v>519</v>
      </c>
      <c r="J235" s="445">
        <v>40255</v>
      </c>
      <c r="K235" s="26" t="str">
        <f>CHOOSE(WEEKDAY(J235),"Sun","Mon","Tue","Wed","Thu","Fri","Sat")</f>
        <v>Thu</v>
      </c>
      <c r="L235" s="51">
        <v>0.83333333333333326</v>
      </c>
      <c r="M235" s="26">
        <v>114</v>
      </c>
      <c r="N235" s="26">
        <v>5.21</v>
      </c>
      <c r="O235" s="26">
        <v>234</v>
      </c>
      <c r="P235" s="338" t="str">
        <f t="shared" si="3"/>
        <v>Yes</v>
      </c>
      <c r="Q235" s="350" t="str">
        <f ca="1">VLOOKUP(EpisodeList[[#This Row],[Season Number]], INDIRECT("'" &amp; EpisodeList[[#This Row],[Show]] &amp; " Season Info'!C2:J15"), 8,1)</f>
        <v>2009-10</v>
      </c>
    </row>
    <row r="236" spans="1:17" x14ac:dyDescent="0.2">
      <c r="A236" s="21" t="s">
        <v>859</v>
      </c>
      <c r="B236" s="23" t="s">
        <v>220</v>
      </c>
      <c r="C236" s="23">
        <v>2</v>
      </c>
      <c r="D236" s="23" t="str">
        <f>A236&amp; " S" &amp;C236</f>
        <v>Parks and Rec S2</v>
      </c>
      <c r="E236" s="23">
        <v>25</v>
      </c>
      <c r="F236" s="23">
        <v>19</v>
      </c>
      <c r="G236" s="414" t="s">
        <v>722</v>
      </c>
      <c r="H236" s="23" t="s">
        <v>723</v>
      </c>
      <c r="I236" s="23" t="s">
        <v>709</v>
      </c>
      <c r="J236" s="443">
        <v>40255</v>
      </c>
      <c r="K236" s="23" t="str">
        <f>CHOOSE(WEEKDAY(J236),"Sun","Mon","Tue","Wed","Thu","Fri","Sat")</f>
        <v>Thu</v>
      </c>
      <c r="L236" s="49">
        <v>0.85416666666666674</v>
      </c>
      <c r="M236" s="23"/>
      <c r="N236" s="23">
        <v>4.7</v>
      </c>
      <c r="O236" s="23">
        <v>235</v>
      </c>
      <c r="P236" s="339" t="str">
        <f t="shared" si="3"/>
        <v>Yes</v>
      </c>
      <c r="Q236" s="351" t="str">
        <f ca="1">VLOOKUP(EpisodeList[[#This Row],[Season Number]], INDIRECT("'" &amp; EpisodeList[[#This Row],[Show]] &amp; " Season Info'!C2:J15"), 8,1)</f>
        <v>2009-10</v>
      </c>
    </row>
    <row r="237" spans="1:17" x14ac:dyDescent="0.2">
      <c r="A237" s="9" t="s">
        <v>243</v>
      </c>
      <c r="B237" s="24" t="s">
        <v>224</v>
      </c>
      <c r="C237" s="24">
        <v>6</v>
      </c>
      <c r="D237" s="24" t="str">
        <f>A237&amp; " S" &amp;C237</f>
        <v>The Office S6</v>
      </c>
      <c r="E237" s="24">
        <v>120</v>
      </c>
      <c r="F237" s="24">
        <v>20</v>
      </c>
      <c r="G237" s="415" t="s">
        <v>388</v>
      </c>
      <c r="H237" s="24" t="s">
        <v>284</v>
      </c>
      <c r="I237" s="24" t="s">
        <v>284</v>
      </c>
      <c r="J237" s="444">
        <v>40255</v>
      </c>
      <c r="K237" s="24" t="str">
        <f>CHOOSE(WEEKDAY(J237),"Sun","Mon","Tue","Wed","Thu","Fri","Sat")</f>
        <v>Thu</v>
      </c>
      <c r="L237" s="50">
        <v>0.875</v>
      </c>
      <c r="M237" s="24">
        <v>6020</v>
      </c>
      <c r="N237" s="24">
        <v>7.63</v>
      </c>
      <c r="O237" s="24">
        <v>236</v>
      </c>
      <c r="P237" s="340" t="str">
        <f t="shared" si="3"/>
        <v>Yes</v>
      </c>
      <c r="Q237" s="352" t="str">
        <f ca="1">VLOOKUP(EpisodeList[[#This Row],[Season Number]], INDIRECT("'" &amp; EpisodeList[[#This Row],[Show]] &amp; " Season Info'!C2:J15"), 8,1)</f>
        <v>2009-10</v>
      </c>
    </row>
    <row r="238" spans="1:17" x14ac:dyDescent="0.2">
      <c r="A238" s="15" t="s">
        <v>228</v>
      </c>
      <c r="B238" s="27" t="s">
        <v>222</v>
      </c>
      <c r="C238" s="27">
        <v>4</v>
      </c>
      <c r="D238" s="27" t="str">
        <f>A238&amp; " S" &amp;C238</f>
        <v>30 Rock S4</v>
      </c>
      <c r="E238" s="27">
        <v>73</v>
      </c>
      <c r="F238" s="27">
        <v>15</v>
      </c>
      <c r="G238" s="417" t="s">
        <v>124</v>
      </c>
      <c r="H238" s="27" t="s">
        <v>125</v>
      </c>
      <c r="I238" s="27" t="s">
        <v>126</v>
      </c>
      <c r="J238" s="446">
        <v>40255</v>
      </c>
      <c r="K238" s="27" t="str">
        <f>CHOOSE(WEEKDAY(J238),"Sun","Mon","Tue","Wed","Thu","Fri","Sat")</f>
        <v>Thu</v>
      </c>
      <c r="L238" s="52">
        <v>0.89583333333333326</v>
      </c>
      <c r="M238" s="27">
        <v>415</v>
      </c>
      <c r="N238" s="27">
        <v>6.79</v>
      </c>
      <c r="O238" s="27">
        <v>237</v>
      </c>
      <c r="P238" s="341" t="str">
        <f t="shared" si="3"/>
        <v>Yes</v>
      </c>
      <c r="Q238" s="353" t="str">
        <f ca="1">VLOOKUP(EpisodeList[[#This Row],[Season Number]], INDIRECT("'" &amp; EpisodeList[[#This Row],[Show]] &amp; " Season Info'!C2:J15"), 8,1)</f>
        <v>2009-10</v>
      </c>
    </row>
    <row r="239" spans="1:17" x14ac:dyDescent="0.2">
      <c r="A239" s="25" t="s">
        <v>687</v>
      </c>
      <c r="B239" s="26" t="s">
        <v>219</v>
      </c>
      <c r="C239" s="26">
        <v>1</v>
      </c>
      <c r="D239" s="26" t="str">
        <f>A239&amp; " S" &amp;C239</f>
        <v>Community S1</v>
      </c>
      <c r="E239" s="26">
        <v>20</v>
      </c>
      <c r="F239" s="26">
        <v>20</v>
      </c>
      <c r="G239" s="416" t="s">
        <v>542</v>
      </c>
      <c r="H239" s="26" t="s">
        <v>530</v>
      </c>
      <c r="I239" s="26" t="s">
        <v>527</v>
      </c>
      <c r="J239" s="445">
        <v>40262</v>
      </c>
      <c r="K239" s="26" t="str">
        <f>CHOOSE(WEEKDAY(J239),"Sun","Mon","Tue","Wed","Thu","Fri","Sat")</f>
        <v>Thu</v>
      </c>
      <c r="L239" s="51">
        <v>0.83333333333333326</v>
      </c>
      <c r="M239" s="26">
        <v>122</v>
      </c>
      <c r="N239" s="26">
        <v>5.07</v>
      </c>
      <c r="O239" s="26">
        <v>238</v>
      </c>
      <c r="P239" s="338" t="str">
        <f t="shared" si="3"/>
        <v>Yes</v>
      </c>
      <c r="Q239" s="350" t="str">
        <f ca="1">VLOOKUP(EpisodeList[[#This Row],[Season Number]], INDIRECT("'" &amp; EpisodeList[[#This Row],[Show]] &amp; " Season Info'!C2:J15"), 8,1)</f>
        <v>2009-10</v>
      </c>
    </row>
    <row r="240" spans="1:17" x14ac:dyDescent="0.2">
      <c r="A240" s="21" t="s">
        <v>859</v>
      </c>
      <c r="B240" s="23" t="s">
        <v>220</v>
      </c>
      <c r="C240" s="23">
        <v>2</v>
      </c>
      <c r="D240" s="23" t="str">
        <f>A240&amp; " S" &amp;C240</f>
        <v>Parks and Rec S2</v>
      </c>
      <c r="E240" s="23">
        <v>26</v>
      </c>
      <c r="F240" s="23">
        <v>20</v>
      </c>
      <c r="G240" s="414" t="s">
        <v>724</v>
      </c>
      <c r="H240" s="23" t="s">
        <v>90</v>
      </c>
      <c r="I240" s="23" t="s">
        <v>704</v>
      </c>
      <c r="J240" s="443">
        <v>40262</v>
      </c>
      <c r="K240" s="23" t="str">
        <f>CHOOSE(WEEKDAY(J240),"Sun","Mon","Tue","Wed","Thu","Fri","Sat")</f>
        <v>Thu</v>
      </c>
      <c r="L240" s="49">
        <v>0.85416666666666674</v>
      </c>
      <c r="M240" s="23"/>
      <c r="N240" s="23">
        <v>4.49</v>
      </c>
      <c r="O240" s="23">
        <v>239</v>
      </c>
      <c r="P240" s="339" t="str">
        <f t="shared" si="3"/>
        <v>Yes</v>
      </c>
      <c r="Q240" s="351" t="str">
        <f ca="1">VLOOKUP(EpisodeList[[#This Row],[Season Number]], INDIRECT("'" &amp; EpisodeList[[#This Row],[Show]] &amp; " Season Info'!C2:J15"), 8,1)</f>
        <v>2009-10</v>
      </c>
    </row>
    <row r="241" spans="1:17" x14ac:dyDescent="0.2">
      <c r="A241" s="9" t="s">
        <v>243</v>
      </c>
      <c r="B241" s="24" t="s">
        <v>224</v>
      </c>
      <c r="C241" s="24">
        <v>6</v>
      </c>
      <c r="D241" s="24" t="str">
        <f>A241&amp; " S" &amp;C241</f>
        <v>The Office S6</v>
      </c>
      <c r="E241" s="24">
        <v>121</v>
      </c>
      <c r="F241" s="24">
        <v>21</v>
      </c>
      <c r="G241" s="415" t="s">
        <v>389</v>
      </c>
      <c r="H241" s="24" t="s">
        <v>390</v>
      </c>
      <c r="I241" s="24" t="s">
        <v>232</v>
      </c>
      <c r="J241" s="444">
        <v>40262</v>
      </c>
      <c r="K241" s="24" t="str">
        <f>CHOOSE(WEEKDAY(J241),"Sun","Mon","Tue","Wed","Thu","Fri","Sat")</f>
        <v>Thu</v>
      </c>
      <c r="L241" s="50">
        <v>0.875</v>
      </c>
      <c r="M241" s="24">
        <v>6021</v>
      </c>
      <c r="N241" s="24">
        <v>7.17</v>
      </c>
      <c r="O241" s="24">
        <v>240</v>
      </c>
      <c r="P241" s="340" t="str">
        <f t="shared" si="3"/>
        <v>Yes</v>
      </c>
      <c r="Q241" s="352" t="str">
        <f ca="1">VLOOKUP(EpisodeList[[#This Row],[Season Number]], INDIRECT("'" &amp; EpisodeList[[#This Row],[Show]] &amp; " Season Info'!C2:J15"), 8,1)</f>
        <v>2009-10</v>
      </c>
    </row>
    <row r="242" spans="1:17" x14ac:dyDescent="0.2">
      <c r="A242" s="15" t="s">
        <v>228</v>
      </c>
      <c r="B242" s="27" t="s">
        <v>222</v>
      </c>
      <c r="C242" s="27">
        <v>4</v>
      </c>
      <c r="D242" s="27" t="str">
        <f>A242&amp; " S" &amp;C242</f>
        <v>30 Rock S4</v>
      </c>
      <c r="E242" s="27">
        <v>74</v>
      </c>
      <c r="F242" s="27">
        <v>16</v>
      </c>
      <c r="G242" s="417" t="s">
        <v>127</v>
      </c>
      <c r="H242" s="27" t="s">
        <v>95</v>
      </c>
      <c r="I242" s="27" t="s">
        <v>128</v>
      </c>
      <c r="J242" s="446">
        <v>40262</v>
      </c>
      <c r="K242" s="27" t="str">
        <f>CHOOSE(WEEKDAY(J242),"Sun","Mon","Tue","Wed","Thu","Fri","Sat")</f>
        <v>Thu</v>
      </c>
      <c r="L242" s="52">
        <v>0.89583333333333326</v>
      </c>
      <c r="M242" s="27">
        <v>416</v>
      </c>
      <c r="N242" s="27">
        <v>6.25</v>
      </c>
      <c r="O242" s="27">
        <v>241</v>
      </c>
      <c r="P242" s="341" t="str">
        <f t="shared" si="3"/>
        <v>Yes</v>
      </c>
      <c r="Q242" s="353" t="str">
        <f ca="1">VLOOKUP(EpisodeList[[#This Row],[Season Number]], INDIRECT("'" &amp; EpisodeList[[#This Row],[Show]] &amp; " Season Info'!C2:J15"), 8,1)</f>
        <v>2009-10</v>
      </c>
    </row>
    <row r="243" spans="1:17" x14ac:dyDescent="0.2">
      <c r="A243" s="25" t="s">
        <v>687</v>
      </c>
      <c r="B243" s="26" t="s">
        <v>219</v>
      </c>
      <c r="C243" s="26">
        <v>1</v>
      </c>
      <c r="D243" s="26" t="str">
        <f>A243&amp; " S" &amp;C243</f>
        <v>Community S1</v>
      </c>
      <c r="E243" s="26">
        <v>21</v>
      </c>
      <c r="F243" s="26">
        <v>21</v>
      </c>
      <c r="G243" s="416" t="s">
        <v>543</v>
      </c>
      <c r="H243" s="26" t="s">
        <v>544</v>
      </c>
      <c r="I243" s="26" t="s">
        <v>545</v>
      </c>
      <c r="J243" s="445">
        <v>40290</v>
      </c>
      <c r="K243" s="26" t="str">
        <f>CHOOSE(WEEKDAY(J243),"Sun","Mon","Tue","Wed","Thu","Fri","Sat")</f>
        <v>Thu</v>
      </c>
      <c r="L243" s="51">
        <v>0.83333333333333326</v>
      </c>
      <c r="M243" s="26">
        <v>123</v>
      </c>
      <c r="N243" s="26">
        <v>3.67</v>
      </c>
      <c r="O243" s="26">
        <v>242</v>
      </c>
      <c r="P243" s="338" t="str">
        <f t="shared" si="3"/>
        <v/>
      </c>
      <c r="Q243" s="350" t="str">
        <f ca="1">VLOOKUP(EpisodeList[[#This Row],[Season Number]], INDIRECT("'" &amp; EpisodeList[[#This Row],[Show]] &amp; " Season Info'!C2:J15"), 8,1)</f>
        <v>2009-10</v>
      </c>
    </row>
    <row r="244" spans="1:17" x14ac:dyDescent="0.2">
      <c r="A244" s="15" t="s">
        <v>228</v>
      </c>
      <c r="B244" s="27" t="s">
        <v>222</v>
      </c>
      <c r="C244" s="27">
        <v>4</v>
      </c>
      <c r="D244" s="27" t="str">
        <f>A244&amp; " S" &amp;C244</f>
        <v>30 Rock S4</v>
      </c>
      <c r="E244" s="27">
        <v>75</v>
      </c>
      <c r="F244" s="27">
        <v>17</v>
      </c>
      <c r="G244" s="417" t="s">
        <v>129</v>
      </c>
      <c r="H244" s="27" t="s">
        <v>17</v>
      </c>
      <c r="I244" s="27" t="s">
        <v>33</v>
      </c>
      <c r="J244" s="446">
        <v>40290</v>
      </c>
      <c r="K244" s="27" t="str">
        <f>CHOOSE(WEEKDAY(J244),"Sun","Mon","Tue","Wed","Thu","Fri","Sat")</f>
        <v>Thu</v>
      </c>
      <c r="L244" s="52">
        <v>0.85416666666666674</v>
      </c>
      <c r="M244" s="27">
        <v>417</v>
      </c>
      <c r="N244" s="27">
        <v>4</v>
      </c>
      <c r="O244" s="27">
        <v>243</v>
      </c>
      <c r="P244" s="341" t="str">
        <f t="shared" si="3"/>
        <v/>
      </c>
      <c r="Q244" s="353" t="str">
        <f ca="1">VLOOKUP(EpisodeList[[#This Row],[Season Number]], INDIRECT("'" &amp; EpisodeList[[#This Row],[Show]] &amp; " Season Info'!C2:J15"), 8,1)</f>
        <v>2009-10</v>
      </c>
    </row>
    <row r="245" spans="1:17" x14ac:dyDescent="0.2">
      <c r="A245" s="15" t="s">
        <v>228</v>
      </c>
      <c r="B245" s="27" t="s">
        <v>222</v>
      </c>
      <c r="C245" s="27">
        <v>4</v>
      </c>
      <c r="D245" s="27" t="str">
        <f>A245&amp; " S" &amp;C245</f>
        <v>30 Rock S4</v>
      </c>
      <c r="E245" s="27">
        <v>76</v>
      </c>
      <c r="F245" s="27">
        <v>18</v>
      </c>
      <c r="G245" s="417" t="s">
        <v>130</v>
      </c>
      <c r="H245" s="27" t="s">
        <v>106</v>
      </c>
      <c r="I245" s="27" t="s">
        <v>131</v>
      </c>
      <c r="J245" s="446">
        <v>40290</v>
      </c>
      <c r="K245" s="27" t="str">
        <f>CHOOSE(WEEKDAY(J245),"Sun","Mon","Tue","Wed","Thu","Fri","Sat")</f>
        <v>Thu</v>
      </c>
      <c r="L245" s="52">
        <v>0.875</v>
      </c>
      <c r="M245" s="27">
        <v>418</v>
      </c>
      <c r="N245" s="27">
        <v>5.16</v>
      </c>
      <c r="O245" s="27">
        <v>244</v>
      </c>
      <c r="P245" s="341" t="str">
        <f t="shared" si="3"/>
        <v/>
      </c>
      <c r="Q245" s="353" t="str">
        <f ca="1">VLOOKUP(EpisodeList[[#This Row],[Season Number]], INDIRECT("'" &amp; EpisodeList[[#This Row],[Show]] &amp; " Season Info'!C2:J15"), 8,1)</f>
        <v>2009-10</v>
      </c>
    </row>
    <row r="246" spans="1:17" x14ac:dyDescent="0.2">
      <c r="A246" s="9" t="s">
        <v>243</v>
      </c>
      <c r="B246" s="24" t="s">
        <v>224</v>
      </c>
      <c r="C246" s="24">
        <v>6</v>
      </c>
      <c r="D246" s="24" t="str">
        <f>A246&amp; " S" &amp;C246</f>
        <v>The Office S6</v>
      </c>
      <c r="E246" s="24">
        <v>122</v>
      </c>
      <c r="F246" s="24">
        <v>22</v>
      </c>
      <c r="G246" s="415" t="s">
        <v>391</v>
      </c>
      <c r="H246" s="24" t="s">
        <v>271</v>
      </c>
      <c r="I246" s="24" t="s">
        <v>242</v>
      </c>
      <c r="J246" s="444">
        <v>40290</v>
      </c>
      <c r="K246" s="24" t="str">
        <f>CHOOSE(WEEKDAY(J246),"Sun","Mon","Tue","Wed","Thu","Fri","Sat")</f>
        <v>Thu</v>
      </c>
      <c r="L246" s="50">
        <v>0.875</v>
      </c>
      <c r="M246" s="24">
        <v>6022</v>
      </c>
      <c r="N246" s="24">
        <v>6.3</v>
      </c>
      <c r="O246" s="24">
        <v>245</v>
      </c>
      <c r="P246" s="340" t="str">
        <f t="shared" si="3"/>
        <v/>
      </c>
      <c r="Q246" s="352" t="str">
        <f ca="1">VLOOKUP(EpisodeList[[#This Row],[Season Number]], INDIRECT("'" &amp; EpisodeList[[#This Row],[Show]] &amp; " Season Info'!C2:J15"), 8,1)</f>
        <v>2009-10</v>
      </c>
    </row>
    <row r="247" spans="1:17" x14ac:dyDescent="0.2">
      <c r="A247" s="25" t="s">
        <v>687</v>
      </c>
      <c r="B247" s="26" t="s">
        <v>219</v>
      </c>
      <c r="C247" s="26">
        <v>1</v>
      </c>
      <c r="D247" s="26" t="str">
        <f>A247&amp; " S" &amp;C247</f>
        <v>Community S1</v>
      </c>
      <c r="E247" s="26">
        <v>22</v>
      </c>
      <c r="F247" s="26">
        <v>22</v>
      </c>
      <c r="G247" s="416" t="s">
        <v>546</v>
      </c>
      <c r="H247" s="26" t="s">
        <v>530</v>
      </c>
      <c r="I247" s="26" t="s">
        <v>536</v>
      </c>
      <c r="J247" s="445">
        <v>40297</v>
      </c>
      <c r="K247" s="26" t="str">
        <f>CHOOSE(WEEKDAY(J247),"Sun","Mon","Tue","Wed","Thu","Fri","Sat")</f>
        <v>Thu</v>
      </c>
      <c r="L247" s="51">
        <v>0.83333333333333326</v>
      </c>
      <c r="M247" s="26">
        <v>124</v>
      </c>
      <c r="N247" s="26">
        <v>4.3600000000000003</v>
      </c>
      <c r="O247" s="26">
        <v>246</v>
      </c>
      <c r="P247" s="338" t="str">
        <f t="shared" si="3"/>
        <v>Yes</v>
      </c>
      <c r="Q247" s="350" t="str">
        <f ca="1">VLOOKUP(EpisodeList[[#This Row],[Season Number]], INDIRECT("'" &amp; EpisodeList[[#This Row],[Show]] &amp; " Season Info'!C2:J15"), 8,1)</f>
        <v>2009-10</v>
      </c>
    </row>
    <row r="248" spans="1:17" x14ac:dyDescent="0.2">
      <c r="A248" s="21" t="s">
        <v>859</v>
      </c>
      <c r="B248" s="23" t="s">
        <v>220</v>
      </c>
      <c r="C248" s="23">
        <v>2</v>
      </c>
      <c r="D248" s="23" t="str">
        <f>A248&amp; " S" &amp;C248</f>
        <v>Parks and Rec S2</v>
      </c>
      <c r="E248" s="23">
        <v>27</v>
      </c>
      <c r="F248" s="23">
        <v>21</v>
      </c>
      <c r="G248" s="414" t="s">
        <v>725</v>
      </c>
      <c r="H248" s="23" t="s">
        <v>544</v>
      </c>
      <c r="I248" s="23" t="s">
        <v>706</v>
      </c>
      <c r="J248" s="443">
        <v>40297</v>
      </c>
      <c r="K248" s="23" t="str">
        <f>CHOOSE(WEEKDAY(J248),"Sun","Mon","Tue","Wed","Thu","Fri","Sat")</f>
        <v>Thu</v>
      </c>
      <c r="L248" s="49">
        <v>0.85416666666666674</v>
      </c>
      <c r="M248" s="23"/>
      <c r="N248" s="23">
        <v>4.03</v>
      </c>
      <c r="O248" s="23">
        <v>247</v>
      </c>
      <c r="P248" s="339" t="str">
        <f t="shared" si="3"/>
        <v>Yes</v>
      </c>
      <c r="Q248" s="351" t="str">
        <f ca="1">VLOOKUP(EpisodeList[[#This Row],[Season Number]], INDIRECT("'" &amp; EpisodeList[[#This Row],[Show]] &amp; " Season Info'!C2:J15"), 8,1)</f>
        <v>2009-10</v>
      </c>
    </row>
    <row r="249" spans="1:17" x14ac:dyDescent="0.2">
      <c r="A249" s="9" t="s">
        <v>243</v>
      </c>
      <c r="B249" s="24" t="s">
        <v>224</v>
      </c>
      <c r="C249" s="24">
        <v>6</v>
      </c>
      <c r="D249" s="24" t="str">
        <f>A249&amp; " S" &amp;C249</f>
        <v>The Office S6</v>
      </c>
      <c r="E249" s="24">
        <v>123</v>
      </c>
      <c r="F249" s="24">
        <v>23</v>
      </c>
      <c r="G249" s="415" t="s">
        <v>392</v>
      </c>
      <c r="H249" s="24" t="s">
        <v>242</v>
      </c>
      <c r="I249" s="24" t="s">
        <v>291</v>
      </c>
      <c r="J249" s="444">
        <v>40297</v>
      </c>
      <c r="K249" s="24" t="str">
        <f>CHOOSE(WEEKDAY(J249),"Sun","Mon","Tue","Wed","Thu","Fri","Sat")</f>
        <v>Thu</v>
      </c>
      <c r="L249" s="50">
        <v>0.875</v>
      </c>
      <c r="M249" s="24">
        <v>6023</v>
      </c>
      <c r="N249" s="24">
        <v>7.01</v>
      </c>
      <c r="O249" s="24">
        <v>248</v>
      </c>
      <c r="P249" s="340" t="str">
        <f t="shared" si="3"/>
        <v>Yes</v>
      </c>
      <c r="Q249" s="352" t="str">
        <f ca="1">VLOOKUP(EpisodeList[[#This Row],[Season Number]], INDIRECT("'" &amp; EpisodeList[[#This Row],[Show]] &amp; " Season Info'!C2:J15"), 8,1)</f>
        <v>2009-10</v>
      </c>
    </row>
    <row r="250" spans="1:17" x14ac:dyDescent="0.2">
      <c r="A250" s="15" t="s">
        <v>228</v>
      </c>
      <c r="B250" s="27" t="s">
        <v>222</v>
      </c>
      <c r="C250" s="27">
        <v>4</v>
      </c>
      <c r="D250" s="27" t="str">
        <f>A250&amp; " S" &amp;C250</f>
        <v>30 Rock S4</v>
      </c>
      <c r="E250" s="27">
        <v>77</v>
      </c>
      <c r="F250" s="27">
        <v>19</v>
      </c>
      <c r="G250" s="417" t="s">
        <v>132</v>
      </c>
      <c r="H250" s="27" t="s">
        <v>133</v>
      </c>
      <c r="I250" s="27" t="s">
        <v>134</v>
      </c>
      <c r="J250" s="446">
        <v>40297</v>
      </c>
      <c r="K250" s="27" t="str">
        <f>CHOOSE(WEEKDAY(J250),"Sun","Mon","Tue","Wed","Thu","Fri","Sat")</f>
        <v>Thu</v>
      </c>
      <c r="L250" s="52">
        <v>0.89583333333333326</v>
      </c>
      <c r="M250" s="27">
        <v>419</v>
      </c>
      <c r="N250" s="27">
        <v>5.44</v>
      </c>
      <c r="O250" s="27">
        <v>249</v>
      </c>
      <c r="P250" s="341" t="str">
        <f t="shared" si="3"/>
        <v>Yes</v>
      </c>
      <c r="Q250" s="353" t="str">
        <f ca="1">VLOOKUP(EpisodeList[[#This Row],[Season Number]], INDIRECT("'" &amp; EpisodeList[[#This Row],[Show]] &amp; " Season Info'!C2:J15"), 8,1)</f>
        <v>2009-10</v>
      </c>
    </row>
    <row r="251" spans="1:17" x14ac:dyDescent="0.2">
      <c r="A251" s="25" t="s">
        <v>687</v>
      </c>
      <c r="B251" s="26" t="s">
        <v>219</v>
      </c>
      <c r="C251" s="26">
        <v>1</v>
      </c>
      <c r="D251" s="26" t="str">
        <f>A251&amp; " S" &amp;C251</f>
        <v>Community S1</v>
      </c>
      <c r="E251" s="26">
        <v>23</v>
      </c>
      <c r="F251" s="26">
        <v>23</v>
      </c>
      <c r="G251" s="416" t="s">
        <v>547</v>
      </c>
      <c r="H251" s="26" t="s">
        <v>521</v>
      </c>
      <c r="I251" s="26" t="s">
        <v>548</v>
      </c>
      <c r="J251" s="445">
        <v>40304</v>
      </c>
      <c r="K251" s="26" t="str">
        <f>CHOOSE(WEEKDAY(J251),"Sun","Mon","Tue","Wed","Thu","Fri","Sat")</f>
        <v>Thu</v>
      </c>
      <c r="L251" s="51">
        <v>0.83333333333333326</v>
      </c>
      <c r="M251" s="26">
        <v>119</v>
      </c>
      <c r="N251" s="26">
        <v>4.3499999999999996</v>
      </c>
      <c r="O251" s="26">
        <v>250</v>
      </c>
      <c r="P251" s="338" t="str">
        <f t="shared" si="3"/>
        <v>Yes</v>
      </c>
      <c r="Q251" s="350" t="str">
        <f ca="1">VLOOKUP(EpisodeList[[#This Row],[Season Number]], INDIRECT("'" &amp; EpisodeList[[#This Row],[Show]] &amp; " Season Info'!C2:J15"), 8,1)</f>
        <v>2009-10</v>
      </c>
    </row>
    <row r="252" spans="1:17" x14ac:dyDescent="0.2">
      <c r="A252" s="21" t="s">
        <v>859</v>
      </c>
      <c r="B252" s="23" t="s">
        <v>220</v>
      </c>
      <c r="C252" s="23">
        <v>2</v>
      </c>
      <c r="D252" s="23" t="str">
        <f>A252&amp; " S" &amp;C252</f>
        <v>Parks and Rec S2</v>
      </c>
      <c r="E252" s="23">
        <v>28</v>
      </c>
      <c r="F252" s="23">
        <v>22</v>
      </c>
      <c r="G252" s="414" t="s">
        <v>726</v>
      </c>
      <c r="H252" s="23" t="s">
        <v>428</v>
      </c>
      <c r="I252" s="23" t="s">
        <v>727</v>
      </c>
      <c r="J252" s="443">
        <v>40304</v>
      </c>
      <c r="K252" s="23" t="str">
        <f>CHOOSE(WEEKDAY(J252),"Sun","Mon","Tue","Wed","Thu","Fri","Sat")</f>
        <v>Thu</v>
      </c>
      <c r="L252" s="49">
        <v>0.85416666666666674</v>
      </c>
      <c r="M252" s="23"/>
      <c r="N252" s="23">
        <v>4.03</v>
      </c>
      <c r="O252" s="23">
        <v>251</v>
      </c>
      <c r="P252" s="339" t="str">
        <f t="shared" si="3"/>
        <v>Yes</v>
      </c>
      <c r="Q252" s="351" t="str">
        <f ca="1">VLOOKUP(EpisodeList[[#This Row],[Season Number]], INDIRECT("'" &amp; EpisodeList[[#This Row],[Show]] &amp; " Season Info'!C2:J15"), 8,1)</f>
        <v>2009-10</v>
      </c>
    </row>
    <row r="253" spans="1:17" x14ac:dyDescent="0.2">
      <c r="A253" s="9" t="s">
        <v>243</v>
      </c>
      <c r="B253" s="24" t="s">
        <v>224</v>
      </c>
      <c r="C253" s="24">
        <v>6</v>
      </c>
      <c r="D253" s="24" t="str">
        <f>A253&amp; " S" &amp;C253</f>
        <v>The Office S6</v>
      </c>
      <c r="E253" s="24">
        <v>124</v>
      </c>
      <c r="F253" s="24">
        <v>24</v>
      </c>
      <c r="G253" s="415" t="s">
        <v>393</v>
      </c>
      <c r="H253" s="24" t="s">
        <v>394</v>
      </c>
      <c r="I253" s="24" t="s">
        <v>250</v>
      </c>
      <c r="J253" s="444">
        <v>40304</v>
      </c>
      <c r="K253" s="24" t="str">
        <f>CHOOSE(WEEKDAY(J253),"Sun","Mon","Tue","Wed","Thu","Fri","Sat")</f>
        <v>Thu</v>
      </c>
      <c r="L253" s="50">
        <v>0.875</v>
      </c>
      <c r="M253" s="24">
        <v>6024</v>
      </c>
      <c r="N253" s="24">
        <v>6.84</v>
      </c>
      <c r="O253" s="24">
        <v>252</v>
      </c>
      <c r="P253" s="340" t="str">
        <f t="shared" si="3"/>
        <v>Yes</v>
      </c>
      <c r="Q253" s="352" t="str">
        <f ca="1">VLOOKUP(EpisodeList[[#This Row],[Season Number]], INDIRECT("'" &amp; EpisodeList[[#This Row],[Show]] &amp; " Season Info'!C2:J15"), 8,1)</f>
        <v>2009-10</v>
      </c>
    </row>
    <row r="254" spans="1:17" x14ac:dyDescent="0.2">
      <c r="A254" s="15" t="s">
        <v>228</v>
      </c>
      <c r="B254" s="27" t="s">
        <v>222</v>
      </c>
      <c r="C254" s="27">
        <v>4</v>
      </c>
      <c r="D254" s="27" t="str">
        <f>A254&amp; " S" &amp;C254</f>
        <v>30 Rock S4</v>
      </c>
      <c r="E254" s="27">
        <v>78</v>
      </c>
      <c r="F254" s="27">
        <v>20</v>
      </c>
      <c r="G254" s="417" t="s">
        <v>135</v>
      </c>
      <c r="H254" s="27" t="s">
        <v>12</v>
      </c>
      <c r="I254" s="27" t="s">
        <v>136</v>
      </c>
      <c r="J254" s="446">
        <v>40304</v>
      </c>
      <c r="K254" s="27" t="str">
        <f>CHOOSE(WEEKDAY(J254),"Sun","Mon","Tue","Wed","Thu","Fri","Sat")</f>
        <v>Thu</v>
      </c>
      <c r="L254" s="52">
        <v>0.89583333333333326</v>
      </c>
      <c r="M254" s="27">
        <v>420</v>
      </c>
      <c r="N254" s="27">
        <v>5.42</v>
      </c>
      <c r="O254" s="27">
        <v>253</v>
      </c>
      <c r="P254" s="341" t="str">
        <f t="shared" si="3"/>
        <v>Yes</v>
      </c>
      <c r="Q254" s="353" t="str">
        <f ca="1">VLOOKUP(EpisodeList[[#This Row],[Season Number]], INDIRECT("'" &amp; EpisodeList[[#This Row],[Show]] &amp; " Season Info'!C2:J15"), 8,1)</f>
        <v>2009-10</v>
      </c>
    </row>
    <row r="255" spans="1:17" x14ac:dyDescent="0.2">
      <c r="A255" s="25" t="s">
        <v>687</v>
      </c>
      <c r="B255" s="26" t="s">
        <v>219</v>
      </c>
      <c r="C255" s="26">
        <v>1</v>
      </c>
      <c r="D255" s="26" t="str">
        <f>A255&amp; " S" &amp;C255</f>
        <v>Community S1</v>
      </c>
      <c r="E255" s="26">
        <v>24</v>
      </c>
      <c r="F255" s="26">
        <v>24</v>
      </c>
      <c r="G255" s="416" t="s">
        <v>549</v>
      </c>
      <c r="H255" s="26" t="s">
        <v>14</v>
      </c>
      <c r="I255" s="26" t="s">
        <v>525</v>
      </c>
      <c r="J255" s="445">
        <v>40311</v>
      </c>
      <c r="K255" s="26" t="str">
        <f>CHOOSE(WEEKDAY(J255),"Sun","Mon","Tue","Wed","Thu","Fri","Sat")</f>
        <v>Thu</v>
      </c>
      <c r="L255" s="51">
        <v>0.83333333333333326</v>
      </c>
      <c r="M255" s="26">
        <v>120</v>
      </c>
      <c r="N255" s="26">
        <v>4.49</v>
      </c>
      <c r="O255" s="26">
        <v>254</v>
      </c>
      <c r="P255" s="338" t="str">
        <f t="shared" si="3"/>
        <v>Yes</v>
      </c>
      <c r="Q255" s="350" t="str">
        <f ca="1">VLOOKUP(EpisodeList[[#This Row],[Season Number]], INDIRECT("'" &amp; EpisodeList[[#This Row],[Show]] &amp; " Season Info'!C2:J15"), 8,1)</f>
        <v>2009-10</v>
      </c>
    </row>
    <row r="256" spans="1:17" x14ac:dyDescent="0.2">
      <c r="A256" s="21" t="s">
        <v>859</v>
      </c>
      <c r="B256" s="23" t="s">
        <v>220</v>
      </c>
      <c r="C256" s="23">
        <v>2</v>
      </c>
      <c r="D256" s="23" t="str">
        <f>A256&amp; " S" &amp;C256</f>
        <v>Parks and Rec S2</v>
      </c>
      <c r="E256" s="23">
        <v>29</v>
      </c>
      <c r="F256" s="23">
        <v>23</v>
      </c>
      <c r="G256" s="414" t="s">
        <v>729</v>
      </c>
      <c r="H256" s="23" t="s">
        <v>348</v>
      </c>
      <c r="I256" s="23" t="s">
        <v>237</v>
      </c>
      <c r="J256" s="443">
        <v>40311</v>
      </c>
      <c r="K256" s="23" t="str">
        <f>CHOOSE(WEEKDAY(J256),"Sun","Mon","Tue","Wed","Thu","Fri","Sat")</f>
        <v>Thu</v>
      </c>
      <c r="L256" s="49">
        <v>0.85416666666666674</v>
      </c>
      <c r="M256" s="23"/>
      <c r="N256" s="23">
        <v>4.28</v>
      </c>
      <c r="O256" s="23">
        <v>255</v>
      </c>
      <c r="P256" s="339" t="str">
        <f t="shared" si="3"/>
        <v>Yes</v>
      </c>
      <c r="Q256" s="351" t="str">
        <f ca="1">VLOOKUP(EpisodeList[[#This Row],[Season Number]], INDIRECT("'" &amp; EpisodeList[[#This Row],[Show]] &amp; " Season Info'!C2:J15"), 8,1)</f>
        <v>2009-10</v>
      </c>
    </row>
    <row r="257" spans="1:17" x14ac:dyDescent="0.2">
      <c r="A257" s="9" t="s">
        <v>243</v>
      </c>
      <c r="B257" s="24" t="s">
        <v>224</v>
      </c>
      <c r="C257" s="24">
        <v>6</v>
      </c>
      <c r="D257" s="24" t="str">
        <f>A257&amp; " S" &amp;C257</f>
        <v>The Office S6</v>
      </c>
      <c r="E257" s="24">
        <v>125</v>
      </c>
      <c r="F257" s="24">
        <v>25</v>
      </c>
      <c r="G257" s="415" t="s">
        <v>395</v>
      </c>
      <c r="H257" s="24" t="s">
        <v>279</v>
      </c>
      <c r="I257" s="24" t="s">
        <v>335</v>
      </c>
      <c r="J257" s="444">
        <v>40311</v>
      </c>
      <c r="K257" s="24" t="str">
        <f>CHOOSE(WEEKDAY(J257),"Sun","Mon","Tue","Wed","Thu","Fri","Sat")</f>
        <v>Thu</v>
      </c>
      <c r="L257" s="50">
        <v>0.875</v>
      </c>
      <c r="M257" s="24">
        <v>6025</v>
      </c>
      <c r="N257" s="24">
        <v>6.6</v>
      </c>
      <c r="O257" s="24">
        <v>256</v>
      </c>
      <c r="P257" s="340" t="str">
        <f t="shared" si="3"/>
        <v>Yes</v>
      </c>
      <c r="Q257" s="352" t="str">
        <f ca="1">VLOOKUP(EpisodeList[[#This Row],[Season Number]], INDIRECT("'" &amp; EpisodeList[[#This Row],[Show]] &amp; " Season Info'!C2:J15"), 8,1)</f>
        <v>2009-10</v>
      </c>
    </row>
    <row r="258" spans="1:17" x14ac:dyDescent="0.2">
      <c r="A258" s="15" t="s">
        <v>228</v>
      </c>
      <c r="B258" s="27" t="s">
        <v>222</v>
      </c>
      <c r="C258" s="27">
        <v>4</v>
      </c>
      <c r="D258" s="27" t="str">
        <f>A258&amp; " S" &amp;C258</f>
        <v>30 Rock S4</v>
      </c>
      <c r="E258" s="27">
        <v>79</v>
      </c>
      <c r="F258" s="27">
        <v>21</v>
      </c>
      <c r="G258" s="417" t="s">
        <v>137</v>
      </c>
      <c r="H258" s="27" t="s">
        <v>106</v>
      </c>
      <c r="I258" s="27" t="s">
        <v>29</v>
      </c>
      <c r="J258" s="446">
        <v>40311</v>
      </c>
      <c r="K258" s="27" t="str">
        <f>CHOOSE(WEEKDAY(J258),"Sun","Mon","Tue","Wed","Thu","Fri","Sat")</f>
        <v>Thu</v>
      </c>
      <c r="L258" s="52">
        <v>0.89583333333333326</v>
      </c>
      <c r="M258" s="27">
        <v>421</v>
      </c>
      <c r="N258" s="27">
        <v>4.96</v>
      </c>
      <c r="O258" s="27">
        <v>257</v>
      </c>
      <c r="P258" s="341" t="str">
        <f t="shared" ref="P258:P321" si="4">IF(AND(
    COUNTIFS(A:A, A258, J:J, J258) = 1,
    COUNTIFS(A:A, "30 Rock", J:J, J258) = 1,
    COUNTIFS(A:A, "The Office", J:J, J258) = 1,
    COUNTIFS(A:A, "Community", J:J, J258) = 1,
    COUNTIFS(A:A, "Parks and Rec", J:J, J258) = 1
), "Yes", "")</f>
        <v>Yes</v>
      </c>
      <c r="Q258" s="353" t="str">
        <f ca="1">VLOOKUP(EpisodeList[[#This Row],[Season Number]], INDIRECT("'" &amp; EpisodeList[[#This Row],[Show]] &amp; " Season Info'!C2:J15"), 8,1)</f>
        <v>2009-10</v>
      </c>
    </row>
    <row r="259" spans="1:17" x14ac:dyDescent="0.2">
      <c r="A259" s="25" t="s">
        <v>687</v>
      </c>
      <c r="B259" s="26" t="s">
        <v>219</v>
      </c>
      <c r="C259" s="26">
        <v>1</v>
      </c>
      <c r="D259" s="26" t="str">
        <f>A259&amp; " S" &amp;C259</f>
        <v>Community S1</v>
      </c>
      <c r="E259" s="26">
        <v>25</v>
      </c>
      <c r="F259" s="26">
        <v>25</v>
      </c>
      <c r="G259" s="416" t="s">
        <v>550</v>
      </c>
      <c r="H259" s="26" t="s">
        <v>510</v>
      </c>
      <c r="I259" s="26" t="s">
        <v>519</v>
      </c>
      <c r="J259" s="445">
        <v>40318</v>
      </c>
      <c r="K259" s="26" t="str">
        <f>CHOOSE(WEEKDAY(J259),"Sun","Mon","Tue","Wed","Thu","Fri","Sat")</f>
        <v>Thu</v>
      </c>
      <c r="L259" s="51">
        <v>0.83333333333333326</v>
      </c>
      <c r="M259" s="26">
        <v>121</v>
      </c>
      <c r="N259" s="26">
        <v>4.41</v>
      </c>
      <c r="O259" s="26">
        <v>258</v>
      </c>
      <c r="P259" s="338" t="str">
        <f t="shared" si="4"/>
        <v>Yes</v>
      </c>
      <c r="Q259" s="350" t="str">
        <f ca="1">VLOOKUP(EpisodeList[[#This Row],[Season Number]], INDIRECT("'" &amp; EpisodeList[[#This Row],[Show]] &amp; " Season Info'!C2:J15"), 8,1)</f>
        <v>2009-10</v>
      </c>
    </row>
    <row r="260" spans="1:17" x14ac:dyDescent="0.2">
      <c r="A260" s="21" t="s">
        <v>859</v>
      </c>
      <c r="B260" s="23" t="s">
        <v>220</v>
      </c>
      <c r="C260" s="23">
        <v>2</v>
      </c>
      <c r="D260" s="23" t="str">
        <f>A260&amp; " S" &amp;C260</f>
        <v>Parks and Rec S2</v>
      </c>
      <c r="E260" s="23">
        <v>30</v>
      </c>
      <c r="F260" s="23">
        <v>24</v>
      </c>
      <c r="G260" s="414" t="s">
        <v>728</v>
      </c>
      <c r="H260" s="23" t="s">
        <v>703</v>
      </c>
      <c r="I260" s="23" t="s">
        <v>692</v>
      </c>
      <c r="J260" s="443">
        <v>40318</v>
      </c>
      <c r="K260" s="23" t="str">
        <f>CHOOSE(WEEKDAY(J260),"Sun","Mon","Tue","Wed","Thu","Fri","Sat")</f>
        <v>Thu</v>
      </c>
      <c r="L260" s="49">
        <v>0.85416666666666674</v>
      </c>
      <c r="M260" s="23"/>
      <c r="N260" s="23">
        <v>4.55</v>
      </c>
      <c r="O260" s="23">
        <v>259</v>
      </c>
      <c r="P260" s="339" t="str">
        <f t="shared" si="4"/>
        <v>Yes</v>
      </c>
      <c r="Q260" s="351" t="str">
        <f ca="1">VLOOKUP(EpisodeList[[#This Row],[Season Number]], INDIRECT("'" &amp; EpisodeList[[#This Row],[Show]] &amp; " Season Info'!C2:J15"), 8,1)</f>
        <v>2009-10</v>
      </c>
    </row>
    <row r="261" spans="1:17" x14ac:dyDescent="0.2">
      <c r="A261" s="9" t="s">
        <v>243</v>
      </c>
      <c r="B261" s="24" t="s">
        <v>224</v>
      </c>
      <c r="C261" s="24">
        <v>6</v>
      </c>
      <c r="D261" s="24" t="str">
        <f>A261&amp; " S" &amp;C261</f>
        <v>The Office S6</v>
      </c>
      <c r="E261" s="24">
        <v>126</v>
      </c>
      <c r="F261" s="24">
        <v>26</v>
      </c>
      <c r="G261" s="415" t="s">
        <v>396</v>
      </c>
      <c r="H261" s="24" t="s">
        <v>234</v>
      </c>
      <c r="I261" s="24" t="s">
        <v>364</v>
      </c>
      <c r="J261" s="444">
        <v>40318</v>
      </c>
      <c r="K261" s="24" t="str">
        <f>CHOOSE(WEEKDAY(J261),"Sun","Mon","Tue","Wed","Thu","Fri","Sat")</f>
        <v>Thu</v>
      </c>
      <c r="L261" s="50">
        <v>0.875</v>
      </c>
      <c r="M261" s="24">
        <v>6026</v>
      </c>
      <c r="N261" s="24">
        <v>6.6</v>
      </c>
      <c r="O261" s="24">
        <v>260</v>
      </c>
      <c r="P261" s="340" t="str">
        <f t="shared" si="4"/>
        <v>Yes</v>
      </c>
      <c r="Q261" s="352" t="str">
        <f ca="1">VLOOKUP(EpisodeList[[#This Row],[Season Number]], INDIRECT("'" &amp; EpisodeList[[#This Row],[Show]] &amp; " Season Info'!C2:J15"), 8,1)</f>
        <v>2009-10</v>
      </c>
    </row>
    <row r="262" spans="1:17" x14ac:dyDescent="0.2">
      <c r="A262" s="15" t="s">
        <v>228</v>
      </c>
      <c r="B262" s="27" t="s">
        <v>222</v>
      </c>
      <c r="C262" s="27">
        <v>4</v>
      </c>
      <c r="D262" s="27" t="str">
        <f>A262&amp; " S" &amp;C262</f>
        <v>30 Rock S4</v>
      </c>
      <c r="E262" s="27">
        <v>80</v>
      </c>
      <c r="F262" s="27">
        <v>22</v>
      </c>
      <c r="G262" s="417" t="s">
        <v>138</v>
      </c>
      <c r="H262" s="27" t="s">
        <v>17</v>
      </c>
      <c r="I262" s="27" t="s">
        <v>9</v>
      </c>
      <c r="J262" s="446">
        <v>40318</v>
      </c>
      <c r="K262" s="27" t="str">
        <f>CHOOSE(WEEKDAY(J262),"Sun","Mon","Tue","Wed","Thu","Fri","Sat")</f>
        <v>Thu</v>
      </c>
      <c r="L262" s="52">
        <v>0.89583333333333326</v>
      </c>
      <c r="M262" s="27">
        <v>422</v>
      </c>
      <c r="N262" s="27">
        <v>5.45</v>
      </c>
      <c r="O262" s="27">
        <v>261</v>
      </c>
      <c r="P262" s="341" t="str">
        <f t="shared" si="4"/>
        <v>Yes</v>
      </c>
      <c r="Q262" s="353" t="str">
        <f ca="1">VLOOKUP(EpisodeList[[#This Row],[Season Number]], INDIRECT("'" &amp; EpisodeList[[#This Row],[Show]] &amp; " Season Info'!C2:J15"), 8,1)</f>
        <v>2009-10</v>
      </c>
    </row>
    <row r="263" spans="1:17" x14ac:dyDescent="0.2">
      <c r="A263" s="25" t="s">
        <v>687</v>
      </c>
      <c r="B263" s="53" t="s">
        <v>220</v>
      </c>
      <c r="C263" s="53">
        <v>2</v>
      </c>
      <c r="D263" s="53" t="str">
        <f>A263&amp; " S" &amp;C263</f>
        <v>Community S2</v>
      </c>
      <c r="E263" s="53">
        <v>26</v>
      </c>
      <c r="F263" s="53">
        <v>1</v>
      </c>
      <c r="G263" s="418" t="s">
        <v>551</v>
      </c>
      <c r="H263" s="53" t="s">
        <v>510</v>
      </c>
      <c r="I263" s="53" t="s">
        <v>536</v>
      </c>
      <c r="J263" s="447">
        <v>40444</v>
      </c>
      <c r="K263" s="53" t="str">
        <f>CHOOSE(WEEKDAY(J263),"Sun","Mon","Tue","Wed","Thu","Fri","Sat")</f>
        <v>Thu</v>
      </c>
      <c r="L263" s="54">
        <v>0.83333333333333326</v>
      </c>
      <c r="M263" s="53">
        <v>201</v>
      </c>
      <c r="N263" s="53">
        <v>5.01</v>
      </c>
      <c r="O263" s="53">
        <v>262</v>
      </c>
      <c r="P263" s="342" t="str">
        <f t="shared" si="4"/>
        <v/>
      </c>
      <c r="Q263" s="354" t="str">
        <f ca="1">VLOOKUP(EpisodeList[[#This Row],[Season Number]], INDIRECT("'" &amp; EpisodeList[[#This Row],[Show]] &amp; " Season Info'!C2:J15"), 8,1)</f>
        <v>2010-11</v>
      </c>
    </row>
    <row r="264" spans="1:17" x14ac:dyDescent="0.2">
      <c r="A264" s="15" t="s">
        <v>228</v>
      </c>
      <c r="B264" s="28" t="s">
        <v>223</v>
      </c>
      <c r="C264" s="28">
        <v>5</v>
      </c>
      <c r="D264" s="28" t="str">
        <f>A264&amp; " S" &amp;C264</f>
        <v>30 Rock S5</v>
      </c>
      <c r="E264" s="28">
        <v>81</v>
      </c>
      <c r="F264" s="28">
        <v>1</v>
      </c>
      <c r="G264" s="419" t="s">
        <v>139</v>
      </c>
      <c r="H264" s="28" t="s">
        <v>140</v>
      </c>
      <c r="I264" s="28" t="s">
        <v>9</v>
      </c>
      <c r="J264" s="448">
        <v>40444</v>
      </c>
      <c r="K264" s="28" t="str">
        <f>CHOOSE(WEEKDAY(J264),"Sun","Mon","Tue","Wed","Thu","Fri","Sat")</f>
        <v>Thu</v>
      </c>
      <c r="L264" s="55">
        <v>0.85416666666666674</v>
      </c>
      <c r="M264" s="28">
        <v>501</v>
      </c>
      <c r="N264" s="28">
        <v>5.85</v>
      </c>
      <c r="O264" s="28">
        <v>263</v>
      </c>
      <c r="P264" s="345" t="str">
        <f t="shared" si="4"/>
        <v/>
      </c>
      <c r="Q264" s="357" t="str">
        <f ca="1">VLOOKUP(EpisodeList[[#This Row],[Season Number]], INDIRECT("'" &amp; EpisodeList[[#This Row],[Show]] &amp; " Season Info'!C2:J15"), 8,1)</f>
        <v>2010-11</v>
      </c>
    </row>
    <row r="265" spans="1:17" x14ac:dyDescent="0.2">
      <c r="A265" s="9" t="s">
        <v>243</v>
      </c>
      <c r="B265" s="29" t="s">
        <v>225</v>
      </c>
      <c r="C265" s="29">
        <v>7</v>
      </c>
      <c r="D265" s="29" t="str">
        <f>A265&amp; " S" &amp;C265</f>
        <v>The Office S7</v>
      </c>
      <c r="E265" s="29">
        <v>127</v>
      </c>
      <c r="F265" s="29">
        <v>1</v>
      </c>
      <c r="G265" s="420" t="s">
        <v>397</v>
      </c>
      <c r="H265" s="29" t="s">
        <v>286</v>
      </c>
      <c r="I265" s="29" t="s">
        <v>378</v>
      </c>
      <c r="J265" s="449">
        <v>40444</v>
      </c>
      <c r="K265" s="29" t="str">
        <f>CHOOSE(WEEKDAY(J265),"Sun","Mon","Tue","Wed","Thu","Fri","Sat")</f>
        <v>Thu</v>
      </c>
      <c r="L265" s="56">
        <v>0.875</v>
      </c>
      <c r="M265" s="29">
        <v>7001</v>
      </c>
      <c r="N265" s="29">
        <v>8.4</v>
      </c>
      <c r="O265" s="29">
        <v>264</v>
      </c>
      <c r="P265" s="343" t="str">
        <f t="shared" si="4"/>
        <v/>
      </c>
      <c r="Q265" s="355" t="str">
        <f ca="1">VLOOKUP(EpisodeList[[#This Row],[Season Number]], INDIRECT("'" &amp; EpisodeList[[#This Row],[Show]] &amp; " Season Info'!C2:J15"), 8,1)</f>
        <v>2010-11</v>
      </c>
    </row>
    <row r="266" spans="1:17" x14ac:dyDescent="0.2">
      <c r="A266" s="25" t="s">
        <v>687</v>
      </c>
      <c r="B266" s="53" t="s">
        <v>220</v>
      </c>
      <c r="C266" s="53">
        <v>2</v>
      </c>
      <c r="D266" s="53" t="str">
        <f>A266&amp; " S" &amp;C266</f>
        <v>Community S2</v>
      </c>
      <c r="E266" s="53">
        <v>27</v>
      </c>
      <c r="F266" s="53">
        <v>2</v>
      </c>
      <c r="G266" s="418" t="s">
        <v>552</v>
      </c>
      <c r="H266" s="53" t="s">
        <v>510</v>
      </c>
      <c r="I266" s="53" t="s">
        <v>548</v>
      </c>
      <c r="J266" s="447">
        <v>40451</v>
      </c>
      <c r="K266" s="53" t="str">
        <f>CHOOSE(WEEKDAY(J266),"Sun","Mon","Tue","Wed","Thu","Fri","Sat")</f>
        <v>Thu</v>
      </c>
      <c r="L266" s="54">
        <v>0.83333333333333326</v>
      </c>
      <c r="M266" s="53">
        <v>203</v>
      </c>
      <c r="N266" s="53">
        <v>4.53</v>
      </c>
      <c r="O266" s="53">
        <v>265</v>
      </c>
      <c r="P266" s="342" t="str">
        <f t="shared" si="4"/>
        <v/>
      </c>
      <c r="Q266" s="354" t="str">
        <f ca="1">VLOOKUP(EpisodeList[[#This Row],[Season Number]], INDIRECT("'" &amp; EpisodeList[[#This Row],[Show]] &amp; " Season Info'!C2:J15"), 8,1)</f>
        <v>2010-11</v>
      </c>
    </row>
    <row r="267" spans="1:17" x14ac:dyDescent="0.2">
      <c r="A267" s="15" t="s">
        <v>228</v>
      </c>
      <c r="B267" s="28" t="s">
        <v>223</v>
      </c>
      <c r="C267" s="28">
        <v>5</v>
      </c>
      <c r="D267" s="28" t="str">
        <f>A267&amp; " S" &amp;C267</f>
        <v>30 Rock S5</v>
      </c>
      <c r="E267" s="28">
        <v>82</v>
      </c>
      <c r="F267" s="28">
        <v>2</v>
      </c>
      <c r="G267" s="419" t="s">
        <v>141</v>
      </c>
      <c r="H267" s="28" t="s">
        <v>17</v>
      </c>
      <c r="I267" s="28" t="s">
        <v>15</v>
      </c>
      <c r="J267" s="448">
        <v>40451</v>
      </c>
      <c r="K267" s="28" t="str">
        <f>CHOOSE(WEEKDAY(J267),"Sun","Mon","Tue","Wed","Thu","Fri","Sat")</f>
        <v>Thu</v>
      </c>
      <c r="L267" s="55">
        <v>0.85416666666666674</v>
      </c>
      <c r="M267" s="28">
        <v>502</v>
      </c>
      <c r="N267" s="28">
        <v>5.68</v>
      </c>
      <c r="O267" s="28">
        <v>266</v>
      </c>
      <c r="P267" s="345" t="str">
        <f t="shared" si="4"/>
        <v/>
      </c>
      <c r="Q267" s="357" t="str">
        <f ca="1">VLOOKUP(EpisodeList[[#This Row],[Season Number]], INDIRECT("'" &amp; EpisodeList[[#This Row],[Show]] &amp; " Season Info'!C2:J15"), 8,1)</f>
        <v>2010-11</v>
      </c>
    </row>
    <row r="268" spans="1:17" x14ac:dyDescent="0.2">
      <c r="A268" s="9" t="s">
        <v>243</v>
      </c>
      <c r="B268" s="29" t="s">
        <v>225</v>
      </c>
      <c r="C268" s="29">
        <v>7</v>
      </c>
      <c r="D268" s="29" t="str">
        <f>A268&amp; " S" &amp;C268</f>
        <v>The Office S7</v>
      </c>
      <c r="E268" s="29">
        <v>128</v>
      </c>
      <c r="F268" s="29">
        <v>2</v>
      </c>
      <c r="G268" s="420" t="s">
        <v>398</v>
      </c>
      <c r="H268" s="29" t="s">
        <v>286</v>
      </c>
      <c r="I268" s="29" t="s">
        <v>232</v>
      </c>
      <c r="J268" s="449">
        <v>40451</v>
      </c>
      <c r="K268" s="29" t="str">
        <f>CHOOSE(WEEKDAY(J268),"Sun","Mon","Tue","Wed","Thu","Fri","Sat")</f>
        <v>Thu</v>
      </c>
      <c r="L268" s="56">
        <v>0.875</v>
      </c>
      <c r="M268" s="29">
        <v>7002</v>
      </c>
      <c r="N268" s="29">
        <v>7.36</v>
      </c>
      <c r="O268" s="29">
        <v>267</v>
      </c>
      <c r="P268" s="343" t="str">
        <f t="shared" si="4"/>
        <v/>
      </c>
      <c r="Q268" s="355" t="str">
        <f ca="1">VLOOKUP(EpisodeList[[#This Row],[Season Number]], INDIRECT("'" &amp; EpisodeList[[#This Row],[Show]] &amp; " Season Info'!C2:J15"), 8,1)</f>
        <v>2010-11</v>
      </c>
    </row>
    <row r="269" spans="1:17" x14ac:dyDescent="0.2">
      <c r="A269" s="25" t="s">
        <v>687</v>
      </c>
      <c r="B269" s="53" t="s">
        <v>220</v>
      </c>
      <c r="C269" s="53">
        <v>2</v>
      </c>
      <c r="D269" s="53" t="str">
        <f>A269&amp; " S" &amp;C269</f>
        <v>Community S2</v>
      </c>
      <c r="E269" s="53">
        <v>28</v>
      </c>
      <c r="F269" s="53">
        <v>3</v>
      </c>
      <c r="G269" s="418" t="s">
        <v>553</v>
      </c>
      <c r="H269" s="53" t="s">
        <v>512</v>
      </c>
      <c r="I269" s="53" t="s">
        <v>519</v>
      </c>
      <c r="J269" s="447">
        <v>40458</v>
      </c>
      <c r="K269" s="53" t="str">
        <f>CHOOSE(WEEKDAY(J269),"Sun","Mon","Tue","Wed","Thu","Fri","Sat")</f>
        <v>Thu</v>
      </c>
      <c r="L269" s="54">
        <v>0.83333333333333326</v>
      </c>
      <c r="M269" s="53">
        <v>202</v>
      </c>
      <c r="N269" s="53">
        <v>4.2</v>
      </c>
      <c r="O269" s="53">
        <v>268</v>
      </c>
      <c r="P269" s="342" t="str">
        <f t="shared" si="4"/>
        <v/>
      </c>
      <c r="Q269" s="354" t="str">
        <f ca="1">VLOOKUP(EpisodeList[[#This Row],[Season Number]], INDIRECT("'" &amp; EpisodeList[[#This Row],[Show]] &amp; " Season Info'!C2:J15"), 8,1)</f>
        <v>2010-11</v>
      </c>
    </row>
    <row r="270" spans="1:17" x14ac:dyDescent="0.2">
      <c r="A270" s="15" t="s">
        <v>228</v>
      </c>
      <c r="B270" s="28" t="s">
        <v>223</v>
      </c>
      <c r="C270" s="28">
        <v>5</v>
      </c>
      <c r="D270" s="28" t="str">
        <f>A270&amp; " S" &amp;C270</f>
        <v>30 Rock S5</v>
      </c>
      <c r="E270" s="28">
        <v>83</v>
      </c>
      <c r="F270" s="28">
        <v>3</v>
      </c>
      <c r="G270" s="419" t="s">
        <v>142</v>
      </c>
      <c r="H270" s="28" t="s">
        <v>12</v>
      </c>
      <c r="I270" s="28" t="s">
        <v>20</v>
      </c>
      <c r="J270" s="448">
        <v>40458</v>
      </c>
      <c r="K270" s="28" t="str">
        <f>CHOOSE(WEEKDAY(J270),"Sun","Mon","Tue","Wed","Thu","Fri","Sat")</f>
        <v>Thu</v>
      </c>
      <c r="L270" s="55">
        <v>0.85416666666666674</v>
      </c>
      <c r="M270" s="28">
        <v>503</v>
      </c>
      <c r="N270" s="28">
        <v>4.9000000000000004</v>
      </c>
      <c r="O270" s="28">
        <v>269</v>
      </c>
      <c r="P270" s="345" t="str">
        <f t="shared" si="4"/>
        <v/>
      </c>
      <c r="Q270" s="357" t="str">
        <f ca="1">VLOOKUP(EpisodeList[[#This Row],[Season Number]], INDIRECT("'" &amp; EpisodeList[[#This Row],[Show]] &amp; " Season Info'!C2:J15"), 8,1)</f>
        <v>2010-11</v>
      </c>
    </row>
    <row r="271" spans="1:17" x14ac:dyDescent="0.2">
      <c r="A271" s="9" t="s">
        <v>243</v>
      </c>
      <c r="B271" s="29" t="s">
        <v>225</v>
      </c>
      <c r="C271" s="29">
        <v>7</v>
      </c>
      <c r="D271" s="29" t="str">
        <f>A271&amp; " S" &amp;C271</f>
        <v>The Office S7</v>
      </c>
      <c r="E271" s="29">
        <v>129</v>
      </c>
      <c r="F271" s="29">
        <v>3</v>
      </c>
      <c r="G271" s="420" t="s">
        <v>399</v>
      </c>
      <c r="H271" s="29" t="s">
        <v>400</v>
      </c>
      <c r="I271" s="29" t="s">
        <v>337</v>
      </c>
      <c r="J271" s="450">
        <v>40458</v>
      </c>
      <c r="K271" s="29" t="str">
        <f>CHOOSE(WEEKDAY(J271),"Sun","Mon","Tue","Wed","Thu","Fri","Sat")</f>
        <v>Thu</v>
      </c>
      <c r="L271" s="56">
        <v>0.875</v>
      </c>
      <c r="M271" s="29">
        <v>7003</v>
      </c>
      <c r="N271" s="29">
        <v>6.95</v>
      </c>
      <c r="O271" s="29">
        <v>270</v>
      </c>
      <c r="P271" s="343" t="str">
        <f t="shared" si="4"/>
        <v/>
      </c>
      <c r="Q271" s="355" t="str">
        <f ca="1">VLOOKUP(EpisodeList[[#This Row],[Season Number]], INDIRECT("'" &amp; EpisodeList[[#This Row],[Show]] &amp; " Season Info'!C2:J15"), 8,1)</f>
        <v>2010-11</v>
      </c>
    </row>
    <row r="272" spans="1:17" x14ac:dyDescent="0.2">
      <c r="A272" s="25" t="s">
        <v>687</v>
      </c>
      <c r="B272" s="53" t="s">
        <v>220</v>
      </c>
      <c r="C272" s="53">
        <v>2</v>
      </c>
      <c r="D272" s="53" t="str">
        <f>A272&amp; " S" &amp;C272</f>
        <v>Community S2</v>
      </c>
      <c r="E272" s="53">
        <v>29</v>
      </c>
      <c r="F272" s="53">
        <v>4</v>
      </c>
      <c r="G272" s="418" t="s">
        <v>554</v>
      </c>
      <c r="H272" s="53" t="s">
        <v>512</v>
      </c>
      <c r="I272" s="53" t="s">
        <v>555</v>
      </c>
      <c r="J272" s="447">
        <v>40465</v>
      </c>
      <c r="K272" s="53" t="str">
        <f>CHOOSE(WEEKDAY(J272),"Sun","Mon","Tue","Wed","Thu","Fri","Sat")</f>
        <v>Thu</v>
      </c>
      <c r="L272" s="54">
        <v>0.83333333333333326</v>
      </c>
      <c r="M272" s="53">
        <v>204</v>
      </c>
      <c r="N272" s="53">
        <v>4.8099999999999996</v>
      </c>
      <c r="O272" s="53">
        <v>271</v>
      </c>
      <c r="P272" s="342" t="str">
        <f t="shared" si="4"/>
        <v/>
      </c>
      <c r="Q272" s="354" t="str">
        <f ca="1">VLOOKUP(EpisodeList[[#This Row],[Season Number]], INDIRECT("'" &amp; EpisodeList[[#This Row],[Show]] &amp; " Season Info'!C2:J15"), 8,1)</f>
        <v>2010-11</v>
      </c>
    </row>
    <row r="273" spans="1:17" x14ac:dyDescent="0.2">
      <c r="A273" s="15" t="s">
        <v>228</v>
      </c>
      <c r="B273" s="28" t="s">
        <v>223</v>
      </c>
      <c r="C273" s="28">
        <v>5</v>
      </c>
      <c r="D273" s="28" t="str">
        <f>A273&amp; " S" &amp;C273</f>
        <v>30 Rock S5</v>
      </c>
      <c r="E273" s="28">
        <v>84</v>
      </c>
      <c r="F273" s="28">
        <v>4</v>
      </c>
      <c r="G273" s="419" t="s">
        <v>143</v>
      </c>
      <c r="H273" s="28" t="s">
        <v>140</v>
      </c>
      <c r="I273" s="28" t="s">
        <v>144</v>
      </c>
      <c r="J273" s="448">
        <v>40465</v>
      </c>
      <c r="K273" s="28" t="str">
        <f>CHOOSE(WEEKDAY(J273),"Sun","Mon","Tue","Wed","Thu","Fri","Sat")</f>
        <v>Thu</v>
      </c>
      <c r="L273" s="55">
        <v>0.85416666666666674</v>
      </c>
      <c r="M273" s="28">
        <v>504</v>
      </c>
      <c r="N273" s="28">
        <v>6.7</v>
      </c>
      <c r="O273" s="28">
        <v>272</v>
      </c>
      <c r="P273" s="345" t="str">
        <f t="shared" si="4"/>
        <v/>
      </c>
      <c r="Q273" s="357" t="str">
        <f ca="1">VLOOKUP(EpisodeList[[#This Row],[Season Number]], INDIRECT("'" &amp; EpisodeList[[#This Row],[Show]] &amp; " Season Info'!C2:J15"), 8,1)</f>
        <v>2010-11</v>
      </c>
    </row>
    <row r="274" spans="1:17" x14ac:dyDescent="0.2">
      <c r="A274" s="9" t="s">
        <v>243</v>
      </c>
      <c r="B274" s="29" t="s">
        <v>225</v>
      </c>
      <c r="C274" s="29">
        <v>7</v>
      </c>
      <c r="D274" s="29" t="str">
        <f>A274&amp; " S" &amp;C274</f>
        <v>The Office S7</v>
      </c>
      <c r="E274" s="29">
        <v>130</v>
      </c>
      <c r="F274" s="29">
        <v>4</v>
      </c>
      <c r="G274" s="420" t="s">
        <v>401</v>
      </c>
      <c r="H274" s="29" t="s">
        <v>234</v>
      </c>
      <c r="I274" s="29" t="s">
        <v>234</v>
      </c>
      <c r="J274" s="450">
        <v>40465</v>
      </c>
      <c r="K274" s="29" t="str">
        <f>CHOOSE(WEEKDAY(J274),"Sun","Mon","Tue","Wed","Thu","Fri","Sat")</f>
        <v>Thu</v>
      </c>
      <c r="L274" s="56">
        <v>0.875</v>
      </c>
      <c r="M274" s="29">
        <v>7004</v>
      </c>
      <c r="N274" s="29">
        <v>7.36</v>
      </c>
      <c r="O274" s="29">
        <v>273</v>
      </c>
      <c r="P274" s="343" t="str">
        <f t="shared" si="4"/>
        <v/>
      </c>
      <c r="Q274" s="355" t="str">
        <f ca="1">VLOOKUP(EpisodeList[[#This Row],[Season Number]], INDIRECT("'" &amp; EpisodeList[[#This Row],[Show]] &amp; " Season Info'!C2:J15"), 8,1)</f>
        <v>2010-11</v>
      </c>
    </row>
    <row r="275" spans="1:17" x14ac:dyDescent="0.2">
      <c r="A275" s="25" t="s">
        <v>687</v>
      </c>
      <c r="B275" s="53" t="s">
        <v>220</v>
      </c>
      <c r="C275" s="53">
        <v>2</v>
      </c>
      <c r="D275" s="53" t="str">
        <f>A275&amp; " S" &amp;C275</f>
        <v>Community S2</v>
      </c>
      <c r="E275" s="53">
        <v>30</v>
      </c>
      <c r="F275" s="53">
        <v>5</v>
      </c>
      <c r="G275" s="418" t="s">
        <v>556</v>
      </c>
      <c r="H275" s="53" t="s">
        <v>544</v>
      </c>
      <c r="I275" s="53" t="s">
        <v>517</v>
      </c>
      <c r="J275" s="447">
        <v>40472</v>
      </c>
      <c r="K275" s="53" t="str">
        <f>CHOOSE(WEEKDAY(J275),"Sun","Mon","Tue","Wed","Thu","Fri","Sat")</f>
        <v>Thu</v>
      </c>
      <c r="L275" s="54">
        <v>0.83333333333333326</v>
      </c>
      <c r="M275" s="53">
        <v>205</v>
      </c>
      <c r="N275" s="53">
        <v>4.46</v>
      </c>
      <c r="O275" s="53">
        <v>274</v>
      </c>
      <c r="P275" s="342" t="str">
        <f t="shared" si="4"/>
        <v/>
      </c>
      <c r="Q275" s="354" t="str">
        <f ca="1">VLOOKUP(EpisodeList[[#This Row],[Season Number]], INDIRECT("'" &amp; EpisodeList[[#This Row],[Show]] &amp; " Season Info'!C2:J15"), 8,1)</f>
        <v>2010-11</v>
      </c>
    </row>
    <row r="276" spans="1:17" x14ac:dyDescent="0.2">
      <c r="A276" s="15" t="s">
        <v>228</v>
      </c>
      <c r="B276" s="28" t="s">
        <v>223</v>
      </c>
      <c r="C276" s="28">
        <v>5</v>
      </c>
      <c r="D276" s="28" t="str">
        <f>A276&amp; " S" &amp;C276</f>
        <v>30 Rock S5</v>
      </c>
      <c r="E276" s="28">
        <v>85</v>
      </c>
      <c r="F276" s="28">
        <v>5</v>
      </c>
      <c r="G276" s="419" t="s">
        <v>145</v>
      </c>
      <c r="H276" s="28" t="s">
        <v>83</v>
      </c>
      <c r="I276" s="28" t="s">
        <v>29</v>
      </c>
      <c r="J276" s="448">
        <v>40472</v>
      </c>
      <c r="K276" s="28" t="str">
        <f>CHOOSE(WEEKDAY(J276),"Sun","Mon","Tue","Wed","Thu","Fri","Sat")</f>
        <v>Thu</v>
      </c>
      <c r="L276" s="55">
        <v>0.85416666666666674</v>
      </c>
      <c r="M276" s="28">
        <v>505</v>
      </c>
      <c r="N276" s="28">
        <v>5.18</v>
      </c>
      <c r="O276" s="28">
        <v>275</v>
      </c>
      <c r="P276" s="345" t="str">
        <f t="shared" si="4"/>
        <v/>
      </c>
      <c r="Q276" s="357" t="str">
        <f ca="1">VLOOKUP(EpisodeList[[#This Row],[Season Number]], INDIRECT("'" &amp; EpisodeList[[#This Row],[Show]] &amp; " Season Info'!C2:J15"), 8,1)</f>
        <v>2010-11</v>
      </c>
    </row>
    <row r="277" spans="1:17" x14ac:dyDescent="0.2">
      <c r="A277" s="9" t="s">
        <v>243</v>
      </c>
      <c r="B277" s="29" t="s">
        <v>225</v>
      </c>
      <c r="C277" s="29">
        <v>7</v>
      </c>
      <c r="D277" s="29" t="str">
        <f>A277&amp; " S" &amp;C277</f>
        <v>The Office S7</v>
      </c>
      <c r="E277" s="29">
        <v>131</v>
      </c>
      <c r="F277" s="29">
        <v>5</v>
      </c>
      <c r="G277" s="420" t="s">
        <v>402</v>
      </c>
      <c r="H277" s="29" t="s">
        <v>279</v>
      </c>
      <c r="I277" s="29" t="s">
        <v>242</v>
      </c>
      <c r="J277" s="450">
        <v>40472</v>
      </c>
      <c r="K277" s="29" t="str">
        <f>CHOOSE(WEEKDAY(J277),"Sun","Mon","Tue","Wed","Thu","Fri","Sat")</f>
        <v>Thu</v>
      </c>
      <c r="L277" s="56">
        <v>0.875</v>
      </c>
      <c r="M277" s="29">
        <v>7005</v>
      </c>
      <c r="N277" s="29">
        <v>6.87</v>
      </c>
      <c r="O277" s="29">
        <v>276</v>
      </c>
      <c r="P277" s="343" t="str">
        <f t="shared" si="4"/>
        <v/>
      </c>
      <c r="Q277" s="355" t="str">
        <f ca="1">VLOOKUP(EpisodeList[[#This Row],[Season Number]], INDIRECT("'" &amp; EpisodeList[[#This Row],[Show]] &amp; " Season Info'!C2:J15"), 8,1)</f>
        <v>2010-11</v>
      </c>
    </row>
    <row r="278" spans="1:17" x14ac:dyDescent="0.2">
      <c r="A278" s="25" t="s">
        <v>687</v>
      </c>
      <c r="B278" s="53" t="s">
        <v>220</v>
      </c>
      <c r="C278" s="53">
        <v>2</v>
      </c>
      <c r="D278" s="53" t="str">
        <f>A278&amp; " S" &amp;C278</f>
        <v>Community S2</v>
      </c>
      <c r="E278" s="53">
        <v>31</v>
      </c>
      <c r="F278" s="53">
        <v>6</v>
      </c>
      <c r="G278" s="418" t="s">
        <v>557</v>
      </c>
      <c r="H278" s="53" t="s">
        <v>558</v>
      </c>
      <c r="I278" s="53" t="s">
        <v>540</v>
      </c>
      <c r="J278" s="447">
        <v>40479</v>
      </c>
      <c r="K278" s="53" t="str">
        <f>CHOOSE(WEEKDAY(J278),"Sun","Mon","Tue","Wed","Thu","Fri","Sat")</f>
        <v>Thu</v>
      </c>
      <c r="L278" s="54">
        <v>0.83333333333333326</v>
      </c>
      <c r="M278" s="53">
        <v>206</v>
      </c>
      <c r="N278" s="53">
        <v>5.64</v>
      </c>
      <c r="O278" s="53">
        <v>277</v>
      </c>
      <c r="P278" s="342" t="str">
        <f t="shared" si="4"/>
        <v/>
      </c>
      <c r="Q278" s="354" t="str">
        <f ca="1">VLOOKUP(EpisodeList[[#This Row],[Season Number]], INDIRECT("'" &amp; EpisodeList[[#This Row],[Show]] &amp; " Season Info'!C2:J15"), 8,1)</f>
        <v>2010-11</v>
      </c>
    </row>
    <row r="279" spans="1:17" x14ac:dyDescent="0.2">
      <c r="A279" s="9" t="s">
        <v>243</v>
      </c>
      <c r="B279" s="29" t="s">
        <v>225</v>
      </c>
      <c r="C279" s="29">
        <v>7</v>
      </c>
      <c r="D279" s="29" t="str">
        <f>A279&amp; " S" &amp;C279</f>
        <v>The Office S7</v>
      </c>
      <c r="E279" s="29">
        <v>132</v>
      </c>
      <c r="F279" s="29">
        <v>6</v>
      </c>
      <c r="G279" s="420" t="s">
        <v>403</v>
      </c>
      <c r="H279" s="29" t="s">
        <v>348</v>
      </c>
      <c r="I279" s="29" t="s">
        <v>291</v>
      </c>
      <c r="J279" s="450">
        <v>40479</v>
      </c>
      <c r="K279" s="29" t="str">
        <f>CHOOSE(WEEKDAY(J279),"Sun","Mon","Tue","Wed","Thu","Fri","Sat")</f>
        <v>Thu</v>
      </c>
      <c r="L279" s="56">
        <v>0.875</v>
      </c>
      <c r="M279" s="29">
        <v>7006</v>
      </c>
      <c r="N279" s="29">
        <v>8.07</v>
      </c>
      <c r="O279" s="29">
        <v>278</v>
      </c>
      <c r="P279" s="343" t="str">
        <f t="shared" si="4"/>
        <v/>
      </c>
      <c r="Q279" s="355" t="str">
        <f ca="1">VLOOKUP(EpisodeList[[#This Row],[Season Number]], INDIRECT("'" &amp; EpisodeList[[#This Row],[Show]] &amp; " Season Info'!C2:J15"), 8,1)</f>
        <v>2010-11</v>
      </c>
    </row>
    <row r="280" spans="1:17" x14ac:dyDescent="0.2">
      <c r="A280" s="25" t="s">
        <v>687</v>
      </c>
      <c r="B280" s="53" t="s">
        <v>220</v>
      </c>
      <c r="C280" s="53">
        <v>2</v>
      </c>
      <c r="D280" s="53" t="str">
        <f>A280&amp; " S" &amp;C280</f>
        <v>Community S2</v>
      </c>
      <c r="E280" s="53">
        <v>32</v>
      </c>
      <c r="F280" s="53">
        <v>7</v>
      </c>
      <c r="G280" s="418" t="s">
        <v>559</v>
      </c>
      <c r="H280" s="53" t="s">
        <v>544</v>
      </c>
      <c r="I280" s="53" t="s">
        <v>560</v>
      </c>
      <c r="J280" s="447">
        <v>40486</v>
      </c>
      <c r="K280" s="53" t="str">
        <f>CHOOSE(WEEKDAY(J280),"Sun","Mon","Tue","Wed","Thu","Fri","Sat")</f>
        <v>Thu</v>
      </c>
      <c r="L280" s="54">
        <v>0.83333333333333326</v>
      </c>
      <c r="M280" s="53">
        <v>207</v>
      </c>
      <c r="N280" s="53">
        <v>4.6100000000000003</v>
      </c>
      <c r="O280" s="53">
        <v>279</v>
      </c>
      <c r="P280" s="342" t="str">
        <f t="shared" si="4"/>
        <v/>
      </c>
      <c r="Q280" s="354" t="str">
        <f ca="1">VLOOKUP(EpisodeList[[#This Row],[Season Number]], INDIRECT("'" &amp; EpisodeList[[#This Row],[Show]] &amp; " Season Info'!C2:J15"), 8,1)</f>
        <v>2010-11</v>
      </c>
    </row>
    <row r="281" spans="1:17" x14ac:dyDescent="0.2">
      <c r="A281" s="15" t="s">
        <v>228</v>
      </c>
      <c r="B281" s="28" t="s">
        <v>223</v>
      </c>
      <c r="C281" s="28">
        <v>5</v>
      </c>
      <c r="D281" s="28" t="str">
        <f>A281&amp; " S" &amp;C281</f>
        <v>30 Rock S5</v>
      </c>
      <c r="E281" s="28">
        <v>86</v>
      </c>
      <c r="F281" s="28">
        <v>6</v>
      </c>
      <c r="G281" s="419" t="s">
        <v>146</v>
      </c>
      <c r="H281" s="28" t="s">
        <v>17</v>
      </c>
      <c r="I281" s="28" t="s">
        <v>12</v>
      </c>
      <c r="J281" s="448">
        <v>40486</v>
      </c>
      <c r="K281" s="28" t="str">
        <f>CHOOSE(WEEKDAY(J281),"Sun","Mon","Tue","Wed","Thu","Fri","Sat")</f>
        <v>Thu</v>
      </c>
      <c r="L281" s="55">
        <v>0.85416666666666674</v>
      </c>
      <c r="M281" s="28">
        <v>506</v>
      </c>
      <c r="N281" s="28">
        <v>5.31</v>
      </c>
      <c r="O281" s="28">
        <v>280</v>
      </c>
      <c r="P281" s="345" t="str">
        <f t="shared" si="4"/>
        <v/>
      </c>
      <c r="Q281" s="357" t="str">
        <f ca="1">VLOOKUP(EpisodeList[[#This Row],[Season Number]], INDIRECT("'" &amp; EpisodeList[[#This Row],[Show]] &amp; " Season Info'!C2:J15"), 8,1)</f>
        <v>2010-11</v>
      </c>
    </row>
    <row r="282" spans="1:17" x14ac:dyDescent="0.2">
      <c r="A282" s="9" t="s">
        <v>243</v>
      </c>
      <c r="B282" s="29" t="s">
        <v>225</v>
      </c>
      <c r="C282" s="29">
        <v>7</v>
      </c>
      <c r="D282" s="29" t="str">
        <f>A282&amp; " S" &amp;C282</f>
        <v>The Office S7</v>
      </c>
      <c r="E282" s="29">
        <v>133</v>
      </c>
      <c r="F282" s="29">
        <v>7</v>
      </c>
      <c r="G282" s="420" t="s">
        <v>404</v>
      </c>
      <c r="H282" s="29" t="s">
        <v>405</v>
      </c>
      <c r="I282" s="29" t="s">
        <v>406</v>
      </c>
      <c r="J282" s="450">
        <v>40486</v>
      </c>
      <c r="K282" s="29" t="str">
        <f>CHOOSE(WEEKDAY(J282),"Sun","Mon","Tue","Wed","Thu","Fri","Sat")</f>
        <v>Thu</v>
      </c>
      <c r="L282" s="56">
        <v>0.875</v>
      </c>
      <c r="M282" s="29">
        <v>7007</v>
      </c>
      <c r="N282" s="29">
        <v>7.65</v>
      </c>
      <c r="O282" s="29">
        <v>281</v>
      </c>
      <c r="P282" s="343" t="str">
        <f t="shared" si="4"/>
        <v/>
      </c>
      <c r="Q282" s="355" t="str">
        <f ca="1">VLOOKUP(EpisodeList[[#This Row],[Season Number]], INDIRECT("'" &amp; EpisodeList[[#This Row],[Show]] &amp; " Season Info'!C2:J15"), 8,1)</f>
        <v>2010-11</v>
      </c>
    </row>
    <row r="283" spans="1:17" x14ac:dyDescent="0.2">
      <c r="A283" s="25" t="s">
        <v>687</v>
      </c>
      <c r="B283" s="53" t="s">
        <v>220</v>
      </c>
      <c r="C283" s="53">
        <v>2</v>
      </c>
      <c r="D283" s="53" t="str">
        <f>A283&amp; " S" &amp;C283</f>
        <v>Community S2</v>
      </c>
      <c r="E283" s="53">
        <v>33</v>
      </c>
      <c r="F283" s="53">
        <v>8</v>
      </c>
      <c r="G283" s="418" t="s">
        <v>561</v>
      </c>
      <c r="H283" s="53" t="s">
        <v>510</v>
      </c>
      <c r="I283" s="53" t="s">
        <v>562</v>
      </c>
      <c r="J283" s="447">
        <v>40493</v>
      </c>
      <c r="K283" s="53" t="str">
        <f>CHOOSE(WEEKDAY(J283),"Sun","Mon","Tue","Wed","Thu","Fri","Sat")</f>
        <v>Thu</v>
      </c>
      <c r="L283" s="54">
        <v>0.83333333333333326</v>
      </c>
      <c r="M283" s="53">
        <v>208</v>
      </c>
      <c r="N283" s="53">
        <v>4.53</v>
      </c>
      <c r="O283" s="53">
        <v>282</v>
      </c>
      <c r="P283" s="342" t="str">
        <f t="shared" si="4"/>
        <v/>
      </c>
      <c r="Q283" s="354" t="str">
        <f ca="1">VLOOKUP(EpisodeList[[#This Row],[Season Number]], INDIRECT("'" &amp; EpisodeList[[#This Row],[Show]] &amp; " Season Info'!C2:J15"), 8,1)</f>
        <v>2010-11</v>
      </c>
    </row>
    <row r="284" spans="1:17" x14ac:dyDescent="0.2">
      <c r="A284" s="15" t="s">
        <v>228</v>
      </c>
      <c r="B284" s="28" t="s">
        <v>223</v>
      </c>
      <c r="C284" s="28">
        <v>5</v>
      </c>
      <c r="D284" s="28" t="str">
        <f>A284&amp; " S" &amp;C284</f>
        <v>30 Rock S5</v>
      </c>
      <c r="E284" s="28">
        <v>87</v>
      </c>
      <c r="F284" s="28">
        <v>7</v>
      </c>
      <c r="G284" s="419" t="s">
        <v>147</v>
      </c>
      <c r="H284" s="28" t="s">
        <v>26</v>
      </c>
      <c r="I284" s="28" t="s">
        <v>57</v>
      </c>
      <c r="J284" s="448">
        <v>40493</v>
      </c>
      <c r="K284" s="28" t="str">
        <f>CHOOSE(WEEKDAY(J284),"Sun","Mon","Tue","Wed","Thu","Fri","Sat")</f>
        <v>Thu</v>
      </c>
      <c r="L284" s="55">
        <v>0.85416666666666674</v>
      </c>
      <c r="M284" s="28">
        <v>507</v>
      </c>
      <c r="N284" s="28">
        <v>5.09</v>
      </c>
      <c r="O284" s="28">
        <v>283</v>
      </c>
      <c r="P284" s="345" t="str">
        <f t="shared" si="4"/>
        <v/>
      </c>
      <c r="Q284" s="357" t="str">
        <f ca="1">VLOOKUP(EpisodeList[[#This Row],[Season Number]], INDIRECT("'" &amp; EpisodeList[[#This Row],[Show]] &amp; " Season Info'!C2:J15"), 8,1)</f>
        <v>2010-11</v>
      </c>
    </row>
    <row r="285" spans="1:17" x14ac:dyDescent="0.2">
      <c r="A285" s="9" t="s">
        <v>243</v>
      </c>
      <c r="B285" s="29" t="s">
        <v>225</v>
      </c>
      <c r="C285" s="29">
        <v>7</v>
      </c>
      <c r="D285" s="29" t="str">
        <f>A285&amp; " S" &amp;C285</f>
        <v>The Office S7</v>
      </c>
      <c r="E285" s="29">
        <v>134</v>
      </c>
      <c r="F285" s="29">
        <v>8</v>
      </c>
      <c r="G285" s="420" t="s">
        <v>407</v>
      </c>
      <c r="H285" s="29" t="s">
        <v>90</v>
      </c>
      <c r="I285" s="29" t="s">
        <v>408</v>
      </c>
      <c r="J285" s="450">
        <v>40493</v>
      </c>
      <c r="K285" s="29" t="str">
        <f>CHOOSE(WEEKDAY(J285),"Sun","Mon","Tue","Wed","Thu","Fri","Sat")</f>
        <v>Thu</v>
      </c>
      <c r="L285" s="56">
        <v>0.875</v>
      </c>
      <c r="M285" s="29">
        <v>7008</v>
      </c>
      <c r="N285" s="29">
        <v>7.15</v>
      </c>
      <c r="O285" s="29">
        <v>284</v>
      </c>
      <c r="P285" s="343" t="str">
        <f t="shared" si="4"/>
        <v/>
      </c>
      <c r="Q285" s="355" t="str">
        <f ca="1">VLOOKUP(EpisodeList[[#This Row],[Season Number]], INDIRECT("'" &amp; EpisodeList[[#This Row],[Show]] &amp; " Season Info'!C2:J15"), 8,1)</f>
        <v>2010-11</v>
      </c>
    </row>
    <row r="286" spans="1:17" x14ac:dyDescent="0.2">
      <c r="A286" s="25" t="s">
        <v>687</v>
      </c>
      <c r="B286" s="53" t="s">
        <v>220</v>
      </c>
      <c r="C286" s="53">
        <v>2</v>
      </c>
      <c r="D286" s="53" t="str">
        <f>A286&amp; " S" &amp;C286</f>
        <v>Community S2</v>
      </c>
      <c r="E286" s="53">
        <v>34</v>
      </c>
      <c r="F286" s="53">
        <v>9</v>
      </c>
      <c r="G286" s="418" t="s">
        <v>563</v>
      </c>
      <c r="H286" s="53" t="s">
        <v>530</v>
      </c>
      <c r="I286" s="53" t="s">
        <v>536</v>
      </c>
      <c r="J286" s="447">
        <v>40500</v>
      </c>
      <c r="K286" s="53" t="str">
        <f>CHOOSE(WEEKDAY(J286),"Sun","Mon","Tue","Wed","Thu","Fri","Sat")</f>
        <v>Thu</v>
      </c>
      <c r="L286" s="54">
        <v>0.83333333333333326</v>
      </c>
      <c r="M286" s="53">
        <v>210</v>
      </c>
      <c r="N286" s="53">
        <v>4.41</v>
      </c>
      <c r="O286" s="53">
        <v>285</v>
      </c>
      <c r="P286" s="342" t="str">
        <f t="shared" si="4"/>
        <v/>
      </c>
      <c r="Q286" s="354" t="str">
        <f ca="1">VLOOKUP(EpisodeList[[#This Row],[Season Number]], INDIRECT("'" &amp; EpisodeList[[#This Row],[Show]] &amp; " Season Info'!C2:J15"), 8,1)</f>
        <v>2010-11</v>
      </c>
    </row>
    <row r="287" spans="1:17" x14ac:dyDescent="0.2">
      <c r="A287" s="15" t="s">
        <v>228</v>
      </c>
      <c r="B287" s="28" t="s">
        <v>223</v>
      </c>
      <c r="C287" s="28">
        <v>5</v>
      </c>
      <c r="D287" s="28" t="str">
        <f>A287&amp; " S" &amp;C287</f>
        <v>30 Rock S5</v>
      </c>
      <c r="E287" s="28">
        <v>88</v>
      </c>
      <c r="F287" s="28">
        <v>8</v>
      </c>
      <c r="G287" s="419" t="s">
        <v>148</v>
      </c>
      <c r="H287" s="28" t="s">
        <v>17</v>
      </c>
      <c r="I287" s="28" t="s">
        <v>111</v>
      </c>
      <c r="J287" s="448">
        <v>40500</v>
      </c>
      <c r="K287" s="28" t="str">
        <f>CHOOSE(WEEKDAY(J287),"Sun","Mon","Tue","Wed","Thu","Fri","Sat")</f>
        <v>Thu</v>
      </c>
      <c r="L287" s="55">
        <v>0.85416666666666674</v>
      </c>
      <c r="M287" s="28">
        <v>508</v>
      </c>
      <c r="N287" s="28">
        <v>5.1100000000000003</v>
      </c>
      <c r="O287" s="28">
        <v>286</v>
      </c>
      <c r="P287" s="345" t="str">
        <f t="shared" si="4"/>
        <v/>
      </c>
      <c r="Q287" s="357" t="str">
        <f ca="1">VLOOKUP(EpisodeList[[#This Row],[Season Number]], INDIRECT("'" &amp; EpisodeList[[#This Row],[Show]] &amp; " Season Info'!C2:J15"), 8,1)</f>
        <v>2010-11</v>
      </c>
    </row>
    <row r="288" spans="1:17" x14ac:dyDescent="0.2">
      <c r="A288" s="9" t="s">
        <v>243</v>
      </c>
      <c r="B288" s="29" t="s">
        <v>225</v>
      </c>
      <c r="C288" s="29">
        <v>7</v>
      </c>
      <c r="D288" s="29" t="str">
        <f>A288&amp; " S" &amp;C288</f>
        <v>The Office S7</v>
      </c>
      <c r="E288" s="29">
        <v>135</v>
      </c>
      <c r="F288" s="29">
        <v>9</v>
      </c>
      <c r="G288" s="420" t="s">
        <v>409</v>
      </c>
      <c r="H288" s="29" t="s">
        <v>410</v>
      </c>
      <c r="I288" s="29" t="s">
        <v>335</v>
      </c>
      <c r="J288" s="450">
        <v>40500</v>
      </c>
      <c r="K288" s="29" t="str">
        <f>CHOOSE(WEEKDAY(J288),"Sun","Mon","Tue","Wed","Thu","Fri","Sat")</f>
        <v>Thu</v>
      </c>
      <c r="L288" s="56">
        <v>0.875</v>
      </c>
      <c r="M288" s="29">
        <v>7009</v>
      </c>
      <c r="N288" s="29">
        <v>7.28</v>
      </c>
      <c r="O288" s="29">
        <v>287</v>
      </c>
      <c r="P288" s="343" t="str">
        <f t="shared" si="4"/>
        <v/>
      </c>
      <c r="Q288" s="355" t="str">
        <f ca="1">VLOOKUP(EpisodeList[[#This Row],[Season Number]], INDIRECT("'" &amp; EpisodeList[[#This Row],[Show]] &amp; " Season Info'!C2:J15"), 8,1)</f>
        <v>2010-11</v>
      </c>
    </row>
    <row r="289" spans="1:17" x14ac:dyDescent="0.2">
      <c r="A289" s="25" t="s">
        <v>687</v>
      </c>
      <c r="B289" s="53" t="s">
        <v>220</v>
      </c>
      <c r="C289" s="53">
        <v>2</v>
      </c>
      <c r="D289" s="53" t="str">
        <f>A289&amp; " S" &amp;C289</f>
        <v>Community S2</v>
      </c>
      <c r="E289" s="53">
        <v>35</v>
      </c>
      <c r="F289" s="53">
        <v>10</v>
      </c>
      <c r="G289" s="418" t="s">
        <v>564</v>
      </c>
      <c r="H289" s="53" t="s">
        <v>565</v>
      </c>
      <c r="I289" s="53" t="s">
        <v>555</v>
      </c>
      <c r="J289" s="447">
        <v>40514</v>
      </c>
      <c r="K289" s="53" t="str">
        <f>CHOOSE(WEEKDAY(J289),"Sun","Mon","Tue","Wed","Thu","Fri","Sat")</f>
        <v>Thu</v>
      </c>
      <c r="L289" s="54">
        <v>0.83333333333333326</v>
      </c>
      <c r="M289" s="53">
        <v>209</v>
      </c>
      <c r="N289" s="53">
        <v>4.55</v>
      </c>
      <c r="O289" s="53">
        <v>288</v>
      </c>
      <c r="P289" s="342" t="str">
        <f t="shared" si="4"/>
        <v/>
      </c>
      <c r="Q289" s="354" t="str">
        <f ca="1">VLOOKUP(EpisodeList[[#This Row],[Season Number]], INDIRECT("'" &amp; EpisodeList[[#This Row],[Show]] &amp; " Season Info'!C2:J15"), 8,1)</f>
        <v>2010-11</v>
      </c>
    </row>
    <row r="290" spans="1:17" x14ac:dyDescent="0.2">
      <c r="A290" s="15" t="s">
        <v>228</v>
      </c>
      <c r="B290" s="28" t="s">
        <v>223</v>
      </c>
      <c r="C290" s="28">
        <v>5</v>
      </c>
      <c r="D290" s="28" t="str">
        <f>A290&amp; " S" &amp;C290</f>
        <v>30 Rock S5</v>
      </c>
      <c r="E290" s="28">
        <v>89</v>
      </c>
      <c r="F290" s="28">
        <v>9</v>
      </c>
      <c r="G290" s="419" t="s">
        <v>149</v>
      </c>
      <c r="H290" s="28" t="s">
        <v>90</v>
      </c>
      <c r="I290" s="28" t="s">
        <v>113</v>
      </c>
      <c r="J290" s="448">
        <v>40514</v>
      </c>
      <c r="K290" s="28" t="str">
        <f>CHOOSE(WEEKDAY(J290),"Sun","Mon","Tue","Wed","Thu","Fri","Sat")</f>
        <v>Thu</v>
      </c>
      <c r="L290" s="55">
        <v>0.85416666666666674</v>
      </c>
      <c r="M290" s="28">
        <v>509</v>
      </c>
      <c r="N290" s="28">
        <v>5.03</v>
      </c>
      <c r="O290" s="28">
        <v>289</v>
      </c>
      <c r="P290" s="345" t="str">
        <f t="shared" si="4"/>
        <v/>
      </c>
      <c r="Q290" s="357" t="str">
        <f ca="1">VLOOKUP(EpisodeList[[#This Row],[Season Number]], INDIRECT("'" &amp; EpisodeList[[#This Row],[Show]] &amp; " Season Info'!C2:J15"), 8,1)</f>
        <v>2010-11</v>
      </c>
    </row>
    <row r="291" spans="1:17" x14ac:dyDescent="0.2">
      <c r="A291" s="9" t="s">
        <v>243</v>
      </c>
      <c r="B291" s="29" t="s">
        <v>225</v>
      </c>
      <c r="C291" s="29">
        <v>7</v>
      </c>
      <c r="D291" s="29" t="str">
        <f>A291&amp; " S" &amp;C291</f>
        <v>The Office S7</v>
      </c>
      <c r="E291" s="29">
        <v>136</v>
      </c>
      <c r="F291" s="29">
        <v>10</v>
      </c>
      <c r="G291" s="420" t="s">
        <v>411</v>
      </c>
      <c r="H291" s="29" t="s">
        <v>257</v>
      </c>
      <c r="I291" s="29" t="s">
        <v>412</v>
      </c>
      <c r="J291" s="450">
        <v>40514</v>
      </c>
      <c r="K291" s="29" t="str">
        <f>CHOOSE(WEEKDAY(J291),"Sun","Mon","Tue","Wed","Thu","Fri","Sat")</f>
        <v>Thu</v>
      </c>
      <c r="L291" s="56">
        <v>0.875</v>
      </c>
      <c r="M291" s="29">
        <v>7010</v>
      </c>
      <c r="N291" s="29">
        <v>7.31</v>
      </c>
      <c r="O291" s="29">
        <v>290</v>
      </c>
      <c r="P291" s="343" t="str">
        <f t="shared" si="4"/>
        <v/>
      </c>
      <c r="Q291" s="355" t="str">
        <f ca="1">VLOOKUP(EpisodeList[[#This Row],[Season Number]], INDIRECT("'" &amp; EpisodeList[[#This Row],[Show]] &amp; " Season Info'!C2:J15"), 8,1)</f>
        <v>2010-11</v>
      </c>
    </row>
    <row r="292" spans="1:17" x14ac:dyDescent="0.2">
      <c r="A292" s="25" t="s">
        <v>687</v>
      </c>
      <c r="B292" s="53" t="s">
        <v>220</v>
      </c>
      <c r="C292" s="53">
        <v>2</v>
      </c>
      <c r="D292" s="53" t="str">
        <f>A292&amp; " S" &amp;C292</f>
        <v>Community S2</v>
      </c>
      <c r="E292" s="53">
        <v>36</v>
      </c>
      <c r="F292" s="53">
        <v>11</v>
      </c>
      <c r="G292" s="418" t="s">
        <v>566</v>
      </c>
      <c r="H292" s="53" t="s">
        <v>567</v>
      </c>
      <c r="I292" s="53" t="s">
        <v>568</v>
      </c>
      <c r="J292" s="447">
        <v>40521</v>
      </c>
      <c r="K292" s="53" t="str">
        <f>CHOOSE(WEEKDAY(J292),"Sun","Mon","Tue","Wed","Thu","Fri","Sat")</f>
        <v>Thu</v>
      </c>
      <c r="L292" s="54">
        <v>0.83333333333333326</v>
      </c>
      <c r="M292" s="53">
        <v>222</v>
      </c>
      <c r="N292" s="53">
        <v>4.29</v>
      </c>
      <c r="O292" s="53">
        <v>291</v>
      </c>
      <c r="P292" s="342" t="str">
        <f t="shared" si="4"/>
        <v/>
      </c>
      <c r="Q292" s="354" t="str">
        <f ca="1">VLOOKUP(EpisodeList[[#This Row],[Season Number]], INDIRECT("'" &amp; EpisodeList[[#This Row],[Show]] &amp; " Season Info'!C2:J15"), 8,1)</f>
        <v>2010-11</v>
      </c>
    </row>
    <row r="293" spans="1:17" x14ac:dyDescent="0.2">
      <c r="A293" s="15" t="s">
        <v>228</v>
      </c>
      <c r="B293" s="28" t="s">
        <v>223</v>
      </c>
      <c r="C293" s="28">
        <v>5</v>
      </c>
      <c r="D293" s="28" t="str">
        <f>A293&amp; " S" &amp;C293</f>
        <v>30 Rock S5</v>
      </c>
      <c r="E293" s="28">
        <v>90</v>
      </c>
      <c r="F293" s="28">
        <v>10</v>
      </c>
      <c r="G293" s="419" t="s">
        <v>150</v>
      </c>
      <c r="H293" s="28" t="s">
        <v>12</v>
      </c>
      <c r="I293" s="28" t="s">
        <v>151</v>
      </c>
      <c r="J293" s="448">
        <v>40521</v>
      </c>
      <c r="K293" s="28" t="str">
        <f>CHOOSE(WEEKDAY(J293),"Sun","Mon","Tue","Wed","Thu","Fri","Sat")</f>
        <v>Thu</v>
      </c>
      <c r="L293" s="55">
        <v>0.85416666666666674</v>
      </c>
      <c r="M293" s="28">
        <v>510</v>
      </c>
      <c r="N293" s="28">
        <v>4.76</v>
      </c>
      <c r="O293" s="28">
        <v>292</v>
      </c>
      <c r="P293" s="345" t="str">
        <f t="shared" si="4"/>
        <v/>
      </c>
      <c r="Q293" s="357" t="str">
        <f ca="1">VLOOKUP(EpisodeList[[#This Row],[Season Number]], INDIRECT("'" &amp; EpisodeList[[#This Row],[Show]] &amp; " Season Info'!C2:J15"), 8,1)</f>
        <v>2010-11</v>
      </c>
    </row>
    <row r="294" spans="1:17" x14ac:dyDescent="0.2">
      <c r="A294" s="9" t="s">
        <v>243</v>
      </c>
      <c r="B294" s="29" t="s">
        <v>225</v>
      </c>
      <c r="C294" s="29">
        <v>7</v>
      </c>
      <c r="D294" s="29" t="str">
        <f>A294&amp; " S" &amp;C294</f>
        <v>The Office S7</v>
      </c>
      <c r="E294" s="29">
        <v>137</v>
      </c>
      <c r="F294" s="29">
        <v>11</v>
      </c>
      <c r="G294" s="420" t="s">
        <v>496</v>
      </c>
      <c r="H294" s="29" t="s">
        <v>394</v>
      </c>
      <c r="I294" s="29" t="s">
        <v>242</v>
      </c>
      <c r="J294" s="450">
        <v>40521</v>
      </c>
      <c r="K294" s="29" t="str">
        <f>CHOOSE(WEEKDAY(J294),"Sun","Mon","Tue","Wed","Thu","Fri","Sat")</f>
        <v>Thu</v>
      </c>
      <c r="L294" s="56">
        <v>0.875</v>
      </c>
      <c r="M294" s="29">
        <v>7011</v>
      </c>
      <c r="N294" s="29">
        <v>7.18</v>
      </c>
      <c r="O294" s="29">
        <v>293</v>
      </c>
      <c r="P294" s="343" t="str">
        <f t="shared" si="4"/>
        <v/>
      </c>
      <c r="Q294" s="355" t="str">
        <f ca="1">VLOOKUP(EpisodeList[[#This Row],[Season Number]], INDIRECT("'" &amp; EpisodeList[[#This Row],[Show]] &amp; " Season Info'!C2:J15"), 8,1)</f>
        <v>2010-11</v>
      </c>
    </row>
    <row r="295" spans="1:17" x14ac:dyDescent="0.2">
      <c r="A295" s="9" t="s">
        <v>243</v>
      </c>
      <c r="B295" s="29" t="s">
        <v>225</v>
      </c>
      <c r="C295" s="29">
        <v>7</v>
      </c>
      <c r="D295" s="29" t="str">
        <f>A295&amp; " S" &amp;C295</f>
        <v>The Office S7</v>
      </c>
      <c r="E295" s="29">
        <v>138</v>
      </c>
      <c r="F295" s="29">
        <v>12</v>
      </c>
      <c r="G295" s="420" t="s">
        <v>496</v>
      </c>
      <c r="H295" s="29" t="s">
        <v>394</v>
      </c>
      <c r="I295" s="29" t="s">
        <v>242</v>
      </c>
      <c r="J295" s="450">
        <v>40521</v>
      </c>
      <c r="K295" s="29" t="str">
        <f>CHOOSE(WEEKDAY(J295),"Sun","Mon","Tue","Wed","Thu","Fri","Sat")</f>
        <v>Thu</v>
      </c>
      <c r="L295" s="56">
        <v>0.89583333333333337</v>
      </c>
      <c r="M295" s="29">
        <v>7012</v>
      </c>
      <c r="N295" s="29">
        <v>7.18</v>
      </c>
      <c r="O295" s="29">
        <v>294</v>
      </c>
      <c r="P295" s="343" t="str">
        <f t="shared" si="4"/>
        <v/>
      </c>
      <c r="Q295" s="355" t="str">
        <f ca="1">VLOOKUP(EpisodeList[[#This Row],[Season Number]], INDIRECT("'" &amp; EpisodeList[[#This Row],[Show]] &amp; " Season Info'!C2:J15"), 8,1)</f>
        <v>2010-11</v>
      </c>
    </row>
    <row r="296" spans="1:17" x14ac:dyDescent="0.2">
      <c r="A296" s="25" t="s">
        <v>687</v>
      </c>
      <c r="B296" s="53" t="s">
        <v>220</v>
      </c>
      <c r="C296" s="53">
        <v>2</v>
      </c>
      <c r="D296" s="53" t="str">
        <f>A296&amp; " S" &amp;C296</f>
        <v>Community S2</v>
      </c>
      <c r="E296" s="53">
        <v>37</v>
      </c>
      <c r="F296" s="53">
        <v>12</v>
      </c>
      <c r="G296" s="418" t="s">
        <v>569</v>
      </c>
      <c r="H296" s="53" t="s">
        <v>512</v>
      </c>
      <c r="I296" s="53" t="s">
        <v>548</v>
      </c>
      <c r="J296" s="447">
        <v>40563</v>
      </c>
      <c r="K296" s="53" t="str">
        <f>CHOOSE(WEEKDAY(J296),"Sun","Mon","Tue","Wed","Thu","Fri","Sat")</f>
        <v>Thu</v>
      </c>
      <c r="L296" s="54">
        <v>0.83333333333333326</v>
      </c>
      <c r="M296" s="53">
        <v>211</v>
      </c>
      <c r="N296" s="53">
        <v>4.7300000000000004</v>
      </c>
      <c r="O296" s="53">
        <v>295</v>
      </c>
      <c r="P296" s="342" t="str">
        <f t="shared" si="4"/>
        <v>Yes</v>
      </c>
      <c r="Q296" s="354" t="str">
        <f ca="1">VLOOKUP(EpisodeList[[#This Row],[Season Number]], INDIRECT("'" &amp; EpisodeList[[#This Row],[Show]] &amp; " Season Info'!C2:J15"), 8,1)</f>
        <v>2010-11</v>
      </c>
    </row>
    <row r="297" spans="1:17" x14ac:dyDescent="0.2">
      <c r="A297" s="9" t="s">
        <v>243</v>
      </c>
      <c r="B297" s="29" t="s">
        <v>225</v>
      </c>
      <c r="C297" s="29">
        <v>7</v>
      </c>
      <c r="D297" s="29" t="str">
        <f>A297&amp; " S" &amp;C297</f>
        <v>The Office S7</v>
      </c>
      <c r="E297" s="29">
        <v>139</v>
      </c>
      <c r="F297" s="29">
        <v>13</v>
      </c>
      <c r="G297" s="420" t="s">
        <v>413</v>
      </c>
      <c r="H297" s="29" t="s">
        <v>339</v>
      </c>
      <c r="I297" s="29" t="s">
        <v>414</v>
      </c>
      <c r="J297" s="450">
        <v>40563</v>
      </c>
      <c r="K297" s="29" t="str">
        <f>CHOOSE(WEEKDAY(J297),"Sun","Mon","Tue","Wed","Thu","Fri","Sat")</f>
        <v>Thu</v>
      </c>
      <c r="L297" s="56">
        <v>0.875</v>
      </c>
      <c r="M297" s="29">
        <v>7013</v>
      </c>
      <c r="N297" s="29">
        <v>8.26</v>
      </c>
      <c r="O297" s="29">
        <v>296</v>
      </c>
      <c r="P297" s="343" t="str">
        <f t="shared" si="4"/>
        <v>Yes</v>
      </c>
      <c r="Q297" s="355" t="str">
        <f ca="1">VLOOKUP(EpisodeList[[#This Row],[Season Number]], INDIRECT("'" &amp; EpisodeList[[#This Row],[Show]] &amp; " Season Info'!C2:J15"), 8,1)</f>
        <v>2010-11</v>
      </c>
    </row>
    <row r="298" spans="1:17" x14ac:dyDescent="0.2">
      <c r="A298" s="21" t="s">
        <v>859</v>
      </c>
      <c r="B298" s="30" t="s">
        <v>221</v>
      </c>
      <c r="C298" s="30">
        <v>3</v>
      </c>
      <c r="D298" s="30" t="str">
        <f>A298&amp; " S" &amp;C298</f>
        <v>Parks and Rec S3</v>
      </c>
      <c r="E298" s="30">
        <v>31</v>
      </c>
      <c r="F298" s="30">
        <v>1</v>
      </c>
      <c r="G298" s="421" t="s">
        <v>731</v>
      </c>
      <c r="H298" s="30" t="s">
        <v>348</v>
      </c>
      <c r="I298" s="30" t="s">
        <v>695</v>
      </c>
      <c r="J298" s="451">
        <v>40563</v>
      </c>
      <c r="K298" s="30" t="str">
        <f>CHOOSE(WEEKDAY(J298),"Sun","Mon","Tue","Wed","Thu","Fri","Sat")</f>
        <v>Thu</v>
      </c>
      <c r="L298" s="57">
        <v>0.89583333333333326</v>
      </c>
      <c r="M298" s="30"/>
      <c r="N298" s="30">
        <v>6.14</v>
      </c>
      <c r="O298" s="30">
        <v>297</v>
      </c>
      <c r="P298" s="344" t="str">
        <f t="shared" si="4"/>
        <v>Yes</v>
      </c>
      <c r="Q298" s="356" t="str">
        <f ca="1">VLOOKUP(EpisodeList[[#This Row],[Season Number]], INDIRECT("'" &amp; EpisodeList[[#This Row],[Show]] &amp; " Season Info'!C2:J15"), 8,1)</f>
        <v>2010-11</v>
      </c>
    </row>
    <row r="299" spans="1:17" x14ac:dyDescent="0.2">
      <c r="A299" s="15" t="s">
        <v>228</v>
      </c>
      <c r="B299" s="28" t="s">
        <v>223</v>
      </c>
      <c r="C299" s="28">
        <v>5</v>
      </c>
      <c r="D299" s="28" t="str">
        <f>A299&amp; " S" &amp;C299</f>
        <v>30 Rock S5</v>
      </c>
      <c r="E299" s="28">
        <v>91</v>
      </c>
      <c r="F299" s="28">
        <v>11</v>
      </c>
      <c r="G299" s="419" t="s">
        <v>152</v>
      </c>
      <c r="H299" s="28" t="s">
        <v>93</v>
      </c>
      <c r="I299" s="28" t="s">
        <v>20</v>
      </c>
      <c r="J299" s="448">
        <v>40563</v>
      </c>
      <c r="K299" s="28" t="str">
        <f>CHOOSE(WEEKDAY(J299),"Sun","Mon","Tue","Wed","Thu","Fri","Sat")</f>
        <v>Thu</v>
      </c>
      <c r="L299" s="55">
        <v>0.91666666666666674</v>
      </c>
      <c r="M299" s="28">
        <v>511</v>
      </c>
      <c r="N299" s="28">
        <v>5.34</v>
      </c>
      <c r="O299" s="28">
        <v>298</v>
      </c>
      <c r="P299" s="345" t="str">
        <f t="shared" si="4"/>
        <v>Yes</v>
      </c>
      <c r="Q299" s="357" t="str">
        <f ca="1">VLOOKUP(EpisodeList[[#This Row],[Season Number]], INDIRECT("'" &amp; EpisodeList[[#This Row],[Show]] &amp; " Season Info'!C2:J15"), 8,1)</f>
        <v>2010-11</v>
      </c>
    </row>
    <row r="300" spans="1:17" x14ac:dyDescent="0.2">
      <c r="A300" s="25" t="s">
        <v>687</v>
      </c>
      <c r="B300" s="53" t="s">
        <v>220</v>
      </c>
      <c r="C300" s="53">
        <v>2</v>
      </c>
      <c r="D300" s="53" t="str">
        <f>A300&amp; " S" &amp;C300</f>
        <v>Community S2</v>
      </c>
      <c r="E300" s="53">
        <v>38</v>
      </c>
      <c r="F300" s="53">
        <v>13</v>
      </c>
      <c r="G300" s="418" t="s">
        <v>570</v>
      </c>
      <c r="H300" s="53" t="s">
        <v>571</v>
      </c>
      <c r="I300" s="53" t="s">
        <v>519</v>
      </c>
      <c r="J300" s="447">
        <v>40570</v>
      </c>
      <c r="K300" s="53" t="str">
        <f>CHOOSE(WEEKDAY(J300),"Sun","Mon","Tue","Wed","Thu","Fri","Sat")</f>
        <v>Thu</v>
      </c>
      <c r="L300" s="54">
        <v>0.83333333333333326</v>
      </c>
      <c r="M300" s="53">
        <v>212</v>
      </c>
      <c r="N300" s="53">
        <v>4.59</v>
      </c>
      <c r="O300" s="53">
        <v>299</v>
      </c>
      <c r="P300" s="342" t="str">
        <f t="shared" si="4"/>
        <v>Yes</v>
      </c>
      <c r="Q300" s="354" t="str">
        <f ca="1">VLOOKUP(EpisodeList[[#This Row],[Season Number]], INDIRECT("'" &amp; EpisodeList[[#This Row],[Show]] &amp; " Season Info'!C2:J15"), 8,1)</f>
        <v>2010-11</v>
      </c>
    </row>
    <row r="301" spans="1:17" x14ac:dyDescent="0.2">
      <c r="A301" s="9" t="s">
        <v>243</v>
      </c>
      <c r="B301" s="29" t="s">
        <v>225</v>
      </c>
      <c r="C301" s="29">
        <v>7</v>
      </c>
      <c r="D301" s="29" t="str">
        <f>A301&amp; " S" &amp;C301</f>
        <v>The Office S7</v>
      </c>
      <c r="E301" s="29">
        <v>140</v>
      </c>
      <c r="F301" s="29">
        <v>14</v>
      </c>
      <c r="G301" s="420" t="s">
        <v>415</v>
      </c>
      <c r="H301" s="29" t="s">
        <v>232</v>
      </c>
      <c r="I301" s="29" t="s">
        <v>117</v>
      </c>
      <c r="J301" s="450">
        <v>40570</v>
      </c>
      <c r="K301" s="29" t="str">
        <f>CHOOSE(WEEKDAY(J301),"Sun","Mon","Tue","Wed","Thu","Fri","Sat")</f>
        <v>Thu</v>
      </c>
      <c r="L301" s="56">
        <v>0.875</v>
      </c>
      <c r="M301" s="29">
        <v>7014</v>
      </c>
      <c r="N301" s="29">
        <v>7.93</v>
      </c>
      <c r="O301" s="29">
        <v>300</v>
      </c>
      <c r="P301" s="343" t="str">
        <f t="shared" si="4"/>
        <v>Yes</v>
      </c>
      <c r="Q301" s="355" t="str">
        <f ca="1">VLOOKUP(EpisodeList[[#This Row],[Season Number]], INDIRECT("'" &amp; EpisodeList[[#This Row],[Show]] &amp; " Season Info'!C2:J15"), 8,1)</f>
        <v>2010-11</v>
      </c>
    </row>
    <row r="302" spans="1:17" x14ac:dyDescent="0.2">
      <c r="A302" s="21" t="s">
        <v>859</v>
      </c>
      <c r="B302" s="30" t="s">
        <v>221</v>
      </c>
      <c r="C302" s="30">
        <v>3</v>
      </c>
      <c r="D302" s="30" t="str">
        <f>A302&amp; " S" &amp;C302</f>
        <v>Parks and Rec S3</v>
      </c>
      <c r="E302" s="30">
        <v>32</v>
      </c>
      <c r="F302" s="30">
        <v>2</v>
      </c>
      <c r="G302" s="421" t="s">
        <v>732</v>
      </c>
      <c r="H302" s="30" t="s">
        <v>733</v>
      </c>
      <c r="I302" s="30" t="s">
        <v>698</v>
      </c>
      <c r="J302" s="451">
        <v>40570</v>
      </c>
      <c r="K302" s="30" t="str">
        <f>CHOOSE(WEEKDAY(J302),"Sun","Mon","Tue","Wed","Thu","Fri","Sat")</f>
        <v>Thu</v>
      </c>
      <c r="L302" s="57">
        <v>0.89583333333333326</v>
      </c>
      <c r="M302" s="30"/>
      <c r="N302" s="30">
        <v>5.83</v>
      </c>
      <c r="O302" s="30">
        <v>301</v>
      </c>
      <c r="P302" s="344" t="str">
        <f t="shared" si="4"/>
        <v>Yes</v>
      </c>
      <c r="Q302" s="356" t="str">
        <f ca="1">VLOOKUP(EpisodeList[[#This Row],[Season Number]], INDIRECT("'" &amp; EpisodeList[[#This Row],[Show]] &amp; " Season Info'!C2:J15"), 8,1)</f>
        <v>2010-11</v>
      </c>
    </row>
    <row r="303" spans="1:17" x14ac:dyDescent="0.2">
      <c r="A303" s="15" t="s">
        <v>228</v>
      </c>
      <c r="B303" s="28" t="s">
        <v>223</v>
      </c>
      <c r="C303" s="28">
        <v>5</v>
      </c>
      <c r="D303" s="28" t="str">
        <f>A303&amp; " S" &amp;C303</f>
        <v>30 Rock S5</v>
      </c>
      <c r="E303" s="28">
        <v>92</v>
      </c>
      <c r="F303" s="28">
        <v>12</v>
      </c>
      <c r="G303" s="419" t="s">
        <v>153</v>
      </c>
      <c r="H303" s="28" t="s">
        <v>140</v>
      </c>
      <c r="I303" s="28" t="s">
        <v>15</v>
      </c>
      <c r="J303" s="448">
        <v>40570</v>
      </c>
      <c r="K303" s="28" t="str">
        <f>CHOOSE(WEEKDAY(J303),"Sun","Mon","Tue","Wed","Thu","Fri","Sat")</f>
        <v>Thu</v>
      </c>
      <c r="L303" s="55">
        <v>0.91666666666666674</v>
      </c>
      <c r="M303" s="28">
        <v>512</v>
      </c>
      <c r="N303" s="28">
        <v>4.92</v>
      </c>
      <c r="O303" s="28">
        <v>302</v>
      </c>
      <c r="P303" s="345" t="str">
        <f t="shared" si="4"/>
        <v>Yes</v>
      </c>
      <c r="Q303" s="357" t="str">
        <f ca="1">VLOOKUP(EpisodeList[[#This Row],[Season Number]], INDIRECT("'" &amp; EpisodeList[[#This Row],[Show]] &amp; " Season Info'!C2:J15"), 8,1)</f>
        <v>2010-11</v>
      </c>
    </row>
    <row r="304" spans="1:17" x14ac:dyDescent="0.2">
      <c r="A304" s="25" t="s">
        <v>687</v>
      </c>
      <c r="B304" s="53" t="s">
        <v>220</v>
      </c>
      <c r="C304" s="53">
        <v>2</v>
      </c>
      <c r="D304" s="53" t="str">
        <f>A304&amp; " S" &amp;C304</f>
        <v>Community S2</v>
      </c>
      <c r="E304" s="53">
        <v>39</v>
      </c>
      <c r="F304" s="53">
        <v>14</v>
      </c>
      <c r="G304" s="418" t="s">
        <v>572</v>
      </c>
      <c r="H304" s="53" t="s">
        <v>510</v>
      </c>
      <c r="I304" s="53" t="s">
        <v>517</v>
      </c>
      <c r="J304" s="447">
        <v>40577</v>
      </c>
      <c r="K304" s="53" t="str">
        <f>CHOOSE(WEEKDAY(J304),"Sun","Mon","Tue","Wed","Thu","Fri","Sat")</f>
        <v>Thu</v>
      </c>
      <c r="L304" s="54">
        <v>0.83333333333333326</v>
      </c>
      <c r="M304" s="53">
        <v>214</v>
      </c>
      <c r="N304" s="53">
        <v>4.37</v>
      </c>
      <c r="O304" s="53">
        <v>303</v>
      </c>
      <c r="P304" s="342" t="str">
        <f t="shared" si="4"/>
        <v>Yes</v>
      </c>
      <c r="Q304" s="354" t="str">
        <f ca="1">VLOOKUP(EpisodeList[[#This Row],[Season Number]], INDIRECT("'" &amp; EpisodeList[[#This Row],[Show]] &amp; " Season Info'!C2:J15"), 8,1)</f>
        <v>2010-11</v>
      </c>
    </row>
    <row r="305" spans="1:17" x14ac:dyDescent="0.2">
      <c r="A305" s="9" t="s">
        <v>243</v>
      </c>
      <c r="B305" s="29" t="s">
        <v>225</v>
      </c>
      <c r="C305" s="29">
        <v>7</v>
      </c>
      <c r="D305" s="29" t="str">
        <f>A305&amp; " S" &amp;C305</f>
        <v>The Office S7</v>
      </c>
      <c r="E305" s="29">
        <v>141</v>
      </c>
      <c r="F305" s="29">
        <v>15</v>
      </c>
      <c r="G305" s="420" t="s">
        <v>416</v>
      </c>
      <c r="H305" s="29" t="s">
        <v>417</v>
      </c>
      <c r="I305" s="29" t="s">
        <v>284</v>
      </c>
      <c r="J305" s="450">
        <v>40577</v>
      </c>
      <c r="K305" s="29" t="str">
        <f>CHOOSE(WEEKDAY(J305),"Sun","Mon","Tue","Wed","Thu","Fri","Sat")</f>
        <v>Thu</v>
      </c>
      <c r="L305" s="56">
        <v>0.875</v>
      </c>
      <c r="M305" s="29">
        <v>7015</v>
      </c>
      <c r="N305" s="29">
        <v>7.29</v>
      </c>
      <c r="O305" s="29">
        <v>304</v>
      </c>
      <c r="P305" s="343" t="str">
        <f t="shared" si="4"/>
        <v>Yes</v>
      </c>
      <c r="Q305" s="355" t="str">
        <f ca="1">VLOOKUP(EpisodeList[[#This Row],[Season Number]], INDIRECT("'" &amp; EpisodeList[[#This Row],[Show]] &amp; " Season Info'!C2:J15"), 8,1)</f>
        <v>2010-11</v>
      </c>
    </row>
    <row r="306" spans="1:17" x14ac:dyDescent="0.2">
      <c r="A306" s="21" t="s">
        <v>859</v>
      </c>
      <c r="B306" s="30" t="s">
        <v>221</v>
      </c>
      <c r="C306" s="30">
        <v>3</v>
      </c>
      <c r="D306" s="30" t="str">
        <f>A306&amp; " S" &amp;C306</f>
        <v>Parks and Rec S3</v>
      </c>
      <c r="E306" s="30">
        <v>33</v>
      </c>
      <c r="F306" s="30">
        <v>3</v>
      </c>
      <c r="G306" s="421" t="s">
        <v>734</v>
      </c>
      <c r="H306" s="30" t="s">
        <v>237</v>
      </c>
      <c r="I306" s="30" t="s">
        <v>237</v>
      </c>
      <c r="J306" s="451">
        <v>40577</v>
      </c>
      <c r="K306" s="30" t="str">
        <f>CHOOSE(WEEKDAY(J306),"Sun","Mon","Tue","Wed","Thu","Fri","Sat")</f>
        <v>Thu</v>
      </c>
      <c r="L306" s="57">
        <v>0.89583333333333326</v>
      </c>
      <c r="M306" s="30"/>
      <c r="N306" s="30">
        <v>4.95</v>
      </c>
      <c r="O306" s="30">
        <v>305</v>
      </c>
      <c r="P306" s="344" t="str">
        <f t="shared" si="4"/>
        <v>Yes</v>
      </c>
      <c r="Q306" s="356" t="str">
        <f ca="1">VLOOKUP(EpisodeList[[#This Row],[Season Number]], INDIRECT("'" &amp; EpisodeList[[#This Row],[Show]] &amp; " Season Info'!C2:J15"), 8,1)</f>
        <v>2010-11</v>
      </c>
    </row>
    <row r="307" spans="1:17" x14ac:dyDescent="0.2">
      <c r="A307" s="15" t="s">
        <v>228</v>
      </c>
      <c r="B307" s="28" t="s">
        <v>223</v>
      </c>
      <c r="C307" s="28">
        <v>5</v>
      </c>
      <c r="D307" s="28" t="str">
        <f>A307&amp; " S" &amp;C307</f>
        <v>30 Rock S5</v>
      </c>
      <c r="E307" s="28">
        <v>93</v>
      </c>
      <c r="F307" s="28">
        <v>13</v>
      </c>
      <c r="G307" s="419" t="s">
        <v>860</v>
      </c>
      <c r="H307" s="28" t="s">
        <v>12</v>
      </c>
      <c r="I307" s="28" t="s">
        <v>29</v>
      </c>
      <c r="J307" s="448">
        <v>40577</v>
      </c>
      <c r="K307" s="28" t="str">
        <f>CHOOSE(WEEKDAY(J307),"Sun","Mon","Tue","Wed","Thu","Fri","Sat")</f>
        <v>Thu</v>
      </c>
      <c r="L307" s="55">
        <v>0.91666666666666674</v>
      </c>
      <c r="M307" s="28">
        <v>513</v>
      </c>
      <c r="N307" s="28">
        <v>4.78</v>
      </c>
      <c r="O307" s="28">
        <v>306</v>
      </c>
      <c r="P307" s="345" t="str">
        <f t="shared" si="4"/>
        <v>Yes</v>
      </c>
      <c r="Q307" s="357" t="str">
        <f ca="1">VLOOKUP(EpisodeList[[#This Row],[Season Number]], INDIRECT("'" &amp; EpisodeList[[#This Row],[Show]] &amp; " Season Info'!C2:J15"), 8,1)</f>
        <v>2010-11</v>
      </c>
    </row>
    <row r="308" spans="1:17" x14ac:dyDescent="0.2">
      <c r="A308" s="25" t="s">
        <v>687</v>
      </c>
      <c r="B308" s="53" t="s">
        <v>220</v>
      </c>
      <c r="C308" s="53">
        <v>2</v>
      </c>
      <c r="D308" s="53" t="str">
        <f>A308&amp; " S" &amp;C308</f>
        <v>Community S2</v>
      </c>
      <c r="E308" s="53">
        <v>40</v>
      </c>
      <c r="F308" s="53">
        <v>15</v>
      </c>
      <c r="G308" s="418" t="s">
        <v>573</v>
      </c>
      <c r="H308" s="53" t="s">
        <v>574</v>
      </c>
      <c r="I308" s="53" t="s">
        <v>540</v>
      </c>
      <c r="J308" s="447">
        <v>40584</v>
      </c>
      <c r="K308" s="53" t="str">
        <f>CHOOSE(WEEKDAY(J308),"Sun","Mon","Tue","Wed","Thu","Fri","Sat")</f>
        <v>Thu</v>
      </c>
      <c r="L308" s="54">
        <v>0.83333333333333326</v>
      </c>
      <c r="M308" s="53">
        <v>213</v>
      </c>
      <c r="N308" s="53">
        <v>3.81</v>
      </c>
      <c r="O308" s="53">
        <v>307</v>
      </c>
      <c r="P308" s="342" t="str">
        <f t="shared" si="4"/>
        <v>Yes</v>
      </c>
      <c r="Q308" s="354" t="str">
        <f ca="1">VLOOKUP(EpisodeList[[#This Row],[Season Number]], INDIRECT("'" &amp; EpisodeList[[#This Row],[Show]] &amp; " Season Info'!C2:J15"), 8,1)</f>
        <v>2010-11</v>
      </c>
    </row>
    <row r="309" spans="1:17" x14ac:dyDescent="0.2">
      <c r="A309" s="9" t="s">
        <v>243</v>
      </c>
      <c r="B309" s="29" t="s">
        <v>225</v>
      </c>
      <c r="C309" s="29">
        <v>7</v>
      </c>
      <c r="D309" s="29" t="str">
        <f>A309&amp; " S" &amp;C309</f>
        <v>The Office S7</v>
      </c>
      <c r="E309" s="29">
        <v>142</v>
      </c>
      <c r="F309" s="29">
        <v>16</v>
      </c>
      <c r="G309" s="420" t="s">
        <v>418</v>
      </c>
      <c r="H309" s="29" t="s">
        <v>239</v>
      </c>
      <c r="I309" s="29" t="s">
        <v>419</v>
      </c>
      <c r="J309" s="450">
        <v>40584</v>
      </c>
      <c r="K309" s="29" t="str">
        <f>CHOOSE(WEEKDAY(J309),"Sun","Mon","Tue","Wed","Thu","Fri","Sat")</f>
        <v>Thu</v>
      </c>
      <c r="L309" s="56">
        <v>0.875</v>
      </c>
      <c r="M309" s="29">
        <v>7017</v>
      </c>
      <c r="N309" s="29">
        <v>6.9</v>
      </c>
      <c r="O309" s="29">
        <v>308</v>
      </c>
      <c r="P309" s="343" t="str">
        <f t="shared" si="4"/>
        <v>Yes</v>
      </c>
      <c r="Q309" s="355" t="str">
        <f ca="1">VLOOKUP(EpisodeList[[#This Row],[Season Number]], INDIRECT("'" &amp; EpisodeList[[#This Row],[Show]] &amp; " Season Info'!C2:J15"), 8,1)</f>
        <v>2010-11</v>
      </c>
    </row>
    <row r="310" spans="1:17" x14ac:dyDescent="0.2">
      <c r="A310" s="21" t="s">
        <v>859</v>
      </c>
      <c r="B310" s="30" t="s">
        <v>221</v>
      </c>
      <c r="C310" s="30">
        <v>3</v>
      </c>
      <c r="D310" s="30" t="str">
        <f>A310&amp; " S" &amp;C310</f>
        <v>Parks and Rec S3</v>
      </c>
      <c r="E310" s="30">
        <v>34</v>
      </c>
      <c r="F310" s="30">
        <v>4</v>
      </c>
      <c r="G310" s="421" t="s">
        <v>735</v>
      </c>
      <c r="H310" s="30" t="s">
        <v>283</v>
      </c>
      <c r="I310" s="30" t="s">
        <v>736</v>
      </c>
      <c r="J310" s="451">
        <v>40584</v>
      </c>
      <c r="K310" s="30" t="str">
        <f>CHOOSE(WEEKDAY(J310),"Sun","Mon","Tue","Wed","Thu","Fri","Sat")</f>
        <v>Thu</v>
      </c>
      <c r="L310" s="57">
        <v>0.89583333333333326</v>
      </c>
      <c r="M310" s="30"/>
      <c r="N310" s="30">
        <v>5.03</v>
      </c>
      <c r="O310" s="30">
        <v>309</v>
      </c>
      <c r="P310" s="344" t="str">
        <f t="shared" si="4"/>
        <v>Yes</v>
      </c>
      <c r="Q310" s="356" t="str">
        <f ca="1">VLOOKUP(EpisodeList[[#This Row],[Season Number]], INDIRECT("'" &amp; EpisodeList[[#This Row],[Show]] &amp; " Season Info'!C2:J15"), 8,1)</f>
        <v>2010-11</v>
      </c>
    </row>
    <row r="311" spans="1:17" x14ac:dyDescent="0.2">
      <c r="A311" s="15" t="s">
        <v>228</v>
      </c>
      <c r="B311" s="28" t="s">
        <v>223</v>
      </c>
      <c r="C311" s="28">
        <v>5</v>
      </c>
      <c r="D311" s="28" t="str">
        <f>A311&amp; " S" &amp;C311</f>
        <v>30 Rock S5</v>
      </c>
      <c r="E311" s="28">
        <v>94</v>
      </c>
      <c r="F311" s="28">
        <v>14</v>
      </c>
      <c r="G311" s="419" t="s">
        <v>154</v>
      </c>
      <c r="H311" s="28" t="s">
        <v>17</v>
      </c>
      <c r="I311" s="28" t="s">
        <v>155</v>
      </c>
      <c r="J311" s="448">
        <v>40584</v>
      </c>
      <c r="K311" s="28" t="str">
        <f>CHOOSE(WEEKDAY(J311),"Sun","Mon","Tue","Wed","Thu","Fri","Sat")</f>
        <v>Thu</v>
      </c>
      <c r="L311" s="55">
        <v>0.91666666666666674</v>
      </c>
      <c r="M311" s="28">
        <v>514</v>
      </c>
      <c r="N311" s="28">
        <v>4.59</v>
      </c>
      <c r="O311" s="28">
        <v>310</v>
      </c>
      <c r="P311" s="345" t="str">
        <f t="shared" si="4"/>
        <v>Yes</v>
      </c>
      <c r="Q311" s="357" t="str">
        <f ca="1">VLOOKUP(EpisodeList[[#This Row],[Season Number]], INDIRECT("'" &amp; EpisodeList[[#This Row],[Show]] &amp; " Season Info'!C2:J15"), 8,1)</f>
        <v>2010-11</v>
      </c>
    </row>
    <row r="312" spans="1:17" x14ac:dyDescent="0.2">
      <c r="A312" s="25" t="s">
        <v>687</v>
      </c>
      <c r="B312" s="53" t="s">
        <v>220</v>
      </c>
      <c r="C312" s="53">
        <v>2</v>
      </c>
      <c r="D312" s="53" t="str">
        <f>A312&amp; " S" &amp;C312</f>
        <v>Community S2</v>
      </c>
      <c r="E312" s="53">
        <v>41</v>
      </c>
      <c r="F312" s="53">
        <v>16</v>
      </c>
      <c r="G312" s="418" t="s">
        <v>575</v>
      </c>
      <c r="H312" s="53" t="s">
        <v>510</v>
      </c>
      <c r="I312" s="53" t="s">
        <v>562</v>
      </c>
      <c r="J312" s="447">
        <v>40591</v>
      </c>
      <c r="K312" s="53" t="str">
        <f>CHOOSE(WEEKDAY(J312),"Sun","Mon","Tue","Wed","Thu","Fri","Sat")</f>
        <v>Thu</v>
      </c>
      <c r="L312" s="54">
        <v>0.83333333333333326</v>
      </c>
      <c r="M312" s="53">
        <v>215</v>
      </c>
      <c r="N312" s="53">
        <v>4.1100000000000003</v>
      </c>
      <c r="O312" s="53">
        <v>311</v>
      </c>
      <c r="P312" s="342" t="str">
        <f t="shared" si="4"/>
        <v>Yes</v>
      </c>
      <c r="Q312" s="354" t="str">
        <f ca="1">VLOOKUP(EpisodeList[[#This Row],[Season Number]], INDIRECT("'" &amp; EpisodeList[[#This Row],[Show]] &amp; " Season Info'!C2:J15"), 8,1)</f>
        <v>2010-11</v>
      </c>
    </row>
    <row r="313" spans="1:17" x14ac:dyDescent="0.2">
      <c r="A313" s="9" t="s">
        <v>243</v>
      </c>
      <c r="B313" s="29" t="s">
        <v>225</v>
      </c>
      <c r="C313" s="29">
        <v>7</v>
      </c>
      <c r="D313" s="29" t="str">
        <f>A313&amp; " S" &amp;C313</f>
        <v>The Office S7</v>
      </c>
      <c r="E313" s="29">
        <v>143</v>
      </c>
      <c r="F313" s="29">
        <v>17</v>
      </c>
      <c r="G313" s="420" t="s">
        <v>420</v>
      </c>
      <c r="H313" s="29" t="s">
        <v>283</v>
      </c>
      <c r="I313" s="29" t="s">
        <v>232</v>
      </c>
      <c r="J313" s="450">
        <v>40591</v>
      </c>
      <c r="K313" s="29" t="str">
        <f>CHOOSE(WEEKDAY(J313),"Sun","Mon","Tue","Wed","Thu","Fri","Sat")</f>
        <v>Thu</v>
      </c>
      <c r="L313" s="56">
        <v>0.875</v>
      </c>
      <c r="M313" s="29">
        <v>7016</v>
      </c>
      <c r="N313" s="29">
        <v>6.41</v>
      </c>
      <c r="O313" s="29">
        <v>312</v>
      </c>
      <c r="P313" s="343" t="str">
        <f t="shared" si="4"/>
        <v>Yes</v>
      </c>
      <c r="Q313" s="355" t="str">
        <f ca="1">VLOOKUP(EpisodeList[[#This Row],[Season Number]], INDIRECT("'" &amp; EpisodeList[[#This Row],[Show]] &amp; " Season Info'!C2:J15"), 8,1)</f>
        <v>2010-11</v>
      </c>
    </row>
    <row r="314" spans="1:17" x14ac:dyDescent="0.2">
      <c r="A314" s="21" t="s">
        <v>859</v>
      </c>
      <c r="B314" s="30" t="s">
        <v>221</v>
      </c>
      <c r="C314" s="30">
        <v>3</v>
      </c>
      <c r="D314" s="30" t="str">
        <f>A314&amp; " S" &amp;C314</f>
        <v>Parks and Rec S3</v>
      </c>
      <c r="E314" s="30">
        <v>35</v>
      </c>
      <c r="F314" s="30">
        <v>5</v>
      </c>
      <c r="G314" s="421" t="s">
        <v>737</v>
      </c>
      <c r="H314" s="30" t="s">
        <v>339</v>
      </c>
      <c r="I314" s="30" t="s">
        <v>706</v>
      </c>
      <c r="J314" s="451">
        <v>40591</v>
      </c>
      <c r="K314" s="30" t="str">
        <f>CHOOSE(WEEKDAY(J314),"Sun","Mon","Tue","Wed","Thu","Fri","Sat")</f>
        <v>Thu</v>
      </c>
      <c r="L314" s="57">
        <v>0.89583333333333326</v>
      </c>
      <c r="M314" s="30"/>
      <c r="N314" s="30">
        <v>4.33</v>
      </c>
      <c r="O314" s="30">
        <v>313</v>
      </c>
      <c r="P314" s="344" t="str">
        <f t="shared" si="4"/>
        <v>Yes</v>
      </c>
      <c r="Q314" s="356" t="str">
        <f ca="1">VLOOKUP(EpisodeList[[#This Row],[Season Number]], INDIRECT("'" &amp; EpisodeList[[#This Row],[Show]] &amp; " Season Info'!C2:J15"), 8,1)</f>
        <v>2010-11</v>
      </c>
    </row>
    <row r="315" spans="1:17" x14ac:dyDescent="0.2">
      <c r="A315" s="15" t="s">
        <v>228</v>
      </c>
      <c r="B315" s="28" t="s">
        <v>223</v>
      </c>
      <c r="C315" s="28">
        <v>5</v>
      </c>
      <c r="D315" s="28" t="str">
        <f>A315&amp; " S" &amp;C315</f>
        <v>30 Rock S5</v>
      </c>
      <c r="E315" s="28">
        <v>95</v>
      </c>
      <c r="F315" s="28">
        <v>15</v>
      </c>
      <c r="G315" s="419" t="s">
        <v>156</v>
      </c>
      <c r="H315" s="28" t="s">
        <v>12</v>
      </c>
      <c r="I315" s="28" t="s">
        <v>131</v>
      </c>
      <c r="J315" s="448">
        <v>40591</v>
      </c>
      <c r="K315" s="28" t="str">
        <f>CHOOSE(WEEKDAY(J315),"Sun","Mon","Tue","Wed","Thu","Fri","Sat")</f>
        <v>Thu</v>
      </c>
      <c r="L315" s="55">
        <v>0.91666666666666674</v>
      </c>
      <c r="M315" s="28">
        <v>515</v>
      </c>
      <c r="N315" s="28">
        <v>4.07</v>
      </c>
      <c r="O315" s="28">
        <v>314</v>
      </c>
      <c r="P315" s="345" t="str">
        <f t="shared" si="4"/>
        <v>Yes</v>
      </c>
      <c r="Q315" s="357" t="str">
        <f ca="1">VLOOKUP(EpisodeList[[#This Row],[Season Number]], INDIRECT("'" &amp; EpisodeList[[#This Row],[Show]] &amp; " Season Info'!C2:J15"), 8,1)</f>
        <v>2010-11</v>
      </c>
    </row>
    <row r="316" spans="1:17" x14ac:dyDescent="0.2">
      <c r="A316" s="25" t="s">
        <v>687</v>
      </c>
      <c r="B316" s="53" t="s">
        <v>220</v>
      </c>
      <c r="C316" s="53">
        <v>2</v>
      </c>
      <c r="D316" s="53" t="str">
        <f>A316&amp; " S" &amp;C316</f>
        <v>Community S2</v>
      </c>
      <c r="E316" s="53">
        <v>42</v>
      </c>
      <c r="F316" s="53">
        <v>17</v>
      </c>
      <c r="G316" s="418" t="s">
        <v>576</v>
      </c>
      <c r="H316" s="53" t="s">
        <v>565</v>
      </c>
      <c r="I316" s="53" t="s">
        <v>560</v>
      </c>
      <c r="J316" s="447">
        <v>40598</v>
      </c>
      <c r="K316" s="53" t="str">
        <f>CHOOSE(WEEKDAY(J316),"Sun","Mon","Tue","Wed","Thu","Fri","Sat")</f>
        <v>Thu</v>
      </c>
      <c r="L316" s="54">
        <v>0.83333333333333326</v>
      </c>
      <c r="M316" s="53">
        <v>216</v>
      </c>
      <c r="N316" s="53">
        <v>3.79</v>
      </c>
      <c r="O316" s="53">
        <v>315</v>
      </c>
      <c r="P316" s="342" t="str">
        <f t="shared" si="4"/>
        <v>Yes</v>
      </c>
      <c r="Q316" s="354" t="str">
        <f ca="1">VLOOKUP(EpisodeList[[#This Row],[Season Number]], INDIRECT("'" &amp; EpisodeList[[#This Row],[Show]] &amp; " Season Info'!C2:J15"), 8,1)</f>
        <v>2010-11</v>
      </c>
    </row>
    <row r="317" spans="1:17" x14ac:dyDescent="0.2">
      <c r="A317" s="9" t="s">
        <v>243</v>
      </c>
      <c r="B317" s="29" t="s">
        <v>225</v>
      </c>
      <c r="C317" s="29">
        <v>7</v>
      </c>
      <c r="D317" s="29" t="str">
        <f>A317&amp; " S" &amp;C317</f>
        <v>The Office S7</v>
      </c>
      <c r="E317" s="29">
        <v>144</v>
      </c>
      <c r="F317" s="29">
        <v>18</v>
      </c>
      <c r="G317" s="420" t="s">
        <v>421</v>
      </c>
      <c r="H317" s="29" t="s">
        <v>279</v>
      </c>
      <c r="I317" s="29" t="s">
        <v>422</v>
      </c>
      <c r="J317" s="450">
        <v>40598</v>
      </c>
      <c r="K317" s="29" t="str">
        <f>CHOOSE(WEEKDAY(J317),"Sun","Mon","Tue","Wed","Thu","Fri","Sat")</f>
        <v>Thu</v>
      </c>
      <c r="L317" s="56">
        <v>0.875</v>
      </c>
      <c r="M317" s="29">
        <v>7018</v>
      </c>
      <c r="N317" s="29">
        <v>6.12</v>
      </c>
      <c r="O317" s="29">
        <v>316</v>
      </c>
      <c r="P317" s="343" t="str">
        <f t="shared" si="4"/>
        <v>Yes</v>
      </c>
      <c r="Q317" s="355" t="str">
        <f ca="1">VLOOKUP(EpisodeList[[#This Row],[Season Number]], INDIRECT("'" &amp; EpisodeList[[#This Row],[Show]] &amp; " Season Info'!C2:J15"), 8,1)</f>
        <v>2010-11</v>
      </c>
    </row>
    <row r="318" spans="1:17" x14ac:dyDescent="0.2">
      <c r="A318" s="21" t="s">
        <v>859</v>
      </c>
      <c r="B318" s="30" t="s">
        <v>221</v>
      </c>
      <c r="C318" s="30">
        <v>3</v>
      </c>
      <c r="D318" s="30" t="str">
        <f>A318&amp; " S" &amp;C318</f>
        <v>Parks and Rec S3</v>
      </c>
      <c r="E318" s="30">
        <v>36</v>
      </c>
      <c r="F318" s="30">
        <v>6</v>
      </c>
      <c r="G318" s="421" t="s">
        <v>738</v>
      </c>
      <c r="H318" s="30" t="s">
        <v>279</v>
      </c>
      <c r="I318" s="30" t="s">
        <v>704</v>
      </c>
      <c r="J318" s="451">
        <v>40598</v>
      </c>
      <c r="K318" s="30" t="str">
        <f>CHOOSE(WEEKDAY(J318),"Sun","Mon","Tue","Wed","Thu","Fri","Sat")</f>
        <v>Thu</v>
      </c>
      <c r="L318" s="57">
        <v>0.89583333333333326</v>
      </c>
      <c r="M318" s="30"/>
      <c r="N318" s="30">
        <v>4.59</v>
      </c>
      <c r="O318" s="30">
        <v>317</v>
      </c>
      <c r="P318" s="344" t="str">
        <f t="shared" si="4"/>
        <v>Yes</v>
      </c>
      <c r="Q318" s="356" t="str">
        <f ca="1">VLOOKUP(EpisodeList[[#This Row],[Season Number]], INDIRECT("'" &amp; EpisodeList[[#This Row],[Show]] &amp; " Season Info'!C2:J15"), 8,1)</f>
        <v>2010-11</v>
      </c>
    </row>
    <row r="319" spans="1:17" x14ac:dyDescent="0.2">
      <c r="A319" s="15" t="s">
        <v>228</v>
      </c>
      <c r="B319" s="28" t="s">
        <v>223</v>
      </c>
      <c r="C319" s="28">
        <v>5</v>
      </c>
      <c r="D319" s="28" t="str">
        <f>A319&amp; " S" &amp;C319</f>
        <v>30 Rock S5</v>
      </c>
      <c r="E319" s="28">
        <v>96</v>
      </c>
      <c r="F319" s="28">
        <v>16</v>
      </c>
      <c r="G319" s="419" t="s">
        <v>157</v>
      </c>
      <c r="H319" s="28" t="s">
        <v>140</v>
      </c>
      <c r="I319" s="28" t="s">
        <v>57</v>
      </c>
      <c r="J319" s="448">
        <v>40598</v>
      </c>
      <c r="K319" s="28" t="str">
        <f>CHOOSE(WEEKDAY(J319),"Sun","Mon","Tue","Wed","Thu","Fri","Sat")</f>
        <v>Thu</v>
      </c>
      <c r="L319" s="55">
        <v>0.91666666666666674</v>
      </c>
      <c r="M319" s="28">
        <v>516</v>
      </c>
      <c r="N319" s="28">
        <v>4.5</v>
      </c>
      <c r="O319" s="28">
        <v>318</v>
      </c>
      <c r="P319" s="345" t="str">
        <f t="shared" si="4"/>
        <v>Yes</v>
      </c>
      <c r="Q319" s="357" t="str">
        <f ca="1">VLOOKUP(EpisodeList[[#This Row],[Season Number]], INDIRECT("'" &amp; EpisodeList[[#This Row],[Show]] &amp; " Season Info'!C2:J15"), 8,1)</f>
        <v>2010-11</v>
      </c>
    </row>
    <row r="320" spans="1:17" x14ac:dyDescent="0.2">
      <c r="A320" s="25" t="s">
        <v>687</v>
      </c>
      <c r="B320" s="53" t="s">
        <v>220</v>
      </c>
      <c r="C320" s="53">
        <v>2</v>
      </c>
      <c r="D320" s="53" t="str">
        <f>A320&amp; " S" &amp;C320</f>
        <v>Community S2</v>
      </c>
      <c r="E320" s="53">
        <v>43</v>
      </c>
      <c r="F320" s="53">
        <v>18</v>
      </c>
      <c r="G320" s="418" t="s">
        <v>577</v>
      </c>
      <c r="H320" s="53" t="s">
        <v>512</v>
      </c>
      <c r="I320" s="53" t="s">
        <v>555</v>
      </c>
      <c r="J320" s="447">
        <v>40619</v>
      </c>
      <c r="K320" s="53" t="str">
        <f>CHOOSE(WEEKDAY(J320),"Sun","Mon","Tue","Wed","Thu","Fri","Sat")</f>
        <v>Thu</v>
      </c>
      <c r="L320" s="54">
        <v>0.83333333333333326</v>
      </c>
      <c r="M320" s="53">
        <v>217</v>
      </c>
      <c r="N320" s="53">
        <v>4.1500000000000004</v>
      </c>
      <c r="O320" s="53">
        <v>319</v>
      </c>
      <c r="P320" s="342" t="str">
        <f t="shared" si="4"/>
        <v/>
      </c>
      <c r="Q320" s="354" t="str">
        <f ca="1">VLOOKUP(EpisodeList[[#This Row],[Season Number]], INDIRECT("'" &amp; EpisodeList[[#This Row],[Show]] &amp; " Season Info'!C2:J15"), 8,1)</f>
        <v>2010-11</v>
      </c>
    </row>
    <row r="321" spans="1:17" x14ac:dyDescent="0.2">
      <c r="A321" s="21" t="s">
        <v>859</v>
      </c>
      <c r="B321" s="30" t="s">
        <v>221</v>
      </c>
      <c r="C321" s="30">
        <v>3</v>
      </c>
      <c r="D321" s="30" t="str">
        <f>A321&amp; " S" &amp;C321</f>
        <v>Parks and Rec S3</v>
      </c>
      <c r="E321" s="30">
        <v>37</v>
      </c>
      <c r="F321" s="30">
        <v>7</v>
      </c>
      <c r="G321" s="421" t="s">
        <v>749</v>
      </c>
      <c r="H321" s="30" t="s">
        <v>348</v>
      </c>
      <c r="I321" s="30" t="s">
        <v>692</v>
      </c>
      <c r="J321" s="451">
        <v>40619</v>
      </c>
      <c r="K321" s="30" t="str">
        <f>CHOOSE(WEEKDAY(J321),"Sun","Mon","Tue","Wed","Thu","Fri","Sat")</f>
        <v>Thu</v>
      </c>
      <c r="L321" s="57">
        <v>0.89583333333333326</v>
      </c>
      <c r="M321" s="30"/>
      <c r="N321" s="30">
        <v>4.08</v>
      </c>
      <c r="O321" s="30">
        <v>320</v>
      </c>
      <c r="P321" s="344" t="str">
        <f t="shared" si="4"/>
        <v/>
      </c>
      <c r="Q321" s="356" t="str">
        <f ca="1">VLOOKUP(EpisodeList[[#This Row],[Season Number]], INDIRECT("'" &amp; EpisodeList[[#This Row],[Show]] &amp; " Season Info'!C2:J15"), 8,1)</f>
        <v>2010-11</v>
      </c>
    </row>
    <row r="322" spans="1:17" x14ac:dyDescent="0.2">
      <c r="A322" s="15" t="s">
        <v>228</v>
      </c>
      <c r="B322" s="28" t="s">
        <v>223</v>
      </c>
      <c r="C322" s="28">
        <v>5</v>
      </c>
      <c r="D322" s="28" t="str">
        <f>A322&amp; " S" &amp;C322</f>
        <v>30 Rock S5</v>
      </c>
      <c r="E322" s="28">
        <v>97</v>
      </c>
      <c r="F322" s="28">
        <v>17</v>
      </c>
      <c r="G322" s="419" t="s">
        <v>158</v>
      </c>
      <c r="H322" s="28" t="s">
        <v>90</v>
      </c>
      <c r="I322" s="28" t="s">
        <v>151</v>
      </c>
      <c r="J322" s="448">
        <v>40619</v>
      </c>
      <c r="K322" s="28" t="str">
        <f>CHOOSE(WEEKDAY(J322),"Sun","Mon","Tue","Wed","Thu","Fri","Sat")</f>
        <v>Thu</v>
      </c>
      <c r="L322" s="55">
        <v>0.91666666666666674</v>
      </c>
      <c r="M322" s="28">
        <v>517</v>
      </c>
      <c r="N322" s="28">
        <v>4.1900000000000004</v>
      </c>
      <c r="O322" s="28">
        <v>321</v>
      </c>
      <c r="P322" s="345" t="str">
        <f t="shared" ref="P322:P385" si="5">IF(AND(
    COUNTIFS(A:A, A322, J:J, J322) = 1,
    COUNTIFS(A:A, "30 Rock", J:J, J322) = 1,
    COUNTIFS(A:A, "The Office", J:J, J322) = 1,
    COUNTIFS(A:A, "Community", J:J, J322) = 1,
    COUNTIFS(A:A, "Parks and Rec", J:J, J322) = 1
), "Yes", "")</f>
        <v/>
      </c>
      <c r="Q322" s="357" t="str">
        <f ca="1">VLOOKUP(EpisodeList[[#This Row],[Season Number]], INDIRECT("'" &amp; EpisodeList[[#This Row],[Show]] &amp; " Season Info'!C2:J15"), 8,1)</f>
        <v>2010-11</v>
      </c>
    </row>
    <row r="323" spans="1:17" x14ac:dyDescent="0.2">
      <c r="A323" s="25" t="s">
        <v>687</v>
      </c>
      <c r="B323" s="53" t="s">
        <v>220</v>
      </c>
      <c r="C323" s="53">
        <v>2</v>
      </c>
      <c r="D323" s="53" t="str">
        <f>A323&amp; " S" &amp;C323</f>
        <v>Community S2</v>
      </c>
      <c r="E323" s="53">
        <v>44</v>
      </c>
      <c r="F323" s="53">
        <v>19</v>
      </c>
      <c r="G323" s="418" t="s">
        <v>578</v>
      </c>
      <c r="H323" s="53" t="s">
        <v>579</v>
      </c>
      <c r="I323" s="53" t="s">
        <v>580</v>
      </c>
      <c r="J323" s="447">
        <v>40626</v>
      </c>
      <c r="K323" s="53" t="str">
        <f>CHOOSE(WEEKDAY(J323),"Sun","Mon","Tue","Wed","Thu","Fri","Sat")</f>
        <v>Thu</v>
      </c>
      <c r="L323" s="54">
        <v>0.83333333333333326</v>
      </c>
      <c r="M323" s="53">
        <v>218</v>
      </c>
      <c r="N323" s="53">
        <v>4.46</v>
      </c>
      <c r="O323" s="53">
        <v>322</v>
      </c>
      <c r="P323" s="342" t="str">
        <f t="shared" si="5"/>
        <v>Yes</v>
      </c>
      <c r="Q323" s="354" t="str">
        <f ca="1">VLOOKUP(EpisodeList[[#This Row],[Season Number]], INDIRECT("'" &amp; EpisodeList[[#This Row],[Show]] &amp; " Season Info'!C2:J15"), 8,1)</f>
        <v>2010-11</v>
      </c>
    </row>
    <row r="324" spans="1:17" x14ac:dyDescent="0.2">
      <c r="A324" s="9" t="s">
        <v>243</v>
      </c>
      <c r="B324" s="29" t="s">
        <v>225</v>
      </c>
      <c r="C324" s="29">
        <v>7</v>
      </c>
      <c r="D324" s="29" t="str">
        <f>A324&amp; " S" &amp;C324</f>
        <v>The Office S7</v>
      </c>
      <c r="E324" s="29">
        <v>145</v>
      </c>
      <c r="F324" s="29">
        <v>19</v>
      </c>
      <c r="G324" s="420" t="s">
        <v>423</v>
      </c>
      <c r="H324" s="29" t="s">
        <v>271</v>
      </c>
      <c r="I324" s="29" t="s">
        <v>408</v>
      </c>
      <c r="J324" s="450">
        <v>40626</v>
      </c>
      <c r="K324" s="29" t="str">
        <f>CHOOSE(WEEKDAY(J324),"Sun","Mon","Tue","Wed","Thu","Fri","Sat")</f>
        <v>Thu</v>
      </c>
      <c r="L324" s="56">
        <v>0.875</v>
      </c>
      <c r="M324" s="29">
        <v>7019</v>
      </c>
      <c r="N324" s="29">
        <v>7.07</v>
      </c>
      <c r="O324" s="29">
        <v>323</v>
      </c>
      <c r="P324" s="343" t="str">
        <f t="shared" si="5"/>
        <v>Yes</v>
      </c>
      <c r="Q324" s="355" t="str">
        <f ca="1">VLOOKUP(EpisodeList[[#This Row],[Season Number]], INDIRECT("'" &amp; EpisodeList[[#This Row],[Show]] &amp; " Season Info'!C2:J15"), 8,1)</f>
        <v>2010-11</v>
      </c>
    </row>
    <row r="325" spans="1:17" x14ac:dyDescent="0.2">
      <c r="A325" s="21" t="s">
        <v>859</v>
      </c>
      <c r="B325" s="30" t="s">
        <v>221</v>
      </c>
      <c r="C325" s="30">
        <v>3</v>
      </c>
      <c r="D325" s="30" t="str">
        <f>A325&amp; " S" &amp;C325</f>
        <v>Parks and Rec S3</v>
      </c>
      <c r="E325" s="30">
        <v>38</v>
      </c>
      <c r="F325" s="30">
        <v>8</v>
      </c>
      <c r="G325" s="421" t="s">
        <v>739</v>
      </c>
      <c r="H325" s="30" t="s">
        <v>614</v>
      </c>
      <c r="I325" s="30" t="s">
        <v>709</v>
      </c>
      <c r="J325" s="451">
        <v>40626</v>
      </c>
      <c r="K325" s="30" t="str">
        <f>CHOOSE(WEEKDAY(J325),"Sun","Mon","Tue","Wed","Thu","Fri","Sat")</f>
        <v>Thu</v>
      </c>
      <c r="L325" s="57">
        <v>0.89583333333333326</v>
      </c>
      <c r="M325" s="30"/>
      <c r="N325" s="30">
        <v>5.15</v>
      </c>
      <c r="O325" s="30">
        <v>324</v>
      </c>
      <c r="P325" s="344" t="str">
        <f t="shared" si="5"/>
        <v>Yes</v>
      </c>
      <c r="Q325" s="356" t="str">
        <f ca="1">VLOOKUP(EpisodeList[[#This Row],[Season Number]], INDIRECT("'" &amp; EpisodeList[[#This Row],[Show]] &amp; " Season Info'!C2:J15"), 8,1)</f>
        <v>2010-11</v>
      </c>
    </row>
    <row r="326" spans="1:17" x14ac:dyDescent="0.2">
      <c r="A326" s="15" t="s">
        <v>228</v>
      </c>
      <c r="B326" s="28" t="s">
        <v>223</v>
      </c>
      <c r="C326" s="28">
        <v>5</v>
      </c>
      <c r="D326" s="28" t="str">
        <f>A326&amp; " S" &amp;C326</f>
        <v>30 Rock S5</v>
      </c>
      <c r="E326" s="28">
        <v>98</v>
      </c>
      <c r="F326" s="28">
        <v>18</v>
      </c>
      <c r="G326" s="419" t="s">
        <v>159</v>
      </c>
      <c r="H326" s="28" t="s">
        <v>133</v>
      </c>
      <c r="I326" s="28" t="s">
        <v>111</v>
      </c>
      <c r="J326" s="448">
        <v>40626</v>
      </c>
      <c r="K326" s="28" t="str">
        <f>CHOOSE(WEEKDAY(J326),"Sun","Mon","Tue","Wed","Thu","Fri","Sat")</f>
        <v>Thu</v>
      </c>
      <c r="L326" s="55">
        <v>0.91666666666666674</v>
      </c>
      <c r="M326" s="28">
        <v>518</v>
      </c>
      <c r="N326" s="28">
        <v>4.3600000000000003</v>
      </c>
      <c r="O326" s="28">
        <v>325</v>
      </c>
      <c r="P326" s="345" t="str">
        <f t="shared" si="5"/>
        <v>Yes</v>
      </c>
      <c r="Q326" s="357" t="str">
        <f ca="1">VLOOKUP(EpisodeList[[#This Row],[Season Number]], INDIRECT("'" &amp; EpisodeList[[#This Row],[Show]] &amp; " Season Info'!C2:J15"), 8,1)</f>
        <v>2010-11</v>
      </c>
    </row>
    <row r="327" spans="1:17" x14ac:dyDescent="0.2">
      <c r="A327" s="25" t="s">
        <v>687</v>
      </c>
      <c r="B327" s="53" t="s">
        <v>220</v>
      </c>
      <c r="C327" s="53">
        <v>2</v>
      </c>
      <c r="D327" s="53" t="str">
        <f>A327&amp; " S" &amp;C327</f>
        <v>Community S2</v>
      </c>
      <c r="E327" s="53">
        <v>45</v>
      </c>
      <c r="F327" s="53">
        <v>20</v>
      </c>
      <c r="G327" s="418" t="s">
        <v>581</v>
      </c>
      <c r="H327" s="53" t="s">
        <v>510</v>
      </c>
      <c r="I327" s="53" t="s">
        <v>548</v>
      </c>
      <c r="J327" s="447">
        <v>40647</v>
      </c>
      <c r="K327" s="53" t="str">
        <f>CHOOSE(WEEKDAY(J327),"Sun","Mon","Tue","Wed","Thu","Fri","Sat")</f>
        <v>Thu</v>
      </c>
      <c r="L327" s="54">
        <v>0.83333333333333326</v>
      </c>
      <c r="M327" s="53">
        <v>219</v>
      </c>
      <c r="N327" s="53">
        <v>3.49</v>
      </c>
      <c r="O327" s="53">
        <v>326</v>
      </c>
      <c r="P327" s="342" t="str">
        <f t="shared" si="5"/>
        <v>Yes</v>
      </c>
      <c r="Q327" s="354" t="str">
        <f ca="1">VLOOKUP(EpisodeList[[#This Row],[Season Number]], INDIRECT("'" &amp; EpisodeList[[#This Row],[Show]] &amp; " Season Info'!C2:J15"), 8,1)</f>
        <v>2010-11</v>
      </c>
    </row>
    <row r="328" spans="1:17" x14ac:dyDescent="0.2">
      <c r="A328" s="9" t="s">
        <v>243</v>
      </c>
      <c r="B328" s="29" t="s">
        <v>225</v>
      </c>
      <c r="C328" s="29">
        <v>7</v>
      </c>
      <c r="D328" s="29" t="str">
        <f>A328&amp; " S" &amp;C328</f>
        <v>The Office S7</v>
      </c>
      <c r="E328" s="29">
        <v>146</v>
      </c>
      <c r="F328" s="29">
        <v>20</v>
      </c>
      <c r="G328" s="420" t="s">
        <v>424</v>
      </c>
      <c r="H328" s="29" t="s">
        <v>234</v>
      </c>
      <c r="I328" s="29" t="s">
        <v>378</v>
      </c>
      <c r="J328" s="450">
        <v>40647</v>
      </c>
      <c r="K328" s="29" t="str">
        <f>CHOOSE(WEEKDAY(J328),"Sun","Mon","Tue","Wed","Thu","Fri","Sat")</f>
        <v>Thu</v>
      </c>
      <c r="L328" s="56">
        <v>0.875</v>
      </c>
      <c r="M328" s="29">
        <v>7020</v>
      </c>
      <c r="N328" s="29">
        <v>7.87</v>
      </c>
      <c r="O328" s="29">
        <v>327</v>
      </c>
      <c r="P328" s="343" t="str">
        <f t="shared" si="5"/>
        <v>Yes</v>
      </c>
      <c r="Q328" s="355" t="str">
        <f ca="1">VLOOKUP(EpisodeList[[#This Row],[Season Number]], INDIRECT("'" &amp; EpisodeList[[#This Row],[Show]] &amp; " Season Info'!C2:J15"), 8,1)</f>
        <v>2010-11</v>
      </c>
    </row>
    <row r="329" spans="1:17" x14ac:dyDescent="0.2">
      <c r="A329" s="21" t="s">
        <v>859</v>
      </c>
      <c r="B329" s="30" t="s">
        <v>221</v>
      </c>
      <c r="C329" s="30">
        <v>3</v>
      </c>
      <c r="D329" s="30" t="str">
        <f>A329&amp; " S" &amp;C329</f>
        <v>Parks and Rec S3</v>
      </c>
      <c r="E329" s="30">
        <v>39</v>
      </c>
      <c r="F329" s="30">
        <v>9</v>
      </c>
      <c r="G329" s="421" t="s">
        <v>740</v>
      </c>
      <c r="H329" s="30" t="s">
        <v>723</v>
      </c>
      <c r="I329" s="30" t="s">
        <v>704</v>
      </c>
      <c r="J329" s="451">
        <v>40647</v>
      </c>
      <c r="K329" s="30" t="str">
        <f>CHOOSE(WEEKDAY(J329),"Sun","Mon","Tue","Wed","Thu","Fri","Sat")</f>
        <v>Thu</v>
      </c>
      <c r="L329" s="57">
        <v>0.89583333333333326</v>
      </c>
      <c r="M329" s="30"/>
      <c r="N329" s="30">
        <v>5.16</v>
      </c>
      <c r="O329" s="30">
        <v>328</v>
      </c>
      <c r="P329" s="344" t="str">
        <f t="shared" si="5"/>
        <v>Yes</v>
      </c>
      <c r="Q329" s="356" t="str">
        <f ca="1">VLOOKUP(EpisodeList[[#This Row],[Season Number]], INDIRECT("'" &amp; EpisodeList[[#This Row],[Show]] &amp; " Season Info'!C2:J15"), 8,1)</f>
        <v>2010-11</v>
      </c>
    </row>
    <row r="330" spans="1:17" x14ac:dyDescent="0.2">
      <c r="A330" s="15" t="s">
        <v>228</v>
      </c>
      <c r="B330" s="28" t="s">
        <v>223</v>
      </c>
      <c r="C330" s="28">
        <v>5</v>
      </c>
      <c r="D330" s="28" t="str">
        <f>A330&amp; " S" &amp;C330</f>
        <v>30 Rock S5</v>
      </c>
      <c r="E330" s="28">
        <v>99</v>
      </c>
      <c r="F330" s="28">
        <v>19</v>
      </c>
      <c r="G330" s="419" t="s">
        <v>160</v>
      </c>
      <c r="H330" s="28" t="s">
        <v>125</v>
      </c>
      <c r="I330" s="28" t="s">
        <v>161</v>
      </c>
      <c r="J330" s="448">
        <v>40647</v>
      </c>
      <c r="K330" s="28" t="str">
        <f>CHOOSE(WEEKDAY(J330),"Sun","Mon","Tue","Wed","Thu","Fri","Sat")</f>
        <v>Thu</v>
      </c>
      <c r="L330" s="55">
        <v>0.91666666666666674</v>
      </c>
      <c r="M330" s="28">
        <v>519</v>
      </c>
      <c r="N330" s="28">
        <v>4.45</v>
      </c>
      <c r="O330" s="28">
        <v>329</v>
      </c>
      <c r="P330" s="345" t="str">
        <f t="shared" si="5"/>
        <v>Yes</v>
      </c>
      <c r="Q330" s="357" t="str">
        <f ca="1">VLOOKUP(EpisodeList[[#This Row],[Season Number]], INDIRECT("'" &amp; EpisodeList[[#This Row],[Show]] &amp; " Season Info'!C2:J15"), 8,1)</f>
        <v>2010-11</v>
      </c>
    </row>
    <row r="331" spans="1:17" x14ac:dyDescent="0.2">
      <c r="A331" s="25" t="s">
        <v>687</v>
      </c>
      <c r="B331" s="53" t="s">
        <v>220</v>
      </c>
      <c r="C331" s="53">
        <v>2</v>
      </c>
      <c r="D331" s="53" t="str">
        <f>A331&amp; " S" &amp;C331</f>
        <v>Community S2</v>
      </c>
      <c r="E331" s="53">
        <v>46</v>
      </c>
      <c r="F331" s="53">
        <v>21</v>
      </c>
      <c r="G331" s="418" t="s">
        <v>582</v>
      </c>
      <c r="H331" s="53" t="s">
        <v>544</v>
      </c>
      <c r="I331" s="53" t="s">
        <v>536</v>
      </c>
      <c r="J331" s="447">
        <v>40654</v>
      </c>
      <c r="K331" s="53" t="str">
        <f>CHOOSE(WEEKDAY(J331),"Sun","Mon","Tue","Wed","Thu","Fri","Sat")</f>
        <v>Thu</v>
      </c>
      <c r="L331" s="54">
        <v>0.83333333333333326</v>
      </c>
      <c r="M331" s="53">
        <v>220</v>
      </c>
      <c r="N331" s="53">
        <v>3.17</v>
      </c>
      <c r="O331" s="53">
        <v>330</v>
      </c>
      <c r="P331" s="342" t="str">
        <f t="shared" si="5"/>
        <v>Yes</v>
      </c>
      <c r="Q331" s="354" t="str">
        <f ca="1">VLOOKUP(EpisodeList[[#This Row],[Season Number]], INDIRECT("'" &amp; EpisodeList[[#This Row],[Show]] &amp; " Season Info'!C2:J15"), 8,1)</f>
        <v>2010-11</v>
      </c>
    </row>
    <row r="332" spans="1:17" x14ac:dyDescent="0.2">
      <c r="A332" s="9" t="s">
        <v>243</v>
      </c>
      <c r="B332" s="29" t="s">
        <v>225</v>
      </c>
      <c r="C332" s="29">
        <v>7</v>
      </c>
      <c r="D332" s="29" t="str">
        <f>A332&amp; " S" &amp;C332</f>
        <v>The Office S7</v>
      </c>
      <c r="E332" s="29">
        <v>147</v>
      </c>
      <c r="F332" s="29">
        <v>21</v>
      </c>
      <c r="G332" s="420" t="s">
        <v>425</v>
      </c>
      <c r="H332" s="29" t="s">
        <v>242</v>
      </c>
      <c r="I332" s="29" t="s">
        <v>242</v>
      </c>
      <c r="J332" s="450">
        <v>40654</v>
      </c>
      <c r="K332" s="29" t="str">
        <f>CHOOSE(WEEKDAY(J332),"Sun","Mon","Tue","Wed","Thu","Fri","Sat")</f>
        <v>Thu</v>
      </c>
      <c r="L332" s="56">
        <v>0.875</v>
      </c>
      <c r="M332" s="29">
        <v>7021</v>
      </c>
      <c r="N332" s="29">
        <v>6.85</v>
      </c>
      <c r="O332" s="29">
        <v>331</v>
      </c>
      <c r="P332" s="343" t="str">
        <f t="shared" si="5"/>
        <v>Yes</v>
      </c>
      <c r="Q332" s="355" t="str">
        <f ca="1">VLOOKUP(EpisodeList[[#This Row],[Season Number]], INDIRECT("'" &amp; EpisodeList[[#This Row],[Show]] &amp; " Season Info'!C2:J15"), 8,1)</f>
        <v>2010-11</v>
      </c>
    </row>
    <row r="333" spans="1:17" x14ac:dyDescent="0.2">
      <c r="A333" s="21" t="s">
        <v>859</v>
      </c>
      <c r="B333" s="30" t="s">
        <v>221</v>
      </c>
      <c r="C333" s="30">
        <v>3</v>
      </c>
      <c r="D333" s="30" t="str">
        <f>A333&amp; " S" &amp;C333</f>
        <v>Parks and Rec S3</v>
      </c>
      <c r="E333" s="30">
        <v>40</v>
      </c>
      <c r="F333" s="30">
        <v>10</v>
      </c>
      <c r="G333" s="421" t="s">
        <v>741</v>
      </c>
      <c r="H333" s="30" t="s">
        <v>90</v>
      </c>
      <c r="I333" s="30" t="s">
        <v>695</v>
      </c>
      <c r="J333" s="451">
        <v>40654</v>
      </c>
      <c r="K333" s="30" t="str">
        <f>CHOOSE(WEEKDAY(J333),"Sun","Mon","Tue","Wed","Thu","Fri","Sat")</f>
        <v>Thu</v>
      </c>
      <c r="L333" s="57">
        <v>0.89583333333333326</v>
      </c>
      <c r="M333" s="30"/>
      <c r="N333" s="30">
        <v>4.88</v>
      </c>
      <c r="O333" s="30">
        <v>332</v>
      </c>
      <c r="P333" s="344" t="str">
        <f t="shared" si="5"/>
        <v>Yes</v>
      </c>
      <c r="Q333" s="356" t="str">
        <f ca="1">VLOOKUP(EpisodeList[[#This Row],[Season Number]], INDIRECT("'" &amp; EpisodeList[[#This Row],[Show]] &amp; " Season Info'!C2:J15"), 8,1)</f>
        <v>2010-11</v>
      </c>
    </row>
    <row r="334" spans="1:17" x14ac:dyDescent="0.2">
      <c r="A334" s="15" t="s">
        <v>228</v>
      </c>
      <c r="B334" s="28" t="s">
        <v>223</v>
      </c>
      <c r="C334" s="28">
        <v>5</v>
      </c>
      <c r="D334" s="28" t="str">
        <f>A334&amp; " S" &amp;C334</f>
        <v>30 Rock S5</v>
      </c>
      <c r="E334" s="28">
        <v>100</v>
      </c>
      <c r="F334" s="28">
        <v>20</v>
      </c>
      <c r="G334" s="419" t="s">
        <v>162</v>
      </c>
      <c r="H334" s="28" t="s">
        <v>17</v>
      </c>
      <c r="I334" s="28" t="s">
        <v>163</v>
      </c>
      <c r="J334" s="448">
        <v>40654</v>
      </c>
      <c r="K334" s="28" t="str">
        <f>CHOOSE(WEEKDAY(J334),"Sun","Mon","Tue","Wed","Thu","Fri","Sat")</f>
        <v>Thu</v>
      </c>
      <c r="L334" s="55">
        <v>0.91666666666666674</v>
      </c>
      <c r="M334" s="28">
        <v>520</v>
      </c>
      <c r="N334" s="28">
        <v>4.5999999999999996</v>
      </c>
      <c r="O334" s="28">
        <v>333</v>
      </c>
      <c r="P334" s="345" t="str">
        <f t="shared" si="5"/>
        <v>Yes</v>
      </c>
      <c r="Q334" s="357" t="str">
        <f ca="1">VLOOKUP(EpisodeList[[#This Row],[Season Number]], INDIRECT("'" &amp; EpisodeList[[#This Row],[Show]] &amp; " Season Info'!C2:J15"), 8,1)</f>
        <v>2010-11</v>
      </c>
    </row>
    <row r="335" spans="1:17" x14ac:dyDescent="0.2">
      <c r="A335" s="25" t="s">
        <v>687</v>
      </c>
      <c r="B335" s="53" t="s">
        <v>220</v>
      </c>
      <c r="C335" s="53">
        <v>2</v>
      </c>
      <c r="D335" s="53" t="str">
        <f>A335&amp; " S" &amp;C335</f>
        <v>Community S2</v>
      </c>
      <c r="E335" s="53">
        <v>47</v>
      </c>
      <c r="F335" s="53">
        <v>22</v>
      </c>
      <c r="G335" s="418" t="s">
        <v>583</v>
      </c>
      <c r="H335" s="53" t="s">
        <v>565</v>
      </c>
      <c r="I335" s="53" t="s">
        <v>540</v>
      </c>
      <c r="J335" s="447">
        <v>40661</v>
      </c>
      <c r="K335" s="53" t="str">
        <f>CHOOSE(WEEKDAY(J335),"Sun","Mon","Tue","Wed","Thu","Fri","Sat")</f>
        <v>Thu</v>
      </c>
      <c r="L335" s="54">
        <v>0.83333333333333326</v>
      </c>
      <c r="M335" s="53">
        <v>221</v>
      </c>
      <c r="N335" s="53">
        <v>3.35</v>
      </c>
      <c r="O335" s="53">
        <v>334</v>
      </c>
      <c r="P335" s="342" t="str">
        <f t="shared" si="5"/>
        <v/>
      </c>
      <c r="Q335" s="354" t="str">
        <f ca="1">VLOOKUP(EpisodeList[[#This Row],[Season Number]], INDIRECT("'" &amp; EpisodeList[[#This Row],[Show]] &amp; " Season Info'!C2:J15"), 8,1)</f>
        <v>2010-11</v>
      </c>
    </row>
    <row r="336" spans="1:17" x14ac:dyDescent="0.2">
      <c r="A336" s="9" t="s">
        <v>243</v>
      </c>
      <c r="B336" s="29" t="s">
        <v>225</v>
      </c>
      <c r="C336" s="29">
        <v>7</v>
      </c>
      <c r="D336" s="29" t="str">
        <f>A336&amp; " S" &amp;C336</f>
        <v>The Office S7</v>
      </c>
      <c r="E336" s="29">
        <v>148</v>
      </c>
      <c r="F336" s="29">
        <v>22</v>
      </c>
      <c r="G336" s="420" t="s">
        <v>497</v>
      </c>
      <c r="H336" s="29" t="s">
        <v>44</v>
      </c>
      <c r="I336" s="29" t="s">
        <v>239</v>
      </c>
      <c r="J336" s="450">
        <v>40661</v>
      </c>
      <c r="K336" s="29" t="str">
        <f>CHOOSE(WEEKDAY(J336),"Sun","Mon","Tue","Wed","Thu","Fri","Sat")</f>
        <v>Thu</v>
      </c>
      <c r="L336" s="56">
        <v>0.875</v>
      </c>
      <c r="M336" s="29">
        <v>7022</v>
      </c>
      <c r="N336" s="29">
        <v>8.42</v>
      </c>
      <c r="O336" s="29">
        <v>335</v>
      </c>
      <c r="P336" s="343" t="str">
        <f t="shared" si="5"/>
        <v/>
      </c>
      <c r="Q336" s="355" t="str">
        <f ca="1">VLOOKUP(EpisodeList[[#This Row],[Season Number]], INDIRECT("'" &amp; EpisodeList[[#This Row],[Show]] &amp; " Season Info'!C2:J15"), 8,1)</f>
        <v>2010-11</v>
      </c>
    </row>
    <row r="337" spans="1:17" x14ac:dyDescent="0.2">
      <c r="A337" s="21" t="s">
        <v>859</v>
      </c>
      <c r="B337" s="30" t="s">
        <v>221</v>
      </c>
      <c r="C337" s="30">
        <v>3</v>
      </c>
      <c r="D337" s="30" t="str">
        <f>A337&amp; " S" &amp;C337</f>
        <v>Parks and Rec S3</v>
      </c>
      <c r="E337" s="30">
        <v>41</v>
      </c>
      <c r="F337" s="30">
        <v>11</v>
      </c>
      <c r="G337" s="421" t="s">
        <v>748</v>
      </c>
      <c r="H337" s="30" t="s">
        <v>348</v>
      </c>
      <c r="I337" s="30" t="s">
        <v>698</v>
      </c>
      <c r="J337" s="451">
        <v>40661</v>
      </c>
      <c r="K337" s="30" t="str">
        <f>CHOOSE(WEEKDAY(J337),"Sun","Mon","Tue","Wed","Thu","Fri","Sat")</f>
        <v>Thu</v>
      </c>
      <c r="L337" s="57">
        <v>0.89583333333333326</v>
      </c>
      <c r="M337" s="30"/>
      <c r="N337" s="30">
        <v>4.71</v>
      </c>
      <c r="O337" s="30">
        <v>336</v>
      </c>
      <c r="P337" s="344" t="str">
        <f t="shared" si="5"/>
        <v/>
      </c>
      <c r="Q337" s="356" t="str">
        <f ca="1">VLOOKUP(EpisodeList[[#This Row],[Season Number]], INDIRECT("'" &amp; EpisodeList[[#This Row],[Show]] &amp; " Season Info'!C2:J15"), 8,1)</f>
        <v>2010-11</v>
      </c>
    </row>
    <row r="338" spans="1:17" x14ac:dyDescent="0.2">
      <c r="A338" s="15" t="s">
        <v>228</v>
      </c>
      <c r="B338" s="28" t="s">
        <v>223</v>
      </c>
      <c r="C338" s="28">
        <v>5</v>
      </c>
      <c r="D338" s="28" t="str">
        <f>A338&amp; " S" &amp;C338</f>
        <v>30 Rock S5</v>
      </c>
      <c r="E338" s="28">
        <v>101</v>
      </c>
      <c r="F338" s="28">
        <v>21</v>
      </c>
      <c r="G338" s="419" t="s">
        <v>164</v>
      </c>
      <c r="H338" s="28" t="s">
        <v>12</v>
      </c>
      <c r="I338" s="28" t="s">
        <v>165</v>
      </c>
      <c r="J338" s="448">
        <v>40661</v>
      </c>
      <c r="K338" s="28" t="str">
        <f>CHOOSE(WEEKDAY(J338),"Sun","Mon","Tue","Wed","Thu","Fri","Sat")</f>
        <v>Thu</v>
      </c>
      <c r="L338" s="55">
        <v>0.9375</v>
      </c>
      <c r="M338" s="28">
        <v>521</v>
      </c>
      <c r="N338" s="28">
        <v>3.95</v>
      </c>
      <c r="O338" s="28">
        <v>337</v>
      </c>
      <c r="P338" s="345" t="str">
        <f t="shared" si="5"/>
        <v/>
      </c>
      <c r="Q338" s="357" t="str">
        <f ca="1">VLOOKUP(EpisodeList[[#This Row],[Season Number]], INDIRECT("'" &amp; EpisodeList[[#This Row],[Show]] &amp; " Season Info'!C2:J15"), 8,1)</f>
        <v>2010-11</v>
      </c>
    </row>
    <row r="339" spans="1:17" x14ac:dyDescent="0.2">
      <c r="A339" s="15" t="s">
        <v>228</v>
      </c>
      <c r="B339" s="28" t="s">
        <v>223</v>
      </c>
      <c r="C339" s="28">
        <v>5</v>
      </c>
      <c r="D339" s="28" t="str">
        <f>A339&amp; " S" &amp;C339</f>
        <v>30 Rock S5</v>
      </c>
      <c r="E339" s="28">
        <v>102</v>
      </c>
      <c r="F339" s="28">
        <v>22</v>
      </c>
      <c r="G339" s="419" t="s">
        <v>164</v>
      </c>
      <c r="H339" s="28" t="s">
        <v>12</v>
      </c>
      <c r="I339" s="28" t="s">
        <v>165</v>
      </c>
      <c r="J339" s="448">
        <v>40661</v>
      </c>
      <c r="K339" s="28" t="str">
        <f>CHOOSE(WEEKDAY(J339),"Sun","Mon","Tue","Wed","Thu","Fri","Sat")</f>
        <v>Thu</v>
      </c>
      <c r="L339" s="55">
        <v>0.95833333333333326</v>
      </c>
      <c r="M339" s="28">
        <v>522</v>
      </c>
      <c r="N339" s="28">
        <v>3.95</v>
      </c>
      <c r="O339" s="28">
        <v>338</v>
      </c>
      <c r="P339" s="345" t="str">
        <f t="shared" si="5"/>
        <v/>
      </c>
      <c r="Q339" s="357" t="str">
        <f ca="1">VLOOKUP(EpisodeList[[#This Row],[Season Number]], INDIRECT("'" &amp; EpisodeList[[#This Row],[Show]] &amp; " Season Info'!C2:J15"), 8,1)</f>
        <v>2010-11</v>
      </c>
    </row>
    <row r="340" spans="1:17" x14ac:dyDescent="0.2">
      <c r="A340" s="25" t="s">
        <v>687</v>
      </c>
      <c r="B340" s="53" t="s">
        <v>220</v>
      </c>
      <c r="C340" s="53">
        <v>2</v>
      </c>
      <c r="D340" s="53" t="str">
        <f>A340&amp; " S" &amp;C340</f>
        <v>Community S2</v>
      </c>
      <c r="E340" s="53">
        <v>48</v>
      </c>
      <c r="F340" s="53">
        <v>23</v>
      </c>
      <c r="G340" s="418" t="s">
        <v>584</v>
      </c>
      <c r="H340" s="53" t="s">
        <v>510</v>
      </c>
      <c r="I340" s="53" t="s">
        <v>517</v>
      </c>
      <c r="J340" s="447">
        <v>40668</v>
      </c>
      <c r="K340" s="53" t="str">
        <f>CHOOSE(WEEKDAY(J340),"Sun","Mon","Tue","Wed","Thu","Fri","Sat")</f>
        <v>Thu</v>
      </c>
      <c r="L340" s="54">
        <v>0.83333333333333326</v>
      </c>
      <c r="M340" s="53">
        <v>223</v>
      </c>
      <c r="N340" s="53">
        <v>3.49</v>
      </c>
      <c r="O340" s="53">
        <v>339</v>
      </c>
      <c r="P340" s="342" t="str">
        <f t="shared" si="5"/>
        <v>Yes</v>
      </c>
      <c r="Q340" s="354" t="str">
        <f ca="1">VLOOKUP(EpisodeList[[#This Row],[Season Number]], INDIRECT("'" &amp; EpisodeList[[#This Row],[Show]] &amp; " Season Info'!C2:J15"), 8,1)</f>
        <v>2010-11</v>
      </c>
    </row>
    <row r="341" spans="1:17" x14ac:dyDescent="0.2">
      <c r="A341" s="9" t="s">
        <v>243</v>
      </c>
      <c r="B341" s="29" t="s">
        <v>225</v>
      </c>
      <c r="C341" s="29">
        <v>7</v>
      </c>
      <c r="D341" s="29" t="str">
        <f>A341&amp; " S" &amp;C341</f>
        <v>The Office S7</v>
      </c>
      <c r="E341" s="29">
        <v>149</v>
      </c>
      <c r="F341" s="29">
        <v>23</v>
      </c>
      <c r="G341" s="420" t="s">
        <v>426</v>
      </c>
      <c r="H341" s="29" t="s">
        <v>390</v>
      </c>
      <c r="I341" s="29" t="s">
        <v>337</v>
      </c>
      <c r="J341" s="450">
        <v>40668</v>
      </c>
      <c r="K341" s="29" t="str">
        <f>CHOOSE(WEEKDAY(J341),"Sun","Mon","Tue","Wed","Thu","Fri","Sat")</f>
        <v>Thu</v>
      </c>
      <c r="L341" s="56">
        <v>0.875</v>
      </c>
      <c r="M341" s="29">
        <v>7023</v>
      </c>
      <c r="N341" s="29">
        <v>6.9</v>
      </c>
      <c r="O341" s="29">
        <v>340</v>
      </c>
      <c r="P341" s="343" t="str">
        <f t="shared" si="5"/>
        <v>Yes</v>
      </c>
      <c r="Q341" s="355" t="str">
        <f ca="1">VLOOKUP(EpisodeList[[#This Row],[Season Number]], INDIRECT("'" &amp; EpisodeList[[#This Row],[Show]] &amp; " Season Info'!C2:J15"), 8,1)</f>
        <v>2010-11</v>
      </c>
    </row>
    <row r="342" spans="1:17" x14ac:dyDescent="0.2">
      <c r="A342" s="21" t="s">
        <v>859</v>
      </c>
      <c r="B342" s="30" t="s">
        <v>221</v>
      </c>
      <c r="C342" s="30">
        <v>3</v>
      </c>
      <c r="D342" s="30" t="str">
        <f>A342&amp; " S" &amp;C342</f>
        <v>Parks and Rec S3</v>
      </c>
      <c r="E342" s="30">
        <v>42</v>
      </c>
      <c r="F342" s="30">
        <v>12</v>
      </c>
      <c r="G342" s="421" t="s">
        <v>742</v>
      </c>
      <c r="H342" s="30" t="s">
        <v>743</v>
      </c>
      <c r="I342" s="30" t="s">
        <v>744</v>
      </c>
      <c r="J342" s="451">
        <v>40668</v>
      </c>
      <c r="K342" s="30" t="str">
        <f>CHOOSE(WEEKDAY(J342),"Sun","Mon","Tue","Wed","Thu","Fri","Sat")</f>
        <v>Thu</v>
      </c>
      <c r="L342" s="57">
        <v>0.89583333333333326</v>
      </c>
      <c r="M342" s="30"/>
      <c r="N342" s="30">
        <v>5.0599999999999996</v>
      </c>
      <c r="O342" s="30">
        <v>341</v>
      </c>
      <c r="P342" s="344" t="str">
        <f t="shared" si="5"/>
        <v>Yes</v>
      </c>
      <c r="Q342" s="356" t="str">
        <f ca="1">VLOOKUP(EpisodeList[[#This Row],[Season Number]], INDIRECT("'" &amp; EpisodeList[[#This Row],[Show]] &amp; " Season Info'!C2:J15"), 8,1)</f>
        <v>2010-11</v>
      </c>
    </row>
    <row r="343" spans="1:17" x14ac:dyDescent="0.2">
      <c r="A343" s="15" t="s">
        <v>228</v>
      </c>
      <c r="B343" s="28" t="s">
        <v>223</v>
      </c>
      <c r="C343" s="28">
        <v>5</v>
      </c>
      <c r="D343" s="28" t="str">
        <f>A343&amp; " S" &amp;C343</f>
        <v>30 Rock S5</v>
      </c>
      <c r="E343" s="28">
        <v>103</v>
      </c>
      <c r="F343" s="28">
        <v>23</v>
      </c>
      <c r="G343" s="419" t="s">
        <v>166</v>
      </c>
      <c r="H343" s="28" t="s">
        <v>17</v>
      </c>
      <c r="I343" s="28" t="s">
        <v>167</v>
      </c>
      <c r="J343" s="448">
        <v>40668</v>
      </c>
      <c r="K343" s="28" t="str">
        <f>CHOOSE(WEEKDAY(J343),"Sun","Mon","Tue","Wed","Thu","Fri","Sat")</f>
        <v>Thu</v>
      </c>
      <c r="L343" s="55">
        <v>0.91666666666666674</v>
      </c>
      <c r="M343" s="28">
        <v>523</v>
      </c>
      <c r="N343" s="28">
        <v>4.2</v>
      </c>
      <c r="O343" s="28">
        <v>342</v>
      </c>
      <c r="P343" s="345" t="str">
        <f t="shared" si="5"/>
        <v>Yes</v>
      </c>
      <c r="Q343" s="357" t="str">
        <f ca="1">VLOOKUP(EpisodeList[[#This Row],[Season Number]], INDIRECT("'" &amp; EpisodeList[[#This Row],[Show]] &amp; " Season Info'!C2:J15"), 8,1)</f>
        <v>2010-11</v>
      </c>
    </row>
    <row r="344" spans="1:17" x14ac:dyDescent="0.2">
      <c r="A344" s="25" t="s">
        <v>687</v>
      </c>
      <c r="B344" s="53" t="s">
        <v>220</v>
      </c>
      <c r="C344" s="53">
        <v>2</v>
      </c>
      <c r="D344" s="53" t="str">
        <f>A344&amp; " S" &amp;C344</f>
        <v>Community S2</v>
      </c>
      <c r="E344" s="53">
        <v>49</v>
      </c>
      <c r="F344" s="53">
        <v>24</v>
      </c>
      <c r="G344" s="418" t="s">
        <v>585</v>
      </c>
      <c r="H344" s="53" t="s">
        <v>510</v>
      </c>
      <c r="I344" s="53" t="s">
        <v>519</v>
      </c>
      <c r="J344" s="447">
        <v>40675</v>
      </c>
      <c r="K344" s="53" t="str">
        <f>CHOOSE(WEEKDAY(J344),"Sun","Mon","Tue","Wed","Thu","Fri","Sat")</f>
        <v>Thu</v>
      </c>
      <c r="L344" s="54">
        <v>0.83333333333333326</v>
      </c>
      <c r="M344" s="53">
        <v>224</v>
      </c>
      <c r="N344" s="53">
        <v>3.32</v>
      </c>
      <c r="O344" s="53">
        <v>343</v>
      </c>
      <c r="P344" s="342" t="str">
        <f t="shared" si="5"/>
        <v/>
      </c>
      <c r="Q344" s="354" t="str">
        <f ca="1">VLOOKUP(EpisodeList[[#This Row],[Season Number]], INDIRECT("'" &amp; EpisodeList[[#This Row],[Show]] &amp; " Season Info'!C2:J15"), 8,1)</f>
        <v>2010-11</v>
      </c>
    </row>
    <row r="345" spans="1:17" x14ac:dyDescent="0.2">
      <c r="A345" s="9" t="s">
        <v>243</v>
      </c>
      <c r="B345" s="29" t="s">
        <v>225</v>
      </c>
      <c r="C345" s="29">
        <v>7</v>
      </c>
      <c r="D345" s="29" t="str">
        <f>A345&amp; " S" &amp;C345</f>
        <v>The Office S7</v>
      </c>
      <c r="E345" s="29">
        <v>150</v>
      </c>
      <c r="F345" s="29">
        <v>24</v>
      </c>
      <c r="G345" s="420" t="s">
        <v>427</v>
      </c>
      <c r="H345" s="29" t="s">
        <v>428</v>
      </c>
      <c r="I345" s="29" t="s">
        <v>291</v>
      </c>
      <c r="J345" s="450">
        <v>40675</v>
      </c>
      <c r="K345" s="29" t="str">
        <f>CHOOSE(WEEKDAY(J345),"Sun","Mon","Tue","Wed","Thu","Fri","Sat")</f>
        <v>Thu</v>
      </c>
      <c r="L345" s="56">
        <v>0.875</v>
      </c>
      <c r="M345" s="29">
        <v>7024</v>
      </c>
      <c r="N345" s="29">
        <v>6.45</v>
      </c>
      <c r="O345" s="29">
        <v>344</v>
      </c>
      <c r="P345" s="343" t="str">
        <f t="shared" si="5"/>
        <v/>
      </c>
      <c r="Q345" s="355" t="str">
        <f ca="1">VLOOKUP(EpisodeList[[#This Row],[Season Number]], INDIRECT("'" &amp; EpisodeList[[#This Row],[Show]] &amp; " Season Info'!C2:J15"), 8,1)</f>
        <v>2010-11</v>
      </c>
    </row>
    <row r="346" spans="1:17" x14ac:dyDescent="0.2">
      <c r="A346" s="21" t="s">
        <v>859</v>
      </c>
      <c r="B346" s="30" t="s">
        <v>221</v>
      </c>
      <c r="C346" s="30">
        <v>3</v>
      </c>
      <c r="D346" s="30" t="str">
        <f>A346&amp; " S" &amp;C346</f>
        <v>Parks and Rec S3</v>
      </c>
      <c r="E346" s="30">
        <v>43</v>
      </c>
      <c r="F346" s="30">
        <v>13</v>
      </c>
      <c r="G346" s="421" t="s">
        <v>249</v>
      </c>
      <c r="H346" s="30" t="s">
        <v>279</v>
      </c>
      <c r="I346" s="30" t="s">
        <v>727</v>
      </c>
      <c r="J346" s="451">
        <v>40675</v>
      </c>
      <c r="K346" s="30" t="str">
        <f>CHOOSE(WEEKDAY(J346),"Sun","Mon","Tue","Wed","Thu","Fri","Sat")</f>
        <v>Thu</v>
      </c>
      <c r="L346" s="57">
        <v>0.89583333333333326</v>
      </c>
      <c r="M346" s="30"/>
      <c r="N346" s="30">
        <v>4.55</v>
      </c>
      <c r="O346" s="30">
        <v>345</v>
      </c>
      <c r="P346" s="344" t="str">
        <f t="shared" si="5"/>
        <v/>
      </c>
      <c r="Q346" s="356" t="str">
        <f ca="1">VLOOKUP(EpisodeList[[#This Row],[Season Number]], INDIRECT("'" &amp; EpisodeList[[#This Row],[Show]] &amp; " Season Info'!C2:J15"), 8,1)</f>
        <v>2010-11</v>
      </c>
    </row>
    <row r="347" spans="1:17" x14ac:dyDescent="0.2">
      <c r="A347" s="21" t="s">
        <v>859</v>
      </c>
      <c r="B347" s="30" t="s">
        <v>221</v>
      </c>
      <c r="C347" s="30">
        <v>3</v>
      </c>
      <c r="D347" s="30" t="str">
        <f>A347&amp; " S" &amp;C347</f>
        <v>Parks and Rec S3</v>
      </c>
      <c r="E347" s="30">
        <v>44</v>
      </c>
      <c r="F347" s="30">
        <v>14</v>
      </c>
      <c r="G347" s="421" t="s">
        <v>745</v>
      </c>
      <c r="H347" s="30" t="s">
        <v>428</v>
      </c>
      <c r="I347" s="30" t="s">
        <v>706</v>
      </c>
      <c r="J347" s="451">
        <v>40675</v>
      </c>
      <c r="K347" s="30" t="str">
        <f>CHOOSE(WEEKDAY(J347),"Sun","Mon","Tue","Wed","Thu","Fri","Sat")</f>
        <v>Thu</v>
      </c>
      <c r="L347" s="57">
        <v>0.91666666666666663</v>
      </c>
      <c r="M347" s="30"/>
      <c r="N347" s="30">
        <v>3.54</v>
      </c>
      <c r="O347" s="30">
        <v>346</v>
      </c>
      <c r="P347" s="344" t="str">
        <f t="shared" si="5"/>
        <v/>
      </c>
      <c r="Q347" s="356" t="str">
        <f ca="1">VLOOKUP(EpisodeList[[#This Row],[Season Number]], INDIRECT("'" &amp; EpisodeList[[#This Row],[Show]] &amp; " Season Info'!C2:J15"), 8,1)</f>
        <v>2010-11</v>
      </c>
    </row>
    <row r="348" spans="1:17" x14ac:dyDescent="0.2">
      <c r="A348" s="9" t="s">
        <v>243</v>
      </c>
      <c r="B348" s="29" t="s">
        <v>225</v>
      </c>
      <c r="C348" s="29">
        <v>7</v>
      </c>
      <c r="D348" s="29" t="str">
        <f>A348&amp; " S" &amp;C348</f>
        <v>The Office S7</v>
      </c>
      <c r="E348" s="29">
        <v>151</v>
      </c>
      <c r="F348" s="29">
        <v>25</v>
      </c>
      <c r="G348" s="420" t="s">
        <v>498</v>
      </c>
      <c r="H348" s="29" t="s">
        <v>286</v>
      </c>
      <c r="I348" s="29" t="s">
        <v>234</v>
      </c>
      <c r="J348" s="450">
        <v>40682</v>
      </c>
      <c r="K348" s="29" t="str">
        <f>CHOOSE(WEEKDAY(J348),"Sun","Mon","Tue","Wed","Thu","Fri","Sat")</f>
        <v>Thu</v>
      </c>
      <c r="L348" s="56">
        <v>0.875</v>
      </c>
      <c r="M348" s="29">
        <v>7025</v>
      </c>
      <c r="N348" s="29">
        <v>7.29</v>
      </c>
      <c r="O348" s="29">
        <v>347</v>
      </c>
      <c r="P348" s="343" t="str">
        <f t="shared" si="5"/>
        <v/>
      </c>
      <c r="Q348" s="355" t="str">
        <f ca="1">VLOOKUP(EpisodeList[[#This Row],[Season Number]], INDIRECT("'" &amp; EpisodeList[[#This Row],[Show]] &amp; " Season Info'!C2:J15"), 8,1)</f>
        <v>2010-11</v>
      </c>
    </row>
    <row r="349" spans="1:17" x14ac:dyDescent="0.2">
      <c r="A349" s="9" t="s">
        <v>243</v>
      </c>
      <c r="B349" s="29" t="s">
        <v>225</v>
      </c>
      <c r="C349" s="29">
        <v>7</v>
      </c>
      <c r="D349" s="29" t="str">
        <f>A349&amp; " S" &amp;C349</f>
        <v>The Office S7</v>
      </c>
      <c r="E349" s="29">
        <v>152</v>
      </c>
      <c r="F349" s="29">
        <v>26</v>
      </c>
      <c r="G349" s="420" t="s">
        <v>498</v>
      </c>
      <c r="H349" s="29" t="s">
        <v>286</v>
      </c>
      <c r="I349" s="29" t="s">
        <v>234</v>
      </c>
      <c r="J349" s="450">
        <v>40682</v>
      </c>
      <c r="K349" s="29" t="str">
        <f>CHOOSE(WEEKDAY(J349),"Sun","Mon","Tue","Wed","Thu","Fri","Sat")</f>
        <v>Thu</v>
      </c>
      <c r="L349" s="56">
        <v>0.89583333333333337</v>
      </c>
      <c r="M349" s="29">
        <v>7026</v>
      </c>
      <c r="N349" s="29">
        <v>7.29</v>
      </c>
      <c r="O349" s="29">
        <v>348</v>
      </c>
      <c r="P349" s="343" t="str">
        <f t="shared" si="5"/>
        <v/>
      </c>
      <c r="Q349" s="355" t="str">
        <f ca="1">VLOOKUP(EpisodeList[[#This Row],[Season Number]], INDIRECT("'" &amp; EpisodeList[[#This Row],[Show]] &amp; " Season Info'!C2:J15"), 8,1)</f>
        <v>2010-11</v>
      </c>
    </row>
    <row r="350" spans="1:17" x14ac:dyDescent="0.2">
      <c r="A350" s="21" t="s">
        <v>859</v>
      </c>
      <c r="B350" s="30" t="s">
        <v>221</v>
      </c>
      <c r="C350" s="30">
        <v>3</v>
      </c>
      <c r="D350" s="30" t="str">
        <f>A350&amp; " S" &amp;C350</f>
        <v>Parks and Rec S3</v>
      </c>
      <c r="E350" s="30">
        <v>45</v>
      </c>
      <c r="F350" s="30">
        <v>15</v>
      </c>
      <c r="G350" s="421" t="s">
        <v>92</v>
      </c>
      <c r="H350" s="30" t="s">
        <v>390</v>
      </c>
      <c r="I350" s="30" t="s">
        <v>746</v>
      </c>
      <c r="J350" s="451">
        <v>40682</v>
      </c>
      <c r="K350" s="30" t="str">
        <f>CHOOSE(WEEKDAY(J350),"Sun","Mon","Tue","Wed","Thu","Fri","Sat")</f>
        <v>Thu</v>
      </c>
      <c r="L350" s="57">
        <v>0.91666666666666663</v>
      </c>
      <c r="M350" s="30"/>
      <c r="N350" s="30">
        <v>4.2699999999999996</v>
      </c>
      <c r="O350" s="30">
        <v>349</v>
      </c>
      <c r="P350" s="344" t="str">
        <f t="shared" si="5"/>
        <v/>
      </c>
      <c r="Q350" s="356" t="str">
        <f ca="1">VLOOKUP(EpisodeList[[#This Row],[Season Number]], INDIRECT("'" &amp; EpisodeList[[#This Row],[Show]] &amp; " Season Info'!C2:J15"), 8,1)</f>
        <v>2010-11</v>
      </c>
    </row>
    <row r="351" spans="1:17" x14ac:dyDescent="0.2">
      <c r="A351" s="21" t="s">
        <v>859</v>
      </c>
      <c r="B351" s="30" t="s">
        <v>221</v>
      </c>
      <c r="C351" s="30">
        <v>3</v>
      </c>
      <c r="D351" s="30" t="str">
        <f>A351&amp; " S" &amp;C351</f>
        <v>Parks and Rec S3</v>
      </c>
      <c r="E351" s="30">
        <v>46</v>
      </c>
      <c r="F351" s="30">
        <v>16</v>
      </c>
      <c r="G351" s="421" t="s">
        <v>747</v>
      </c>
      <c r="H351" s="30" t="s">
        <v>348</v>
      </c>
      <c r="I351" s="30" t="s">
        <v>692</v>
      </c>
      <c r="J351" s="451">
        <v>40682</v>
      </c>
      <c r="K351" s="30" t="str">
        <f>CHOOSE(WEEKDAY(J351),"Sun","Mon","Tue","Wed","Thu","Fri","Sat")</f>
        <v>Thu</v>
      </c>
      <c r="L351" s="57">
        <v>0.9375</v>
      </c>
      <c r="M351" s="30"/>
      <c r="N351" s="30">
        <v>3.72</v>
      </c>
      <c r="O351" s="30">
        <v>350</v>
      </c>
      <c r="P351" s="344" t="str">
        <f t="shared" si="5"/>
        <v/>
      </c>
      <c r="Q351" s="356" t="str">
        <f ca="1">VLOOKUP(EpisodeList[[#This Row],[Season Number]], INDIRECT("'" &amp; EpisodeList[[#This Row],[Show]] &amp; " Season Info'!C2:J15"), 8,1)</f>
        <v>2010-11</v>
      </c>
    </row>
    <row r="352" spans="1:17" x14ac:dyDescent="0.2">
      <c r="A352" s="25" t="s">
        <v>687</v>
      </c>
      <c r="B352" s="58" t="s">
        <v>221</v>
      </c>
      <c r="C352" s="58">
        <v>3</v>
      </c>
      <c r="D352" s="58" t="str">
        <f>A352&amp; " S" &amp;C352</f>
        <v>Community S3</v>
      </c>
      <c r="E352" s="58">
        <v>50</v>
      </c>
      <c r="F352" s="58">
        <v>1</v>
      </c>
      <c r="G352" s="422" t="s">
        <v>586</v>
      </c>
      <c r="H352" s="58" t="s">
        <v>512</v>
      </c>
      <c r="I352" s="58" t="s">
        <v>587</v>
      </c>
      <c r="J352" s="452">
        <v>40808</v>
      </c>
      <c r="K352" s="58" t="str">
        <f>CHOOSE(WEEKDAY(J352),"Sun","Mon","Tue","Wed","Thu","Fri","Sat")</f>
        <v>Thu</v>
      </c>
      <c r="L352" s="59">
        <v>0.83333333333333326</v>
      </c>
      <c r="M352" s="58">
        <v>301</v>
      </c>
      <c r="N352" s="58">
        <v>3.93</v>
      </c>
      <c r="O352" s="58">
        <v>351</v>
      </c>
      <c r="P352" s="346" t="str">
        <f t="shared" si="5"/>
        <v/>
      </c>
      <c r="Q352" s="358" t="str">
        <f ca="1">VLOOKUP(EpisodeList[[#This Row],[Season Number]], INDIRECT("'" &amp; EpisodeList[[#This Row],[Show]] &amp; " Season Info'!C2:J15"), 8,1)</f>
        <v>2011-12</v>
      </c>
    </row>
    <row r="353" spans="1:17" x14ac:dyDescent="0.2">
      <c r="A353" s="21" t="s">
        <v>859</v>
      </c>
      <c r="B353" s="31" t="s">
        <v>222</v>
      </c>
      <c r="C353" s="31">
        <v>4</v>
      </c>
      <c r="D353" s="31" t="str">
        <f>A353&amp; " S" &amp;C353</f>
        <v>Parks and Rec S4</v>
      </c>
      <c r="E353" s="31">
        <v>47</v>
      </c>
      <c r="F353" s="31">
        <v>1</v>
      </c>
      <c r="G353" s="423" t="s">
        <v>750</v>
      </c>
      <c r="H353" s="31" t="s">
        <v>428</v>
      </c>
      <c r="I353" s="31" t="s">
        <v>692</v>
      </c>
      <c r="J353" s="453">
        <v>40808</v>
      </c>
      <c r="K353" s="31" t="str">
        <f>CHOOSE(WEEKDAY(J353),"Sun","Mon","Tue","Wed","Thu","Fri","Sat")</f>
        <v>Thu</v>
      </c>
      <c r="L353" s="60">
        <v>0.85416666666666674</v>
      </c>
      <c r="M353" s="31"/>
      <c r="N353" s="31">
        <v>4.1100000000000003</v>
      </c>
      <c r="O353" s="31">
        <v>352</v>
      </c>
      <c r="P353" s="349" t="str">
        <f t="shared" si="5"/>
        <v/>
      </c>
      <c r="Q353" s="361" t="str">
        <f ca="1">VLOOKUP(EpisodeList[[#This Row],[Season Number]], INDIRECT("'" &amp; EpisodeList[[#This Row],[Show]] &amp; " Season Info'!C2:J15"), 8,1)</f>
        <v>2011-12</v>
      </c>
    </row>
    <row r="354" spans="1:17" x14ac:dyDescent="0.2">
      <c r="A354" s="9" t="s">
        <v>243</v>
      </c>
      <c r="B354" s="32" t="s">
        <v>226</v>
      </c>
      <c r="C354" s="32">
        <v>8</v>
      </c>
      <c r="D354" s="32" t="str">
        <f>A354&amp; " S" &amp;C354</f>
        <v>The Office S8</v>
      </c>
      <c r="E354" s="32">
        <v>153</v>
      </c>
      <c r="F354" s="32">
        <v>1</v>
      </c>
      <c r="G354" s="424" t="s">
        <v>429</v>
      </c>
      <c r="H354" s="32" t="s">
        <v>232</v>
      </c>
      <c r="I354" s="32" t="s">
        <v>232</v>
      </c>
      <c r="J354" s="454">
        <v>40808</v>
      </c>
      <c r="K354" s="32" t="str">
        <f>CHOOSE(WEEKDAY(J354),"Sun","Mon","Tue","Wed","Thu","Fri","Sat")</f>
        <v>Thu</v>
      </c>
      <c r="L354" s="61">
        <v>0.875</v>
      </c>
      <c r="M354" s="32">
        <v>8002</v>
      </c>
      <c r="N354" s="32">
        <v>7.64</v>
      </c>
      <c r="O354" s="32">
        <v>353</v>
      </c>
      <c r="P354" s="348" t="str">
        <f t="shared" si="5"/>
        <v/>
      </c>
      <c r="Q354" s="360" t="str">
        <f ca="1">VLOOKUP(EpisodeList[[#This Row],[Season Number]], INDIRECT("'" &amp; EpisodeList[[#This Row],[Show]] &amp; " Season Info'!C2:J15"), 8,1)</f>
        <v>2011-12</v>
      </c>
    </row>
    <row r="355" spans="1:17" x14ac:dyDescent="0.2">
      <c r="A355" s="25" t="s">
        <v>687</v>
      </c>
      <c r="B355" s="58" t="s">
        <v>221</v>
      </c>
      <c r="C355" s="58">
        <v>3</v>
      </c>
      <c r="D355" s="58" t="str">
        <f>A355&amp; " S" &amp;C355</f>
        <v>Community S3</v>
      </c>
      <c r="E355" s="58">
        <v>51</v>
      </c>
      <c r="F355" s="58">
        <v>2</v>
      </c>
      <c r="G355" s="422" t="s">
        <v>588</v>
      </c>
      <c r="H355" s="58" t="s">
        <v>510</v>
      </c>
      <c r="I355" s="58" t="s">
        <v>555</v>
      </c>
      <c r="J355" s="452">
        <v>40815</v>
      </c>
      <c r="K355" s="58" t="str">
        <f>CHOOSE(WEEKDAY(J355),"Sun","Mon","Tue","Wed","Thu","Fri","Sat")</f>
        <v>Thu</v>
      </c>
      <c r="L355" s="59">
        <v>0.83333333333333326</v>
      </c>
      <c r="M355" s="58">
        <v>302</v>
      </c>
      <c r="N355" s="58">
        <v>3.98</v>
      </c>
      <c r="O355" s="58">
        <v>354</v>
      </c>
      <c r="P355" s="346" t="str">
        <f t="shared" si="5"/>
        <v/>
      </c>
      <c r="Q355" s="358" t="str">
        <f ca="1">VLOOKUP(EpisodeList[[#This Row],[Season Number]], INDIRECT("'" &amp; EpisodeList[[#This Row],[Show]] &amp; " Season Info'!C2:J15"), 8,1)</f>
        <v>2011-12</v>
      </c>
    </row>
    <row r="356" spans="1:17" x14ac:dyDescent="0.2">
      <c r="A356" s="21" t="s">
        <v>859</v>
      </c>
      <c r="B356" s="31" t="s">
        <v>222</v>
      </c>
      <c r="C356" s="31">
        <v>4</v>
      </c>
      <c r="D356" s="31" t="str">
        <f>A356&amp; " S" &amp;C356</f>
        <v>Parks and Rec S4</v>
      </c>
      <c r="E356" s="31">
        <v>48</v>
      </c>
      <c r="F356" s="31">
        <v>2</v>
      </c>
      <c r="G356" s="423" t="s">
        <v>751</v>
      </c>
      <c r="H356" s="31" t="s">
        <v>279</v>
      </c>
      <c r="I356" s="31" t="s">
        <v>698</v>
      </c>
      <c r="J356" s="453">
        <v>40815</v>
      </c>
      <c r="K356" s="31" t="str">
        <f>CHOOSE(WEEKDAY(J356),"Sun","Mon","Tue","Wed","Thu","Fri","Sat")</f>
        <v>Thu</v>
      </c>
      <c r="L356" s="60">
        <v>0.85416666666666674</v>
      </c>
      <c r="M356" s="31"/>
      <c r="N356" s="31">
        <v>4.33</v>
      </c>
      <c r="O356" s="31">
        <v>355</v>
      </c>
      <c r="P356" s="349" t="str">
        <f t="shared" si="5"/>
        <v/>
      </c>
      <c r="Q356" s="361" t="str">
        <f ca="1">VLOOKUP(EpisodeList[[#This Row],[Season Number]], INDIRECT("'" &amp; EpisodeList[[#This Row],[Show]] &amp; " Season Info'!C2:J15"), 8,1)</f>
        <v>2011-12</v>
      </c>
    </row>
    <row r="357" spans="1:17" x14ac:dyDescent="0.2">
      <c r="A357" s="9" t="s">
        <v>243</v>
      </c>
      <c r="B357" s="32" t="s">
        <v>226</v>
      </c>
      <c r="C357" s="32">
        <v>8</v>
      </c>
      <c r="D357" s="32" t="str">
        <f>A357&amp; " S" &amp;C357</f>
        <v>The Office S8</v>
      </c>
      <c r="E357" s="32">
        <v>154</v>
      </c>
      <c r="F357" s="32">
        <v>2</v>
      </c>
      <c r="G357" s="424" t="s">
        <v>430</v>
      </c>
      <c r="H357" s="32" t="s">
        <v>257</v>
      </c>
      <c r="I357" s="32" t="s">
        <v>234</v>
      </c>
      <c r="J357" s="454">
        <v>40815</v>
      </c>
      <c r="K357" s="32" t="str">
        <f>CHOOSE(WEEKDAY(J357),"Sun","Mon","Tue","Wed","Thu","Fri","Sat")</f>
        <v>Thu</v>
      </c>
      <c r="L357" s="61">
        <v>0.875</v>
      </c>
      <c r="M357" s="32">
        <v>8001</v>
      </c>
      <c r="N357" s="32">
        <v>6.7</v>
      </c>
      <c r="O357" s="32">
        <v>356</v>
      </c>
      <c r="P357" s="348" t="str">
        <f t="shared" si="5"/>
        <v/>
      </c>
      <c r="Q357" s="360" t="str">
        <f ca="1">VLOOKUP(EpisodeList[[#This Row],[Season Number]], INDIRECT("'" &amp; EpisodeList[[#This Row],[Show]] &amp; " Season Info'!C2:J15"), 8,1)</f>
        <v>2011-12</v>
      </c>
    </row>
    <row r="358" spans="1:17" x14ac:dyDescent="0.2">
      <c r="A358" s="25" t="s">
        <v>687</v>
      </c>
      <c r="B358" s="58" t="s">
        <v>221</v>
      </c>
      <c r="C358" s="58">
        <v>3</v>
      </c>
      <c r="D358" s="58" t="str">
        <f>A358&amp; " S" &amp;C358</f>
        <v>Community S3</v>
      </c>
      <c r="E358" s="58">
        <v>52</v>
      </c>
      <c r="F358" s="58">
        <v>3</v>
      </c>
      <c r="G358" s="422" t="s">
        <v>589</v>
      </c>
      <c r="H358" s="58" t="s">
        <v>512</v>
      </c>
      <c r="I358" s="58" t="s">
        <v>590</v>
      </c>
      <c r="J358" s="452">
        <v>40822</v>
      </c>
      <c r="K358" s="58" t="str">
        <f>CHOOSE(WEEKDAY(J358),"Sun","Mon","Tue","Wed","Thu","Fri","Sat")</f>
        <v>Thu</v>
      </c>
      <c r="L358" s="59">
        <v>0.83333333333333326</v>
      </c>
      <c r="M358" s="58">
        <v>304</v>
      </c>
      <c r="N358" s="58">
        <v>3.35</v>
      </c>
      <c r="O358" s="58">
        <v>357</v>
      </c>
      <c r="P358" s="346" t="str">
        <f t="shared" si="5"/>
        <v/>
      </c>
      <c r="Q358" s="358" t="str">
        <f ca="1">VLOOKUP(EpisodeList[[#This Row],[Season Number]], INDIRECT("'" &amp; EpisodeList[[#This Row],[Show]] &amp; " Season Info'!C2:J15"), 8,1)</f>
        <v>2011-12</v>
      </c>
    </row>
    <row r="359" spans="1:17" x14ac:dyDescent="0.2">
      <c r="A359" s="21" t="s">
        <v>859</v>
      </c>
      <c r="B359" s="31" t="s">
        <v>222</v>
      </c>
      <c r="C359" s="31">
        <v>4</v>
      </c>
      <c r="D359" s="31" t="str">
        <f>A359&amp; " S" &amp;C359</f>
        <v>Parks and Rec S4</v>
      </c>
      <c r="E359" s="31">
        <v>49</v>
      </c>
      <c r="F359" s="31">
        <v>3</v>
      </c>
      <c r="G359" s="423" t="s">
        <v>752</v>
      </c>
      <c r="H359" s="31" t="s">
        <v>348</v>
      </c>
      <c r="I359" s="31" t="s">
        <v>709</v>
      </c>
      <c r="J359" s="453">
        <v>40822</v>
      </c>
      <c r="K359" s="31" t="str">
        <f>CHOOSE(WEEKDAY(J359),"Sun","Mon","Tue","Wed","Thu","Fri","Sat")</f>
        <v>Thu</v>
      </c>
      <c r="L359" s="60">
        <v>0.85416666666666674</v>
      </c>
      <c r="M359" s="31"/>
      <c r="N359" s="31">
        <v>4.1500000000000004</v>
      </c>
      <c r="O359" s="31">
        <v>358</v>
      </c>
      <c r="P359" s="349" t="str">
        <f t="shared" si="5"/>
        <v/>
      </c>
      <c r="Q359" s="361" t="str">
        <f ca="1">VLOOKUP(EpisodeList[[#This Row],[Season Number]], INDIRECT("'" &amp; EpisodeList[[#This Row],[Show]] &amp; " Season Info'!C2:J15"), 8,1)</f>
        <v>2011-12</v>
      </c>
    </row>
    <row r="360" spans="1:17" x14ac:dyDescent="0.2">
      <c r="A360" s="9" t="s">
        <v>243</v>
      </c>
      <c r="B360" s="32" t="s">
        <v>226</v>
      </c>
      <c r="C360" s="32">
        <v>8</v>
      </c>
      <c r="D360" s="32" t="str">
        <f>A360&amp; " S" &amp;C360</f>
        <v>The Office S8</v>
      </c>
      <c r="E360" s="32">
        <v>155</v>
      </c>
      <c r="F360" s="32">
        <v>3</v>
      </c>
      <c r="G360" s="424" t="s">
        <v>431</v>
      </c>
      <c r="H360" s="32" t="s">
        <v>384</v>
      </c>
      <c r="I360" s="32" t="s">
        <v>337</v>
      </c>
      <c r="J360" s="454">
        <v>40822</v>
      </c>
      <c r="K360" s="32" t="str">
        <f>CHOOSE(WEEKDAY(J360),"Sun","Mon","Tue","Wed","Thu","Fri","Sat")</f>
        <v>Thu</v>
      </c>
      <c r="L360" s="61">
        <v>0.875</v>
      </c>
      <c r="M360" s="32">
        <v>8005</v>
      </c>
      <c r="N360" s="32">
        <v>5.82</v>
      </c>
      <c r="O360" s="32">
        <v>359</v>
      </c>
      <c r="P360" s="348" t="str">
        <f t="shared" si="5"/>
        <v/>
      </c>
      <c r="Q360" s="360" t="str">
        <f ca="1">VLOOKUP(EpisodeList[[#This Row],[Season Number]], INDIRECT("'" &amp; EpisodeList[[#This Row],[Show]] &amp; " Season Info'!C2:J15"), 8,1)</f>
        <v>2011-12</v>
      </c>
    </row>
    <row r="361" spans="1:17" x14ac:dyDescent="0.2">
      <c r="A361" s="25" t="s">
        <v>687</v>
      </c>
      <c r="B361" s="58" t="s">
        <v>221</v>
      </c>
      <c r="C361" s="58">
        <v>3</v>
      </c>
      <c r="D361" s="58" t="str">
        <f>A361&amp; " S" &amp;C361</f>
        <v>Community S3</v>
      </c>
      <c r="E361" s="58">
        <v>53</v>
      </c>
      <c r="F361" s="58">
        <v>4</v>
      </c>
      <c r="G361" s="422" t="s">
        <v>591</v>
      </c>
      <c r="H361" s="58" t="s">
        <v>592</v>
      </c>
      <c r="I361" s="58" t="s">
        <v>536</v>
      </c>
      <c r="J361" s="452">
        <v>40829</v>
      </c>
      <c r="K361" s="58" t="str">
        <f>CHOOSE(WEEKDAY(J361),"Sun","Mon","Tue","Wed","Thu","Fri","Sat")</f>
        <v>Thu</v>
      </c>
      <c r="L361" s="59">
        <v>0.83333333333333326</v>
      </c>
      <c r="M361" s="58">
        <v>303</v>
      </c>
      <c r="N361" s="58">
        <v>3.78</v>
      </c>
      <c r="O361" s="58">
        <v>360</v>
      </c>
      <c r="P361" s="346" t="str">
        <f t="shared" si="5"/>
        <v/>
      </c>
      <c r="Q361" s="358" t="str">
        <f ca="1">VLOOKUP(EpisodeList[[#This Row],[Season Number]], INDIRECT("'" &amp; EpisodeList[[#This Row],[Show]] &amp; " Season Info'!C2:J15"), 8,1)</f>
        <v>2011-12</v>
      </c>
    </row>
    <row r="362" spans="1:17" x14ac:dyDescent="0.2">
      <c r="A362" s="21" t="s">
        <v>859</v>
      </c>
      <c r="B362" s="31" t="s">
        <v>222</v>
      </c>
      <c r="C362" s="31">
        <v>4</v>
      </c>
      <c r="D362" s="31" t="str">
        <f>A362&amp; " S" &amp;C362</f>
        <v>Parks and Rec S4</v>
      </c>
      <c r="E362" s="31">
        <v>50</v>
      </c>
      <c r="F362" s="31">
        <v>4</v>
      </c>
      <c r="G362" s="423" t="s">
        <v>753</v>
      </c>
      <c r="H362" s="31" t="s">
        <v>257</v>
      </c>
      <c r="I362" s="31" t="s">
        <v>695</v>
      </c>
      <c r="J362" s="453">
        <v>40829</v>
      </c>
      <c r="K362" s="31" t="str">
        <f>CHOOSE(WEEKDAY(J362),"Sun","Mon","Tue","Wed","Thu","Fri","Sat")</f>
        <v>Thu</v>
      </c>
      <c r="L362" s="60">
        <v>0.85416666666666674</v>
      </c>
      <c r="M362" s="31"/>
      <c r="N362" s="31">
        <v>3.99</v>
      </c>
      <c r="O362" s="31">
        <v>361</v>
      </c>
      <c r="P362" s="349" t="str">
        <f t="shared" si="5"/>
        <v/>
      </c>
      <c r="Q362" s="361" t="str">
        <f ca="1">VLOOKUP(EpisodeList[[#This Row],[Season Number]], INDIRECT("'" &amp; EpisodeList[[#This Row],[Show]] &amp; " Season Info'!C2:J15"), 8,1)</f>
        <v>2011-12</v>
      </c>
    </row>
    <row r="363" spans="1:17" x14ac:dyDescent="0.2">
      <c r="A363" s="9" t="s">
        <v>243</v>
      </c>
      <c r="B363" s="32" t="s">
        <v>226</v>
      </c>
      <c r="C363" s="32">
        <v>8</v>
      </c>
      <c r="D363" s="32" t="str">
        <f>A363&amp; " S" &amp;C363</f>
        <v>The Office S8</v>
      </c>
      <c r="E363" s="32">
        <v>156</v>
      </c>
      <c r="F363" s="32">
        <v>4</v>
      </c>
      <c r="G363" s="424" t="s">
        <v>432</v>
      </c>
      <c r="H363" s="32" t="s">
        <v>339</v>
      </c>
      <c r="I363" s="32" t="s">
        <v>291</v>
      </c>
      <c r="J363" s="454">
        <v>40829</v>
      </c>
      <c r="K363" s="32" t="str">
        <f>CHOOSE(WEEKDAY(J363),"Sun","Mon","Tue","Wed","Thu","Fri","Sat")</f>
        <v>Thu</v>
      </c>
      <c r="L363" s="61">
        <v>0.875</v>
      </c>
      <c r="M363" s="32">
        <v>8004</v>
      </c>
      <c r="N363" s="32">
        <v>6.08</v>
      </c>
      <c r="O363" s="32">
        <v>362</v>
      </c>
      <c r="P363" s="348" t="str">
        <f t="shared" si="5"/>
        <v/>
      </c>
      <c r="Q363" s="360" t="str">
        <f ca="1">VLOOKUP(EpisodeList[[#This Row],[Season Number]], INDIRECT("'" &amp; EpisodeList[[#This Row],[Show]] &amp; " Season Info'!C2:J15"), 8,1)</f>
        <v>2011-12</v>
      </c>
    </row>
    <row r="364" spans="1:17" x14ac:dyDescent="0.2">
      <c r="A364" s="25" t="s">
        <v>687</v>
      </c>
      <c r="B364" s="58" t="s">
        <v>221</v>
      </c>
      <c r="C364" s="58">
        <v>3</v>
      </c>
      <c r="D364" s="58" t="str">
        <f>A364&amp; " S" &amp;C364</f>
        <v>Community S3</v>
      </c>
      <c r="E364" s="58">
        <v>54</v>
      </c>
      <c r="F364" s="58">
        <v>5</v>
      </c>
      <c r="G364" s="422" t="s">
        <v>593</v>
      </c>
      <c r="H364" s="58" t="s">
        <v>544</v>
      </c>
      <c r="I364" s="58" t="s">
        <v>508</v>
      </c>
      <c r="J364" s="452">
        <v>40843</v>
      </c>
      <c r="K364" s="58" t="str">
        <f>CHOOSE(WEEKDAY(J364),"Sun","Mon","Tue","Wed","Thu","Fri","Sat")</f>
        <v>Thu</v>
      </c>
      <c r="L364" s="59">
        <v>0.83333333333333326</v>
      </c>
      <c r="M364" s="58">
        <v>305</v>
      </c>
      <c r="N364" s="58">
        <v>3.42</v>
      </c>
      <c r="O364" s="58">
        <v>363</v>
      </c>
      <c r="P364" s="346" t="str">
        <f t="shared" si="5"/>
        <v/>
      </c>
      <c r="Q364" s="358" t="str">
        <f ca="1">VLOOKUP(EpisodeList[[#This Row],[Season Number]], INDIRECT("'" &amp; EpisodeList[[#This Row],[Show]] &amp; " Season Info'!C2:J15"), 8,1)</f>
        <v>2011-12</v>
      </c>
    </row>
    <row r="365" spans="1:17" x14ac:dyDescent="0.2">
      <c r="A365" s="21" t="s">
        <v>859</v>
      </c>
      <c r="B365" s="31" t="s">
        <v>222</v>
      </c>
      <c r="C365" s="31">
        <v>4</v>
      </c>
      <c r="D365" s="31" t="str">
        <f>A365&amp; " S" &amp;C365</f>
        <v>Parks and Rec S4</v>
      </c>
      <c r="E365" s="31">
        <v>51</v>
      </c>
      <c r="F365" s="31">
        <v>5</v>
      </c>
      <c r="G365" s="423" t="s">
        <v>754</v>
      </c>
      <c r="H365" s="31" t="s">
        <v>733</v>
      </c>
      <c r="I365" s="31" t="s">
        <v>704</v>
      </c>
      <c r="J365" s="453">
        <v>40843</v>
      </c>
      <c r="K365" s="31" t="str">
        <f>CHOOSE(WEEKDAY(J365),"Sun","Mon","Tue","Wed","Thu","Fri","Sat")</f>
        <v>Thu</v>
      </c>
      <c r="L365" s="60">
        <v>0.85416666666666674</v>
      </c>
      <c r="M365" s="31"/>
      <c r="N365" s="31">
        <v>3.9</v>
      </c>
      <c r="O365" s="31">
        <v>364</v>
      </c>
      <c r="P365" s="349" t="str">
        <f t="shared" si="5"/>
        <v/>
      </c>
      <c r="Q365" s="361" t="str">
        <f ca="1">VLOOKUP(EpisodeList[[#This Row],[Season Number]], INDIRECT("'" &amp; EpisodeList[[#This Row],[Show]] &amp; " Season Info'!C2:J15"), 8,1)</f>
        <v>2011-12</v>
      </c>
    </row>
    <row r="366" spans="1:17" x14ac:dyDescent="0.2">
      <c r="A366" s="9" t="s">
        <v>243</v>
      </c>
      <c r="B366" s="32" t="s">
        <v>226</v>
      </c>
      <c r="C366" s="32">
        <v>8</v>
      </c>
      <c r="D366" s="32" t="str">
        <f>A366&amp; " S" &amp;C366</f>
        <v>The Office S8</v>
      </c>
      <c r="E366" s="32">
        <v>157</v>
      </c>
      <c r="F366" s="32">
        <v>5</v>
      </c>
      <c r="G366" s="424" t="s">
        <v>433</v>
      </c>
      <c r="H366" s="32" t="s">
        <v>279</v>
      </c>
      <c r="I366" s="32" t="s">
        <v>414</v>
      </c>
      <c r="J366" s="454">
        <v>40843</v>
      </c>
      <c r="K366" s="32" t="str">
        <f>CHOOSE(WEEKDAY(J366),"Sun","Mon","Tue","Wed","Thu","Fri","Sat")</f>
        <v>Thu</v>
      </c>
      <c r="L366" s="61">
        <v>0.875</v>
      </c>
      <c r="M366" s="32">
        <v>8006</v>
      </c>
      <c r="N366" s="32">
        <v>5.53</v>
      </c>
      <c r="O366" s="32">
        <v>365</v>
      </c>
      <c r="P366" s="348" t="str">
        <f t="shared" si="5"/>
        <v/>
      </c>
      <c r="Q366" s="360" t="str">
        <f ca="1">VLOOKUP(EpisodeList[[#This Row],[Season Number]], INDIRECT("'" &amp; EpisodeList[[#This Row],[Show]] &amp; " Season Info'!C2:J15"), 8,1)</f>
        <v>2011-12</v>
      </c>
    </row>
    <row r="367" spans="1:17" x14ac:dyDescent="0.2">
      <c r="A367" s="25" t="s">
        <v>687</v>
      </c>
      <c r="B367" s="58" t="s">
        <v>221</v>
      </c>
      <c r="C367" s="58">
        <v>3</v>
      </c>
      <c r="D367" s="58" t="str">
        <f>A367&amp; " S" &amp;C367</f>
        <v>Community S3</v>
      </c>
      <c r="E367" s="58">
        <v>55</v>
      </c>
      <c r="F367" s="58">
        <v>6</v>
      </c>
      <c r="G367" s="422" t="s">
        <v>594</v>
      </c>
      <c r="H367" s="58" t="s">
        <v>510</v>
      </c>
      <c r="I367" s="58" t="s">
        <v>595</v>
      </c>
      <c r="J367" s="452">
        <v>40850</v>
      </c>
      <c r="K367" s="58" t="str">
        <f>CHOOSE(WEEKDAY(J367),"Sun","Mon","Tue","Wed","Thu","Fri","Sat")</f>
        <v>Thu</v>
      </c>
      <c r="L367" s="59">
        <v>0.83333333333333326</v>
      </c>
      <c r="M367" s="58">
        <v>306</v>
      </c>
      <c r="N367" s="58">
        <v>3.84</v>
      </c>
      <c r="O367" s="58">
        <v>366</v>
      </c>
      <c r="P367" s="346" t="str">
        <f t="shared" si="5"/>
        <v/>
      </c>
      <c r="Q367" s="358" t="str">
        <f ca="1">VLOOKUP(EpisodeList[[#This Row],[Season Number]], INDIRECT("'" &amp; EpisodeList[[#This Row],[Show]] &amp; " Season Info'!C2:J15"), 8,1)</f>
        <v>2011-12</v>
      </c>
    </row>
    <row r="368" spans="1:17" x14ac:dyDescent="0.2">
      <c r="A368" s="21" t="s">
        <v>859</v>
      </c>
      <c r="B368" s="31" t="s">
        <v>222</v>
      </c>
      <c r="C368" s="31">
        <v>4</v>
      </c>
      <c r="D368" s="31" t="str">
        <f>A368&amp; " S" &amp;C368</f>
        <v>Parks and Rec S4</v>
      </c>
      <c r="E368" s="31">
        <v>52</v>
      </c>
      <c r="F368" s="31">
        <v>6</v>
      </c>
      <c r="G368" s="423" t="s">
        <v>780</v>
      </c>
      <c r="H368" s="31" t="s">
        <v>348</v>
      </c>
      <c r="I368" s="31" t="s">
        <v>237</v>
      </c>
      <c r="J368" s="453">
        <v>40850</v>
      </c>
      <c r="K368" s="31" t="str">
        <f>CHOOSE(WEEKDAY(J368),"Sun","Mon","Tue","Wed","Thu","Fri","Sat")</f>
        <v>Thu</v>
      </c>
      <c r="L368" s="60">
        <v>0.85416666666666674</v>
      </c>
      <c r="M368" s="31"/>
      <c r="N368" s="31">
        <v>4</v>
      </c>
      <c r="O368" s="31">
        <v>367</v>
      </c>
      <c r="P368" s="349" t="str">
        <f t="shared" si="5"/>
        <v/>
      </c>
      <c r="Q368" s="361" t="str">
        <f ca="1">VLOOKUP(EpisodeList[[#This Row],[Season Number]], INDIRECT("'" &amp; EpisodeList[[#This Row],[Show]] &amp; " Season Info'!C2:J15"), 8,1)</f>
        <v>2011-12</v>
      </c>
    </row>
    <row r="369" spans="1:17" x14ac:dyDescent="0.2">
      <c r="A369" s="9" t="s">
        <v>243</v>
      </c>
      <c r="B369" s="32" t="s">
        <v>226</v>
      </c>
      <c r="C369" s="32">
        <v>8</v>
      </c>
      <c r="D369" s="32" t="str">
        <f>A369&amp; " S" &amp;C369</f>
        <v>The Office S8</v>
      </c>
      <c r="E369" s="32">
        <v>158</v>
      </c>
      <c r="F369" s="32">
        <v>6</v>
      </c>
      <c r="G369" s="424" t="s">
        <v>434</v>
      </c>
      <c r="H369" s="32" t="s">
        <v>428</v>
      </c>
      <c r="I369" s="32" t="s">
        <v>378</v>
      </c>
      <c r="J369" s="454">
        <v>40850</v>
      </c>
      <c r="K369" s="32" t="str">
        <f>CHOOSE(WEEKDAY(J369),"Sun","Mon","Tue","Wed","Thu","Fri","Sat")</f>
        <v>Thu</v>
      </c>
      <c r="L369" s="61">
        <v>0.875</v>
      </c>
      <c r="M369" s="32">
        <v>8003</v>
      </c>
      <c r="N369" s="32">
        <v>6.15</v>
      </c>
      <c r="O369" s="32">
        <v>368</v>
      </c>
      <c r="P369" s="348" t="str">
        <f t="shared" si="5"/>
        <v/>
      </c>
      <c r="Q369" s="360" t="str">
        <f ca="1">VLOOKUP(EpisodeList[[#This Row],[Season Number]], INDIRECT("'" &amp; EpisodeList[[#This Row],[Show]] &amp; " Season Info'!C2:J15"), 8,1)</f>
        <v>2011-12</v>
      </c>
    </row>
    <row r="370" spans="1:17" x14ac:dyDescent="0.2">
      <c r="A370" s="25" t="s">
        <v>687</v>
      </c>
      <c r="B370" s="58" t="s">
        <v>221</v>
      </c>
      <c r="C370" s="58">
        <v>3</v>
      </c>
      <c r="D370" s="58" t="str">
        <f>A370&amp; " S" &amp;C370</f>
        <v>Community S3</v>
      </c>
      <c r="E370" s="58">
        <v>56</v>
      </c>
      <c r="F370" s="58">
        <v>7</v>
      </c>
      <c r="G370" s="422" t="s">
        <v>596</v>
      </c>
      <c r="H370" s="58" t="s">
        <v>544</v>
      </c>
      <c r="I370" s="58" t="s">
        <v>560</v>
      </c>
      <c r="J370" s="452">
        <v>40857</v>
      </c>
      <c r="K370" s="58" t="str">
        <f>CHOOSE(WEEKDAY(J370),"Sun","Mon","Tue","Wed","Thu","Fri","Sat")</f>
        <v>Thu</v>
      </c>
      <c r="L370" s="59">
        <v>0.83333333333333326</v>
      </c>
      <c r="M370" s="58">
        <v>307</v>
      </c>
      <c r="N370" s="58">
        <v>3.49</v>
      </c>
      <c r="O370" s="58">
        <v>369</v>
      </c>
      <c r="P370" s="346" t="str">
        <f t="shared" si="5"/>
        <v/>
      </c>
      <c r="Q370" s="358" t="str">
        <f ca="1">VLOOKUP(EpisodeList[[#This Row],[Season Number]], INDIRECT("'" &amp; EpisodeList[[#This Row],[Show]] &amp; " Season Info'!C2:J15"), 8,1)</f>
        <v>2011-12</v>
      </c>
    </row>
    <row r="371" spans="1:17" x14ac:dyDescent="0.2">
      <c r="A371" s="21" t="s">
        <v>859</v>
      </c>
      <c r="B371" s="31" t="s">
        <v>222</v>
      </c>
      <c r="C371" s="31">
        <v>4</v>
      </c>
      <c r="D371" s="31" t="str">
        <f>A371&amp; " S" &amp;C371</f>
        <v>Parks and Rec S4</v>
      </c>
      <c r="E371" s="31">
        <v>53</v>
      </c>
      <c r="F371" s="31">
        <v>7</v>
      </c>
      <c r="G371" s="423" t="s">
        <v>755</v>
      </c>
      <c r="H371" s="31" t="s">
        <v>756</v>
      </c>
      <c r="I371" s="31" t="s">
        <v>706</v>
      </c>
      <c r="J371" s="453">
        <v>40857</v>
      </c>
      <c r="K371" s="31" t="str">
        <f>CHOOSE(WEEKDAY(J371),"Sun","Mon","Tue","Wed","Thu","Fri","Sat")</f>
        <v>Thu</v>
      </c>
      <c r="L371" s="60">
        <v>0.85416666666666674</v>
      </c>
      <c r="M371" s="31"/>
      <c r="N371" s="31">
        <v>3.66</v>
      </c>
      <c r="O371" s="31">
        <v>370</v>
      </c>
      <c r="P371" s="349" t="str">
        <f t="shared" si="5"/>
        <v/>
      </c>
      <c r="Q371" s="361" t="str">
        <f ca="1">VLOOKUP(EpisodeList[[#This Row],[Season Number]], INDIRECT("'" &amp; EpisodeList[[#This Row],[Show]] &amp; " Season Info'!C2:J15"), 8,1)</f>
        <v>2011-12</v>
      </c>
    </row>
    <row r="372" spans="1:17" x14ac:dyDescent="0.2">
      <c r="A372" s="9" t="s">
        <v>243</v>
      </c>
      <c r="B372" s="32" t="s">
        <v>226</v>
      </c>
      <c r="C372" s="32">
        <v>8</v>
      </c>
      <c r="D372" s="32" t="str">
        <f>A372&amp; " S" &amp;C372</f>
        <v>The Office S8</v>
      </c>
      <c r="E372" s="32">
        <v>159</v>
      </c>
      <c r="F372" s="32">
        <v>7</v>
      </c>
      <c r="G372" s="424" t="s">
        <v>435</v>
      </c>
      <c r="H372" s="32" t="s">
        <v>390</v>
      </c>
      <c r="I372" s="32" t="s">
        <v>436</v>
      </c>
      <c r="J372" s="454">
        <v>40857</v>
      </c>
      <c r="K372" s="32" t="str">
        <f>CHOOSE(WEEKDAY(J372),"Sun","Mon","Tue","Wed","Thu","Fri","Sat")</f>
        <v>Thu</v>
      </c>
      <c r="L372" s="61">
        <v>0.875</v>
      </c>
      <c r="M372" s="32">
        <v>8007</v>
      </c>
      <c r="N372" s="32">
        <v>5.96</v>
      </c>
      <c r="O372" s="32">
        <v>371</v>
      </c>
      <c r="P372" s="348" t="str">
        <f t="shared" si="5"/>
        <v/>
      </c>
      <c r="Q372" s="360" t="str">
        <f ca="1">VLOOKUP(EpisodeList[[#This Row],[Season Number]], INDIRECT("'" &amp; EpisodeList[[#This Row],[Show]] &amp; " Season Info'!C2:J15"), 8,1)</f>
        <v>2011-12</v>
      </c>
    </row>
    <row r="373" spans="1:17" x14ac:dyDescent="0.2">
      <c r="A373" s="25" t="s">
        <v>687</v>
      </c>
      <c r="B373" s="58" t="s">
        <v>221</v>
      </c>
      <c r="C373" s="58">
        <v>3</v>
      </c>
      <c r="D373" s="58" t="str">
        <f>A373&amp; " S" &amp;C373</f>
        <v>Community S3</v>
      </c>
      <c r="E373" s="58">
        <v>57</v>
      </c>
      <c r="F373" s="58">
        <v>8</v>
      </c>
      <c r="G373" s="422" t="s">
        <v>597</v>
      </c>
      <c r="H373" s="58" t="s">
        <v>510</v>
      </c>
      <c r="I373" s="58" t="s">
        <v>562</v>
      </c>
      <c r="J373" s="452">
        <v>40864</v>
      </c>
      <c r="K373" s="58" t="str">
        <f>CHOOSE(WEEKDAY(J373),"Sun","Mon","Tue","Wed","Thu","Fri","Sat")</f>
        <v>Thu</v>
      </c>
      <c r="L373" s="59">
        <v>0.83333333333333326</v>
      </c>
      <c r="M373" s="58">
        <v>308</v>
      </c>
      <c r="N373" s="58">
        <v>3.62</v>
      </c>
      <c r="O373" s="58">
        <v>372</v>
      </c>
      <c r="P373" s="346" t="str">
        <f t="shared" si="5"/>
        <v/>
      </c>
      <c r="Q373" s="358" t="str">
        <f ca="1">VLOOKUP(EpisodeList[[#This Row],[Season Number]], INDIRECT("'" &amp; EpisodeList[[#This Row],[Show]] &amp; " Season Info'!C2:J15"), 8,1)</f>
        <v>2011-12</v>
      </c>
    </row>
    <row r="374" spans="1:17" x14ac:dyDescent="0.2">
      <c r="A374" s="21" t="s">
        <v>859</v>
      </c>
      <c r="B374" s="31" t="s">
        <v>222</v>
      </c>
      <c r="C374" s="31">
        <v>4</v>
      </c>
      <c r="D374" s="31" t="str">
        <f>A374&amp; " S" &amp;C374</f>
        <v>Parks and Rec S4</v>
      </c>
      <c r="E374" s="31">
        <v>54</v>
      </c>
      <c r="F374" s="31">
        <v>8</v>
      </c>
      <c r="G374" s="423" t="s">
        <v>757</v>
      </c>
      <c r="H374" s="31" t="s">
        <v>743</v>
      </c>
      <c r="I374" s="31" t="s">
        <v>758</v>
      </c>
      <c r="J374" s="453">
        <v>40864</v>
      </c>
      <c r="K374" s="31" t="str">
        <f>CHOOSE(WEEKDAY(J374),"Sun","Mon","Tue","Wed","Thu","Fri","Sat")</f>
        <v>Thu</v>
      </c>
      <c r="L374" s="60">
        <v>0.85416666666666674</v>
      </c>
      <c r="M374" s="31"/>
      <c r="N374" s="31">
        <v>3.68</v>
      </c>
      <c r="O374" s="31">
        <v>373</v>
      </c>
      <c r="P374" s="349" t="str">
        <f t="shared" si="5"/>
        <v/>
      </c>
      <c r="Q374" s="361" t="str">
        <f ca="1">VLOOKUP(EpisodeList[[#This Row],[Season Number]], INDIRECT("'" &amp; EpisodeList[[#This Row],[Show]] &amp; " Season Info'!C2:J15"), 8,1)</f>
        <v>2011-12</v>
      </c>
    </row>
    <row r="375" spans="1:17" x14ac:dyDescent="0.2">
      <c r="A375" s="9" t="s">
        <v>243</v>
      </c>
      <c r="B375" s="32" t="s">
        <v>226</v>
      </c>
      <c r="C375" s="32">
        <v>8</v>
      </c>
      <c r="D375" s="32" t="str">
        <f>A375&amp; " S" &amp;C375</f>
        <v>The Office S8</v>
      </c>
      <c r="E375" s="32">
        <v>160</v>
      </c>
      <c r="F375" s="32">
        <v>8</v>
      </c>
      <c r="G375" s="424" t="s">
        <v>437</v>
      </c>
      <c r="H375" s="32" t="s">
        <v>286</v>
      </c>
      <c r="I375" s="32" t="s">
        <v>419</v>
      </c>
      <c r="J375" s="454">
        <v>40864</v>
      </c>
      <c r="K375" s="32" t="str">
        <f>CHOOSE(WEEKDAY(J375),"Sun","Mon","Tue","Wed","Thu","Fri","Sat")</f>
        <v>Thu</v>
      </c>
      <c r="L375" s="61">
        <v>0.875</v>
      </c>
      <c r="M375" s="32">
        <v>8008</v>
      </c>
      <c r="N375" s="32">
        <v>5.5</v>
      </c>
      <c r="O375" s="32">
        <v>374</v>
      </c>
      <c r="P375" s="348" t="str">
        <f t="shared" si="5"/>
        <v/>
      </c>
      <c r="Q375" s="360" t="str">
        <f ca="1">VLOOKUP(EpisodeList[[#This Row],[Season Number]], INDIRECT("'" &amp; EpisodeList[[#This Row],[Show]] &amp; " Season Info'!C2:J15"), 8,1)</f>
        <v>2011-12</v>
      </c>
    </row>
    <row r="376" spans="1:17" x14ac:dyDescent="0.2">
      <c r="A376" s="25" t="s">
        <v>687</v>
      </c>
      <c r="B376" s="58" t="s">
        <v>221</v>
      </c>
      <c r="C376" s="58">
        <v>3</v>
      </c>
      <c r="D376" s="58" t="str">
        <f>A376&amp; " S" &amp;C376</f>
        <v>Community S3</v>
      </c>
      <c r="E376" s="58">
        <v>58</v>
      </c>
      <c r="F376" s="58">
        <v>9</v>
      </c>
      <c r="G376" s="422" t="s">
        <v>598</v>
      </c>
      <c r="H376" s="58" t="s">
        <v>512</v>
      </c>
      <c r="I376" s="58" t="s">
        <v>599</v>
      </c>
      <c r="J376" s="452">
        <v>40878</v>
      </c>
      <c r="K376" s="58" t="str">
        <f>CHOOSE(WEEKDAY(J376),"Sun","Mon","Tue","Wed","Thu","Fri","Sat")</f>
        <v>Thu</v>
      </c>
      <c r="L376" s="59">
        <v>0.83333333333333326</v>
      </c>
      <c r="M376" s="58">
        <v>309</v>
      </c>
      <c r="N376" s="58">
        <v>3.74</v>
      </c>
      <c r="O376" s="58">
        <v>375</v>
      </c>
      <c r="P376" s="346" t="str">
        <f t="shared" si="5"/>
        <v/>
      </c>
      <c r="Q376" s="358" t="str">
        <f ca="1">VLOOKUP(EpisodeList[[#This Row],[Season Number]], INDIRECT("'" &amp; EpisodeList[[#This Row],[Show]] &amp; " Season Info'!C2:J15"), 8,1)</f>
        <v>2011-12</v>
      </c>
    </row>
    <row r="377" spans="1:17" x14ac:dyDescent="0.2">
      <c r="A377" s="21" t="s">
        <v>859</v>
      </c>
      <c r="B377" s="31" t="s">
        <v>222</v>
      </c>
      <c r="C377" s="31">
        <v>4</v>
      </c>
      <c r="D377" s="31" t="str">
        <f>A377&amp; " S" &amp;C377</f>
        <v>Parks and Rec S4</v>
      </c>
      <c r="E377" s="31">
        <v>55</v>
      </c>
      <c r="F377" s="31">
        <v>9</v>
      </c>
      <c r="G377" s="423" t="s">
        <v>759</v>
      </c>
      <c r="H377" s="31" t="s">
        <v>348</v>
      </c>
      <c r="I377" s="31" t="s">
        <v>760</v>
      </c>
      <c r="J377" s="453">
        <v>40878</v>
      </c>
      <c r="K377" s="31" t="str">
        <f>CHOOSE(WEEKDAY(J377),"Sun","Mon","Tue","Wed","Thu","Fri","Sat")</f>
        <v>Thu</v>
      </c>
      <c r="L377" s="60">
        <v>0.85416666666666674</v>
      </c>
      <c r="M377" s="31"/>
      <c r="N377" s="31">
        <v>3.69</v>
      </c>
      <c r="O377" s="31">
        <v>376</v>
      </c>
      <c r="P377" s="349" t="str">
        <f t="shared" si="5"/>
        <v/>
      </c>
      <c r="Q377" s="361" t="str">
        <f ca="1">VLOOKUP(EpisodeList[[#This Row],[Season Number]], INDIRECT("'" &amp; EpisodeList[[#This Row],[Show]] &amp; " Season Info'!C2:J15"), 8,1)</f>
        <v>2011-12</v>
      </c>
    </row>
    <row r="378" spans="1:17" x14ac:dyDescent="0.2">
      <c r="A378" s="9" t="s">
        <v>243</v>
      </c>
      <c r="B378" s="32" t="s">
        <v>226</v>
      </c>
      <c r="C378" s="32">
        <v>8</v>
      </c>
      <c r="D378" s="32" t="str">
        <f>A378&amp; " S" &amp;C378</f>
        <v>The Office S8</v>
      </c>
      <c r="E378" s="32">
        <v>161</v>
      </c>
      <c r="F378" s="32">
        <v>9</v>
      </c>
      <c r="G378" s="424" t="s">
        <v>438</v>
      </c>
      <c r="H378" s="32" t="s">
        <v>337</v>
      </c>
      <c r="I378" s="32" t="s">
        <v>439</v>
      </c>
      <c r="J378" s="454">
        <v>40878</v>
      </c>
      <c r="K378" s="32" t="str">
        <f>CHOOSE(WEEKDAY(J378),"Sun","Mon","Tue","Wed","Thu","Fri","Sat")</f>
        <v>Thu</v>
      </c>
      <c r="L378" s="61">
        <v>0.875</v>
      </c>
      <c r="M378" s="32">
        <v>8009</v>
      </c>
      <c r="N378" s="32">
        <v>5.71</v>
      </c>
      <c r="O378" s="32">
        <v>377</v>
      </c>
      <c r="P378" s="348" t="str">
        <f t="shared" si="5"/>
        <v/>
      </c>
      <c r="Q378" s="360" t="str">
        <f ca="1">VLOOKUP(EpisodeList[[#This Row],[Season Number]], INDIRECT("'" &amp; EpisodeList[[#This Row],[Show]] &amp; " Season Info'!C2:J15"), 8,1)</f>
        <v>2011-12</v>
      </c>
    </row>
    <row r="379" spans="1:17" x14ac:dyDescent="0.2">
      <c r="A379" s="25" t="s">
        <v>687</v>
      </c>
      <c r="B379" s="58" t="s">
        <v>221</v>
      </c>
      <c r="C379" s="58">
        <v>3</v>
      </c>
      <c r="D379" s="58" t="str">
        <f>A379&amp; " S" &amp;C379</f>
        <v>Community S3</v>
      </c>
      <c r="E379" s="58">
        <v>59</v>
      </c>
      <c r="F379" s="58">
        <v>10</v>
      </c>
      <c r="G379" s="422" t="s">
        <v>600</v>
      </c>
      <c r="H379" s="58" t="s">
        <v>544</v>
      </c>
      <c r="I379" s="58" t="s">
        <v>601</v>
      </c>
      <c r="J379" s="452">
        <v>40885</v>
      </c>
      <c r="K379" s="58" t="str">
        <f>CHOOSE(WEEKDAY(J379),"Sun","Mon","Tue","Wed","Thu","Fri","Sat")</f>
        <v>Thu</v>
      </c>
      <c r="L379" s="59">
        <v>0.83333333333333326</v>
      </c>
      <c r="M379" s="58">
        <v>311</v>
      </c>
      <c r="N379" s="58">
        <v>3.6</v>
      </c>
      <c r="O379" s="58">
        <v>378</v>
      </c>
      <c r="P379" s="346" t="str">
        <f t="shared" si="5"/>
        <v/>
      </c>
      <c r="Q379" s="358" t="str">
        <f ca="1">VLOOKUP(EpisodeList[[#This Row],[Season Number]], INDIRECT("'" &amp; EpisodeList[[#This Row],[Show]] &amp; " Season Info'!C2:J15"), 8,1)</f>
        <v>2011-12</v>
      </c>
    </row>
    <row r="380" spans="1:17" x14ac:dyDescent="0.2">
      <c r="A380" s="21" t="s">
        <v>859</v>
      </c>
      <c r="B380" s="31" t="s">
        <v>222</v>
      </c>
      <c r="C380" s="31">
        <v>4</v>
      </c>
      <c r="D380" s="31" t="str">
        <f>A380&amp; " S" &amp;C380</f>
        <v>Parks and Rec S4</v>
      </c>
      <c r="E380" s="31">
        <v>56</v>
      </c>
      <c r="F380" s="31">
        <v>10</v>
      </c>
      <c r="G380" s="423" t="s">
        <v>761</v>
      </c>
      <c r="H380" s="31" t="s">
        <v>279</v>
      </c>
      <c r="I380" s="31" t="s">
        <v>762</v>
      </c>
      <c r="J380" s="453">
        <v>40885</v>
      </c>
      <c r="K380" s="31" t="str">
        <f>CHOOSE(WEEKDAY(J380),"Sun","Mon","Tue","Wed","Thu","Fri","Sat")</f>
        <v>Thu</v>
      </c>
      <c r="L380" s="60">
        <v>0.85416666666666674</v>
      </c>
      <c r="M380" s="31"/>
      <c r="N380" s="31">
        <v>3.64</v>
      </c>
      <c r="O380" s="31">
        <v>379</v>
      </c>
      <c r="P380" s="349" t="str">
        <f t="shared" si="5"/>
        <v/>
      </c>
      <c r="Q380" s="361" t="str">
        <f ca="1">VLOOKUP(EpisodeList[[#This Row],[Season Number]], INDIRECT("'" &amp; EpisodeList[[#This Row],[Show]] &amp; " Season Info'!C2:J15"), 8,1)</f>
        <v>2011-12</v>
      </c>
    </row>
    <row r="381" spans="1:17" x14ac:dyDescent="0.2">
      <c r="A381" s="9" t="s">
        <v>243</v>
      </c>
      <c r="B381" s="32" t="s">
        <v>226</v>
      </c>
      <c r="C381" s="32">
        <v>8</v>
      </c>
      <c r="D381" s="32" t="str">
        <f>A381&amp; " S" &amp;C381</f>
        <v>The Office S8</v>
      </c>
      <c r="E381" s="32">
        <v>162</v>
      </c>
      <c r="F381" s="32">
        <v>10</v>
      </c>
      <c r="G381" s="424" t="s">
        <v>440</v>
      </c>
      <c r="H381" s="32" t="s">
        <v>441</v>
      </c>
      <c r="I381" s="32" t="s">
        <v>242</v>
      </c>
      <c r="J381" s="454">
        <v>40885</v>
      </c>
      <c r="K381" s="32" t="str">
        <f>CHOOSE(WEEKDAY(J381),"Sun","Mon","Tue","Wed","Thu","Fri","Sat")</f>
        <v>Thu</v>
      </c>
      <c r="L381" s="61">
        <v>0.875</v>
      </c>
      <c r="M381" s="32">
        <v>8010</v>
      </c>
      <c r="N381" s="32">
        <v>5.79</v>
      </c>
      <c r="O381" s="32">
        <v>380</v>
      </c>
      <c r="P381" s="348" t="str">
        <f t="shared" si="5"/>
        <v/>
      </c>
      <c r="Q381" s="360" t="str">
        <f ca="1">VLOOKUP(EpisodeList[[#This Row],[Season Number]], INDIRECT("'" &amp; EpisodeList[[#This Row],[Show]] &amp; " Season Info'!C2:J15"), 8,1)</f>
        <v>2011-12</v>
      </c>
    </row>
    <row r="382" spans="1:17" x14ac:dyDescent="0.2">
      <c r="A382" s="15" t="s">
        <v>228</v>
      </c>
      <c r="B382" s="33" t="s">
        <v>224</v>
      </c>
      <c r="C382" s="33">
        <v>6</v>
      </c>
      <c r="D382" s="33" t="str">
        <f>A382&amp; " S" &amp;C382</f>
        <v>30 Rock S6</v>
      </c>
      <c r="E382" s="33">
        <v>104</v>
      </c>
      <c r="F382" s="33">
        <v>1</v>
      </c>
      <c r="G382" s="425" t="s">
        <v>168</v>
      </c>
      <c r="H382" s="33" t="s">
        <v>12</v>
      </c>
      <c r="I382" s="33" t="s">
        <v>169</v>
      </c>
      <c r="J382" s="455">
        <v>40920</v>
      </c>
      <c r="K382" s="33" t="str">
        <f>CHOOSE(WEEKDAY(J382),"Sun","Mon","Tue","Wed","Thu","Fri","Sat")</f>
        <v>Thu</v>
      </c>
      <c r="L382" s="62">
        <v>0.83333333333333326</v>
      </c>
      <c r="M382" s="33">
        <v>601</v>
      </c>
      <c r="N382" s="33">
        <v>4.47</v>
      </c>
      <c r="O382" s="33">
        <v>381</v>
      </c>
      <c r="P382" s="347" t="str">
        <f t="shared" si="5"/>
        <v/>
      </c>
      <c r="Q382" s="359" t="str">
        <f ca="1">VLOOKUP(EpisodeList[[#This Row],[Season Number]], INDIRECT("'" &amp; EpisodeList[[#This Row],[Show]] &amp; " Season Info'!C2:J15"), 8,1)</f>
        <v>2011-12</v>
      </c>
    </row>
    <row r="383" spans="1:17" x14ac:dyDescent="0.2">
      <c r="A383" s="9" t="s">
        <v>243</v>
      </c>
      <c r="B383" s="32" t="s">
        <v>226</v>
      </c>
      <c r="C383" s="32">
        <v>8</v>
      </c>
      <c r="D383" s="32" t="str">
        <f>A383&amp; " S" &amp;C383</f>
        <v>The Office S8</v>
      </c>
      <c r="E383" s="32">
        <v>163</v>
      </c>
      <c r="F383" s="32">
        <v>11</v>
      </c>
      <c r="G383" s="424" t="s">
        <v>442</v>
      </c>
      <c r="H383" s="32" t="s">
        <v>232</v>
      </c>
      <c r="I383" s="32" t="s">
        <v>117</v>
      </c>
      <c r="J383" s="454">
        <v>40920</v>
      </c>
      <c r="K383" s="32" t="str">
        <f>CHOOSE(WEEKDAY(J383),"Sun","Mon","Tue","Wed","Thu","Fri","Sat")</f>
        <v>Thu</v>
      </c>
      <c r="L383" s="61">
        <v>0.875</v>
      </c>
      <c r="M383" s="32">
        <v>8011</v>
      </c>
      <c r="N383" s="32">
        <v>5.9</v>
      </c>
      <c r="O383" s="32">
        <v>382</v>
      </c>
      <c r="P383" s="348" t="str">
        <f t="shared" si="5"/>
        <v/>
      </c>
      <c r="Q383" s="360" t="str">
        <f ca="1">VLOOKUP(EpisodeList[[#This Row],[Season Number]], INDIRECT("'" &amp; EpisodeList[[#This Row],[Show]] &amp; " Season Info'!C2:J15"), 8,1)</f>
        <v>2011-12</v>
      </c>
    </row>
    <row r="384" spans="1:17" x14ac:dyDescent="0.2">
      <c r="A384" s="21" t="s">
        <v>859</v>
      </c>
      <c r="B384" s="31" t="s">
        <v>222</v>
      </c>
      <c r="C384" s="31">
        <v>4</v>
      </c>
      <c r="D384" s="31" t="str">
        <f>A384&amp; " S" &amp;C384</f>
        <v>Parks and Rec S4</v>
      </c>
      <c r="E384" s="31">
        <v>57</v>
      </c>
      <c r="F384" s="31">
        <v>11</v>
      </c>
      <c r="G384" s="423" t="s">
        <v>763</v>
      </c>
      <c r="H384" s="31" t="s">
        <v>283</v>
      </c>
      <c r="I384" s="31" t="s">
        <v>712</v>
      </c>
      <c r="J384" s="453">
        <v>40920</v>
      </c>
      <c r="K384" s="31" t="str">
        <f>CHOOSE(WEEKDAY(J384),"Sun","Mon","Tue","Wed","Thu","Fri","Sat")</f>
        <v>Thu</v>
      </c>
      <c r="L384" s="60">
        <v>0.89583333333333326</v>
      </c>
      <c r="M384" s="31"/>
      <c r="N384" s="31">
        <v>4.09</v>
      </c>
      <c r="O384" s="31">
        <v>383</v>
      </c>
      <c r="P384" s="349" t="str">
        <f t="shared" si="5"/>
        <v/>
      </c>
      <c r="Q384" s="361" t="str">
        <f ca="1">VLOOKUP(EpisodeList[[#This Row],[Season Number]], INDIRECT("'" &amp; EpisodeList[[#This Row],[Show]] &amp; " Season Info'!C2:J15"), 8,1)</f>
        <v>2011-12</v>
      </c>
    </row>
    <row r="385" spans="1:17" x14ac:dyDescent="0.2">
      <c r="A385" s="15" t="s">
        <v>228</v>
      </c>
      <c r="B385" s="33" t="s">
        <v>224</v>
      </c>
      <c r="C385" s="33">
        <v>6</v>
      </c>
      <c r="D385" s="33" t="str">
        <f>A385&amp; " S" &amp;C385</f>
        <v>30 Rock S6</v>
      </c>
      <c r="E385" s="33">
        <v>105</v>
      </c>
      <c r="F385" s="33">
        <v>2</v>
      </c>
      <c r="G385" s="425" t="s">
        <v>170</v>
      </c>
      <c r="H385" s="33" t="s">
        <v>140</v>
      </c>
      <c r="I385" s="33" t="s">
        <v>15</v>
      </c>
      <c r="J385" s="455">
        <v>40927</v>
      </c>
      <c r="K385" s="33" t="str">
        <f>CHOOSE(WEEKDAY(J385),"Sun","Mon","Tue","Wed","Thu","Fri","Sat")</f>
        <v>Thu</v>
      </c>
      <c r="L385" s="62">
        <v>0.83333333333333326</v>
      </c>
      <c r="M385" s="33">
        <v>602</v>
      </c>
      <c r="N385" s="33">
        <v>4.05</v>
      </c>
      <c r="O385" s="33">
        <v>384</v>
      </c>
      <c r="P385" s="347" t="str">
        <f t="shared" si="5"/>
        <v/>
      </c>
      <c r="Q385" s="359" t="str">
        <f ca="1">VLOOKUP(EpisodeList[[#This Row],[Season Number]], INDIRECT("'" &amp; EpisodeList[[#This Row],[Show]] &amp; " Season Info'!C2:J15"), 8,1)</f>
        <v>2011-12</v>
      </c>
    </row>
    <row r="386" spans="1:17" x14ac:dyDescent="0.2">
      <c r="A386" s="9" t="s">
        <v>243</v>
      </c>
      <c r="B386" s="32" t="s">
        <v>226</v>
      </c>
      <c r="C386" s="32">
        <v>8</v>
      </c>
      <c r="D386" s="32" t="str">
        <f>A386&amp; " S" &amp;C386</f>
        <v>The Office S8</v>
      </c>
      <c r="E386" s="32">
        <v>164</v>
      </c>
      <c r="F386" s="32">
        <v>12</v>
      </c>
      <c r="G386" s="424" t="s">
        <v>443</v>
      </c>
      <c r="H386" s="32" t="s">
        <v>257</v>
      </c>
      <c r="I386" s="32" t="s">
        <v>444</v>
      </c>
      <c r="J386" s="454">
        <v>40927</v>
      </c>
      <c r="K386" s="32" t="str">
        <f>CHOOSE(WEEKDAY(J386),"Sun","Mon","Tue","Wed","Thu","Fri","Sat")</f>
        <v>Thu</v>
      </c>
      <c r="L386" s="61">
        <v>0.875</v>
      </c>
      <c r="M386" s="32">
        <v>8012</v>
      </c>
      <c r="N386" s="32">
        <v>6.02</v>
      </c>
      <c r="O386" s="32">
        <v>385</v>
      </c>
      <c r="P386" s="348" t="str">
        <f t="shared" ref="P386:P449" si="6">IF(AND(
    COUNTIFS(A:A, A386, J:J, J386) = 1,
    COUNTIFS(A:A, "30 Rock", J:J, J386) = 1,
    COUNTIFS(A:A, "The Office", J:J, J386) = 1,
    COUNTIFS(A:A, "Community", J:J, J386) = 1,
    COUNTIFS(A:A, "Parks and Rec", J:J, J386) = 1
), "Yes", "")</f>
        <v/>
      </c>
      <c r="Q386" s="360" t="str">
        <f ca="1">VLOOKUP(EpisodeList[[#This Row],[Season Number]], INDIRECT("'" &amp; EpisodeList[[#This Row],[Show]] &amp; " Season Info'!C2:J15"), 8,1)</f>
        <v>2011-12</v>
      </c>
    </row>
    <row r="387" spans="1:17" x14ac:dyDescent="0.2">
      <c r="A387" s="21" t="s">
        <v>859</v>
      </c>
      <c r="B387" s="31" t="s">
        <v>222</v>
      </c>
      <c r="C387" s="31">
        <v>4</v>
      </c>
      <c r="D387" s="31" t="str">
        <f>A387&amp; " S" &amp;C387</f>
        <v>Parks and Rec S4</v>
      </c>
      <c r="E387" s="31">
        <v>58</v>
      </c>
      <c r="F387" s="31">
        <v>12</v>
      </c>
      <c r="G387" s="423" t="s">
        <v>764</v>
      </c>
      <c r="H387" s="31" t="s">
        <v>348</v>
      </c>
      <c r="I387" s="31" t="s">
        <v>695</v>
      </c>
      <c r="J387" s="453">
        <v>40927</v>
      </c>
      <c r="K387" s="31" t="str">
        <f>CHOOSE(WEEKDAY(J387),"Sun","Mon","Tue","Wed","Thu","Fri","Sat")</f>
        <v>Thu</v>
      </c>
      <c r="L387" s="60">
        <v>0.89583333333333326</v>
      </c>
      <c r="M387" s="31"/>
      <c r="N387" s="31">
        <v>4.25</v>
      </c>
      <c r="O387" s="31">
        <v>386</v>
      </c>
      <c r="P387" s="349" t="str">
        <f t="shared" si="6"/>
        <v/>
      </c>
      <c r="Q387" s="361" t="str">
        <f ca="1">VLOOKUP(EpisodeList[[#This Row],[Season Number]], INDIRECT("'" &amp; EpisodeList[[#This Row],[Show]] &amp; " Season Info'!C2:J15"), 8,1)</f>
        <v>2011-12</v>
      </c>
    </row>
    <row r="388" spans="1:17" x14ac:dyDescent="0.2">
      <c r="A388" s="15" t="s">
        <v>228</v>
      </c>
      <c r="B388" s="33" t="s">
        <v>224</v>
      </c>
      <c r="C388" s="33">
        <v>6</v>
      </c>
      <c r="D388" s="33" t="str">
        <f>A388&amp; " S" &amp;C388</f>
        <v>30 Rock S6</v>
      </c>
      <c r="E388" s="33">
        <v>106</v>
      </c>
      <c r="F388" s="33">
        <v>3</v>
      </c>
      <c r="G388" s="425" t="s">
        <v>171</v>
      </c>
      <c r="H388" s="33" t="s">
        <v>140</v>
      </c>
      <c r="I388" s="33" t="s">
        <v>15</v>
      </c>
      <c r="J388" s="455">
        <v>40934</v>
      </c>
      <c r="K388" s="33" t="str">
        <f>CHOOSE(WEEKDAY(J388),"Sun","Mon","Tue","Wed","Thu","Fri","Sat")</f>
        <v>Thu</v>
      </c>
      <c r="L388" s="62">
        <v>0.875</v>
      </c>
      <c r="M388" s="33">
        <v>603</v>
      </c>
      <c r="N388" s="33">
        <v>3.82</v>
      </c>
      <c r="O388" s="33">
        <v>387</v>
      </c>
      <c r="P388" s="347" t="str">
        <f t="shared" si="6"/>
        <v/>
      </c>
      <c r="Q388" s="359" t="str">
        <f ca="1">VLOOKUP(EpisodeList[[#This Row],[Season Number]], INDIRECT("'" &amp; EpisodeList[[#This Row],[Show]] &amp; " Season Info'!C2:J15"), 8,1)</f>
        <v>2011-12</v>
      </c>
    </row>
    <row r="389" spans="1:17" x14ac:dyDescent="0.2">
      <c r="A389" s="21" t="s">
        <v>859</v>
      </c>
      <c r="B389" s="31" t="s">
        <v>222</v>
      </c>
      <c r="C389" s="31">
        <v>4</v>
      </c>
      <c r="D389" s="31" t="str">
        <f>A389&amp; " S" &amp;C389</f>
        <v>Parks and Rec S4</v>
      </c>
      <c r="E389" s="31">
        <v>59</v>
      </c>
      <c r="F389" s="31">
        <v>13</v>
      </c>
      <c r="G389" s="423" t="s">
        <v>765</v>
      </c>
      <c r="H389" s="31" t="s">
        <v>723</v>
      </c>
      <c r="I389" s="31" t="s">
        <v>704</v>
      </c>
      <c r="J389" s="453">
        <v>40934</v>
      </c>
      <c r="K389" s="31" t="str">
        <f>CHOOSE(WEEKDAY(J389),"Sun","Mon","Tue","Wed","Thu","Fri","Sat")</f>
        <v>Thu</v>
      </c>
      <c r="L389" s="60">
        <v>0.89583333333333326</v>
      </c>
      <c r="M389" s="31"/>
      <c r="N389" s="31">
        <v>3.49</v>
      </c>
      <c r="O389" s="31">
        <v>388</v>
      </c>
      <c r="P389" s="349" t="str">
        <f t="shared" si="6"/>
        <v/>
      </c>
      <c r="Q389" s="361" t="str">
        <f ca="1">VLOOKUP(EpisodeList[[#This Row],[Season Number]], INDIRECT("'" &amp; EpisodeList[[#This Row],[Show]] &amp; " Season Info'!C2:J15"), 8,1)</f>
        <v>2011-12</v>
      </c>
    </row>
    <row r="390" spans="1:17" x14ac:dyDescent="0.2">
      <c r="A390" s="15" t="s">
        <v>228</v>
      </c>
      <c r="B390" s="33" t="s">
        <v>224</v>
      </c>
      <c r="C390" s="33">
        <v>6</v>
      </c>
      <c r="D390" s="33" t="str">
        <f>A390&amp; " S" &amp;C390</f>
        <v>30 Rock S6</v>
      </c>
      <c r="E390" s="33">
        <v>107</v>
      </c>
      <c r="F390" s="33">
        <v>4</v>
      </c>
      <c r="G390" s="425" t="s">
        <v>172</v>
      </c>
      <c r="H390" s="33" t="s">
        <v>133</v>
      </c>
      <c r="I390" s="33" t="s">
        <v>29</v>
      </c>
      <c r="J390" s="455">
        <v>40934</v>
      </c>
      <c r="K390" s="33" t="str">
        <f>CHOOSE(WEEKDAY(J390),"Sun","Mon","Tue","Wed","Thu","Fri","Sat")</f>
        <v>Thu</v>
      </c>
      <c r="L390" s="62">
        <v>0.89583333333333326</v>
      </c>
      <c r="M390" s="33">
        <v>604</v>
      </c>
      <c r="N390" s="33">
        <v>3.98</v>
      </c>
      <c r="O390" s="33">
        <v>389</v>
      </c>
      <c r="P390" s="347" t="str">
        <f t="shared" si="6"/>
        <v/>
      </c>
      <c r="Q390" s="359" t="str">
        <f ca="1">VLOOKUP(EpisodeList[[#This Row],[Season Number]], INDIRECT("'" &amp; EpisodeList[[#This Row],[Show]] &amp; " Season Info'!C2:J15"), 8,1)</f>
        <v>2011-12</v>
      </c>
    </row>
    <row r="391" spans="1:17" x14ac:dyDescent="0.2">
      <c r="A391" s="15" t="s">
        <v>228</v>
      </c>
      <c r="B391" s="33" t="s">
        <v>224</v>
      </c>
      <c r="C391" s="33">
        <v>6</v>
      </c>
      <c r="D391" s="33" t="str">
        <f>A391&amp; " S" &amp;C391</f>
        <v>30 Rock S6</v>
      </c>
      <c r="E391" s="33">
        <v>108</v>
      </c>
      <c r="F391" s="33">
        <v>5</v>
      </c>
      <c r="G391" s="425" t="s">
        <v>173</v>
      </c>
      <c r="H391" s="33" t="s">
        <v>133</v>
      </c>
      <c r="I391" s="33" t="s">
        <v>57</v>
      </c>
      <c r="J391" s="455">
        <v>40941</v>
      </c>
      <c r="K391" s="33" t="str">
        <f>CHOOSE(WEEKDAY(J391),"Sun","Mon","Tue","Wed","Thu","Fri","Sat")</f>
        <v>Thu</v>
      </c>
      <c r="L391" s="62">
        <v>0.83333333333333326</v>
      </c>
      <c r="M391" s="33">
        <v>605</v>
      </c>
      <c r="N391" s="33">
        <v>3.23</v>
      </c>
      <c r="O391" s="33">
        <v>390</v>
      </c>
      <c r="P391" s="347" t="str">
        <f t="shared" si="6"/>
        <v/>
      </c>
      <c r="Q391" s="359" t="str">
        <f ca="1">VLOOKUP(EpisodeList[[#This Row],[Season Number]], INDIRECT("'" &amp; EpisodeList[[#This Row],[Show]] &amp; " Season Info'!C2:J15"), 8,1)</f>
        <v>2011-12</v>
      </c>
    </row>
    <row r="392" spans="1:17" x14ac:dyDescent="0.2">
      <c r="A392" s="9" t="s">
        <v>243</v>
      </c>
      <c r="B392" s="32" t="s">
        <v>226</v>
      </c>
      <c r="C392" s="32">
        <v>8</v>
      </c>
      <c r="D392" s="32" t="str">
        <f>A392&amp; " S" &amp;C392</f>
        <v>The Office S8</v>
      </c>
      <c r="E392" s="32">
        <v>165</v>
      </c>
      <c r="F392" s="32">
        <v>13</v>
      </c>
      <c r="G392" s="424" t="s">
        <v>445</v>
      </c>
      <c r="H392" s="32" t="s">
        <v>446</v>
      </c>
      <c r="I392" s="32" t="s">
        <v>335</v>
      </c>
      <c r="J392" s="454">
        <v>40941</v>
      </c>
      <c r="K392" s="32" t="str">
        <f>CHOOSE(WEEKDAY(J392),"Sun","Mon","Tue","Wed","Thu","Fri","Sat")</f>
        <v>Thu</v>
      </c>
      <c r="L392" s="61">
        <v>0.875</v>
      </c>
      <c r="M392" s="32">
        <v>8013</v>
      </c>
      <c r="N392" s="32">
        <v>5.31</v>
      </c>
      <c r="O392" s="32">
        <v>391</v>
      </c>
      <c r="P392" s="348" t="str">
        <f t="shared" si="6"/>
        <v/>
      </c>
      <c r="Q392" s="360" t="str">
        <f ca="1">VLOOKUP(EpisodeList[[#This Row],[Season Number]], INDIRECT("'" &amp; EpisodeList[[#This Row],[Show]] &amp; " Season Info'!C2:J15"), 8,1)</f>
        <v>2011-12</v>
      </c>
    </row>
    <row r="393" spans="1:17" x14ac:dyDescent="0.2">
      <c r="A393" s="21" t="s">
        <v>859</v>
      </c>
      <c r="B393" s="31" t="s">
        <v>222</v>
      </c>
      <c r="C393" s="31">
        <v>4</v>
      </c>
      <c r="D393" s="31" t="str">
        <f>A393&amp; " S" &amp;C393</f>
        <v>Parks and Rec S4</v>
      </c>
      <c r="E393" s="31">
        <v>60</v>
      </c>
      <c r="F393" s="31">
        <v>14</v>
      </c>
      <c r="G393" s="423" t="s">
        <v>766</v>
      </c>
      <c r="H393" s="31" t="s">
        <v>767</v>
      </c>
      <c r="I393" s="31" t="s">
        <v>709</v>
      </c>
      <c r="J393" s="453">
        <v>40941</v>
      </c>
      <c r="K393" s="31" t="str">
        <f>CHOOSE(WEEKDAY(J393),"Sun","Mon","Tue","Wed","Thu","Fri","Sat")</f>
        <v>Thu</v>
      </c>
      <c r="L393" s="60">
        <v>0.89583333333333326</v>
      </c>
      <c r="M393" s="31"/>
      <c r="N393" s="31">
        <v>3.6</v>
      </c>
      <c r="O393" s="31">
        <v>392</v>
      </c>
      <c r="P393" s="349" t="str">
        <f t="shared" si="6"/>
        <v/>
      </c>
      <c r="Q393" s="361" t="str">
        <f ca="1">VLOOKUP(EpisodeList[[#This Row],[Season Number]], INDIRECT("'" &amp; EpisodeList[[#This Row],[Show]] &amp; " Season Info'!C2:J15"), 8,1)</f>
        <v>2011-12</v>
      </c>
    </row>
    <row r="394" spans="1:17" x14ac:dyDescent="0.2">
      <c r="A394" s="15" t="s">
        <v>228</v>
      </c>
      <c r="B394" s="33" t="s">
        <v>224</v>
      </c>
      <c r="C394" s="33">
        <v>6</v>
      </c>
      <c r="D394" s="33" t="str">
        <f>A394&amp; " S" &amp;C394</f>
        <v>30 Rock S6</v>
      </c>
      <c r="E394" s="33">
        <v>109</v>
      </c>
      <c r="F394" s="33">
        <v>6</v>
      </c>
      <c r="G394" s="425" t="s">
        <v>174</v>
      </c>
      <c r="H394" s="33" t="s">
        <v>26</v>
      </c>
      <c r="I394" s="33" t="s">
        <v>113</v>
      </c>
      <c r="J394" s="455">
        <v>40948</v>
      </c>
      <c r="K394" s="33" t="str">
        <f>CHOOSE(WEEKDAY(J394),"Sun","Mon","Tue","Wed","Thu","Fri","Sat")</f>
        <v>Thu</v>
      </c>
      <c r="L394" s="62">
        <v>0.83333333333333326</v>
      </c>
      <c r="M394" s="33">
        <v>606</v>
      </c>
      <c r="N394" s="33">
        <v>3.88</v>
      </c>
      <c r="O394" s="33">
        <v>393</v>
      </c>
      <c r="P394" s="347" t="str">
        <f t="shared" si="6"/>
        <v/>
      </c>
      <c r="Q394" s="359" t="str">
        <f ca="1">VLOOKUP(EpisodeList[[#This Row],[Season Number]], INDIRECT("'" &amp; EpisodeList[[#This Row],[Show]] &amp; " Season Info'!C2:J15"), 8,1)</f>
        <v>2011-12</v>
      </c>
    </row>
    <row r="395" spans="1:17" x14ac:dyDescent="0.2">
      <c r="A395" s="9" t="s">
        <v>243</v>
      </c>
      <c r="B395" s="32" t="s">
        <v>226</v>
      </c>
      <c r="C395" s="32">
        <v>8</v>
      </c>
      <c r="D395" s="32" t="str">
        <f>A395&amp; " S" &amp;C395</f>
        <v>The Office S8</v>
      </c>
      <c r="E395" s="32">
        <v>166</v>
      </c>
      <c r="F395" s="32">
        <v>14</v>
      </c>
      <c r="G395" s="424" t="s">
        <v>447</v>
      </c>
      <c r="H395" s="32" t="s">
        <v>339</v>
      </c>
      <c r="I395" s="32" t="s">
        <v>422</v>
      </c>
      <c r="J395" s="454">
        <v>40948</v>
      </c>
      <c r="K395" s="32" t="str">
        <f>CHOOSE(WEEKDAY(J395),"Sun","Mon","Tue","Wed","Thu","Fri","Sat")</f>
        <v>Thu</v>
      </c>
      <c r="L395" s="61">
        <v>0.875</v>
      </c>
      <c r="M395" s="32">
        <v>8014</v>
      </c>
      <c r="N395" s="32">
        <v>5.19</v>
      </c>
      <c r="O395" s="32">
        <v>394</v>
      </c>
      <c r="P395" s="348" t="str">
        <f t="shared" si="6"/>
        <v/>
      </c>
      <c r="Q395" s="360" t="str">
        <f ca="1">VLOOKUP(EpisodeList[[#This Row],[Season Number]], INDIRECT("'" &amp; EpisodeList[[#This Row],[Show]] &amp; " Season Info'!C2:J15"), 8,1)</f>
        <v>2011-12</v>
      </c>
    </row>
    <row r="396" spans="1:17" x14ac:dyDescent="0.2">
      <c r="A396" s="15" t="s">
        <v>228</v>
      </c>
      <c r="B396" s="33" t="s">
        <v>224</v>
      </c>
      <c r="C396" s="33">
        <v>6</v>
      </c>
      <c r="D396" s="33" t="str">
        <f>A396&amp; " S" &amp;C396</f>
        <v>30 Rock S6</v>
      </c>
      <c r="E396" s="33">
        <v>110</v>
      </c>
      <c r="F396" s="33">
        <v>7</v>
      </c>
      <c r="G396" s="425" t="s">
        <v>175</v>
      </c>
      <c r="H396" s="33" t="s">
        <v>12</v>
      </c>
      <c r="I396" s="33" t="s">
        <v>176</v>
      </c>
      <c r="J396" s="455">
        <v>40955</v>
      </c>
      <c r="K396" s="33" t="str">
        <f>CHOOSE(WEEKDAY(J396),"Sun","Mon","Tue","Wed","Thu","Fri","Sat")</f>
        <v>Thu</v>
      </c>
      <c r="L396" s="62">
        <v>0.83333333333333326</v>
      </c>
      <c r="M396" s="33">
        <v>607</v>
      </c>
      <c r="N396" s="33">
        <v>3.59</v>
      </c>
      <c r="O396" s="33">
        <v>395</v>
      </c>
      <c r="P396" s="347" t="str">
        <f t="shared" si="6"/>
        <v/>
      </c>
      <c r="Q396" s="359" t="str">
        <f ca="1">VLOOKUP(EpisodeList[[#This Row],[Season Number]], INDIRECT("'" &amp; EpisodeList[[#This Row],[Show]] &amp; " Season Info'!C2:J15"), 8,1)</f>
        <v>2011-12</v>
      </c>
    </row>
    <row r="397" spans="1:17" x14ac:dyDescent="0.2">
      <c r="A397" s="15" t="s">
        <v>228</v>
      </c>
      <c r="B397" s="33" t="s">
        <v>224</v>
      </c>
      <c r="C397" s="33">
        <v>6</v>
      </c>
      <c r="D397" s="33" t="str">
        <f>A397&amp; " S" &amp;C397</f>
        <v>30 Rock S6</v>
      </c>
      <c r="E397" s="33">
        <v>111</v>
      </c>
      <c r="F397" s="33">
        <v>8</v>
      </c>
      <c r="G397" s="425" t="s">
        <v>175</v>
      </c>
      <c r="H397" s="33" t="s">
        <v>12</v>
      </c>
      <c r="I397" s="33" t="s">
        <v>176</v>
      </c>
      <c r="J397" s="455">
        <v>40955</v>
      </c>
      <c r="K397" s="33" t="str">
        <f>CHOOSE(WEEKDAY(J397),"Sun","Mon","Tue","Wed","Thu","Fri","Sat")</f>
        <v>Thu</v>
      </c>
      <c r="L397" s="62">
        <v>0.83333333333333326</v>
      </c>
      <c r="M397" s="33">
        <v>608</v>
      </c>
      <c r="N397" s="33">
        <v>3.59</v>
      </c>
      <c r="O397" s="33">
        <v>396</v>
      </c>
      <c r="P397" s="347" t="str">
        <f t="shared" si="6"/>
        <v/>
      </c>
      <c r="Q397" s="359" t="str">
        <f ca="1">VLOOKUP(EpisodeList[[#This Row],[Season Number]], INDIRECT("'" &amp; EpisodeList[[#This Row],[Show]] &amp; " Season Info'!C2:J15"), 8,1)</f>
        <v>2011-12</v>
      </c>
    </row>
    <row r="398" spans="1:17" x14ac:dyDescent="0.2">
      <c r="A398" s="9" t="s">
        <v>243</v>
      </c>
      <c r="B398" s="32" t="s">
        <v>226</v>
      </c>
      <c r="C398" s="32">
        <v>8</v>
      </c>
      <c r="D398" s="32" t="str">
        <f>A398&amp; " S" &amp;C398</f>
        <v>The Office S8</v>
      </c>
      <c r="E398" s="32">
        <v>167</v>
      </c>
      <c r="F398" s="32">
        <v>15</v>
      </c>
      <c r="G398" s="424" t="s">
        <v>448</v>
      </c>
      <c r="H398" s="32" t="s">
        <v>390</v>
      </c>
      <c r="I398" s="32" t="s">
        <v>378</v>
      </c>
      <c r="J398" s="454">
        <v>40955</v>
      </c>
      <c r="K398" s="32" t="str">
        <f>CHOOSE(WEEKDAY(J398),"Sun","Mon","Tue","Wed","Thu","Fri","Sat")</f>
        <v>Thu</v>
      </c>
      <c r="L398" s="61">
        <v>0.875</v>
      </c>
      <c r="M398" s="32">
        <v>8015</v>
      </c>
      <c r="N398" s="32">
        <v>4.38</v>
      </c>
      <c r="O398" s="32">
        <v>397</v>
      </c>
      <c r="P398" s="348" t="str">
        <f t="shared" si="6"/>
        <v/>
      </c>
      <c r="Q398" s="360" t="str">
        <f ca="1">VLOOKUP(EpisodeList[[#This Row],[Season Number]], INDIRECT("'" &amp; EpisodeList[[#This Row],[Show]] &amp; " Season Info'!C2:J15"), 8,1)</f>
        <v>2011-12</v>
      </c>
    </row>
    <row r="399" spans="1:17" x14ac:dyDescent="0.2">
      <c r="A399" s="21" t="s">
        <v>859</v>
      </c>
      <c r="B399" s="31" t="s">
        <v>222</v>
      </c>
      <c r="C399" s="31">
        <v>4</v>
      </c>
      <c r="D399" s="31" t="str">
        <f>A399&amp; " S" &amp;C399</f>
        <v>Parks and Rec S4</v>
      </c>
      <c r="E399" s="31">
        <v>61</v>
      </c>
      <c r="F399" s="31">
        <v>15</v>
      </c>
      <c r="G399" s="423" t="s">
        <v>768</v>
      </c>
      <c r="H399" s="31" t="s">
        <v>769</v>
      </c>
      <c r="I399" s="31" t="s">
        <v>706</v>
      </c>
      <c r="J399" s="453">
        <v>40955</v>
      </c>
      <c r="K399" s="31" t="str">
        <f>CHOOSE(WEEKDAY(J399),"Sun","Mon","Tue","Wed","Thu","Fri","Sat")</f>
        <v>Thu</v>
      </c>
      <c r="L399" s="60">
        <v>0.89583333333333326</v>
      </c>
      <c r="M399" s="31"/>
      <c r="N399" s="31">
        <v>3.45</v>
      </c>
      <c r="O399" s="31">
        <v>398</v>
      </c>
      <c r="P399" s="349" t="str">
        <f t="shared" si="6"/>
        <v/>
      </c>
      <c r="Q399" s="361" t="str">
        <f ca="1">VLOOKUP(EpisodeList[[#This Row],[Season Number]], INDIRECT("'" &amp; EpisodeList[[#This Row],[Show]] &amp; " Season Info'!C2:J15"), 8,1)</f>
        <v>2011-12</v>
      </c>
    </row>
    <row r="400" spans="1:17" x14ac:dyDescent="0.2">
      <c r="A400" s="15" t="s">
        <v>228</v>
      </c>
      <c r="B400" s="33" t="s">
        <v>224</v>
      </c>
      <c r="C400" s="33">
        <v>6</v>
      </c>
      <c r="D400" s="33" t="str">
        <f>A400&amp; " S" &amp;C400</f>
        <v>30 Rock S6</v>
      </c>
      <c r="E400" s="33">
        <v>112</v>
      </c>
      <c r="F400" s="33">
        <v>9</v>
      </c>
      <c r="G400" s="425" t="s">
        <v>177</v>
      </c>
      <c r="H400" s="33" t="s">
        <v>81</v>
      </c>
      <c r="I400" s="33" t="s">
        <v>178</v>
      </c>
      <c r="J400" s="455">
        <v>40962</v>
      </c>
      <c r="K400" s="33" t="str">
        <f>CHOOSE(WEEKDAY(J400),"Sun","Mon","Tue","Wed","Thu","Fri","Sat")</f>
        <v>Thu</v>
      </c>
      <c r="L400" s="62">
        <v>0.83333333333333326</v>
      </c>
      <c r="M400" s="33">
        <v>609</v>
      </c>
      <c r="N400" s="33">
        <v>3.7</v>
      </c>
      <c r="O400" s="33">
        <v>399</v>
      </c>
      <c r="P400" s="347" t="str">
        <f t="shared" si="6"/>
        <v/>
      </c>
      <c r="Q400" s="359" t="str">
        <f ca="1">VLOOKUP(EpisodeList[[#This Row],[Season Number]], INDIRECT("'" &amp; EpisodeList[[#This Row],[Show]] &amp; " Season Info'!C2:J15"), 8,1)</f>
        <v>2011-12</v>
      </c>
    </row>
    <row r="401" spans="1:17" x14ac:dyDescent="0.2">
      <c r="A401" s="9" t="s">
        <v>243</v>
      </c>
      <c r="B401" s="32" t="s">
        <v>226</v>
      </c>
      <c r="C401" s="32">
        <v>8</v>
      </c>
      <c r="D401" s="32" t="str">
        <f>A401&amp; " S" &amp;C401</f>
        <v>The Office S8</v>
      </c>
      <c r="E401" s="32">
        <v>168</v>
      </c>
      <c r="F401" s="32">
        <v>16</v>
      </c>
      <c r="G401" s="424" t="s">
        <v>449</v>
      </c>
      <c r="H401" s="32" t="s">
        <v>450</v>
      </c>
      <c r="I401" s="32" t="s">
        <v>412</v>
      </c>
      <c r="J401" s="454">
        <v>40962</v>
      </c>
      <c r="K401" s="32" t="str">
        <f>CHOOSE(WEEKDAY(J401),"Sun","Mon","Tue","Wed","Thu","Fri","Sat")</f>
        <v>Thu</v>
      </c>
      <c r="L401" s="61">
        <v>0.875</v>
      </c>
      <c r="M401" s="32">
        <v>8016</v>
      </c>
      <c r="N401" s="32">
        <v>5.0199999999999996</v>
      </c>
      <c r="O401" s="32">
        <v>400</v>
      </c>
      <c r="P401" s="348" t="str">
        <f t="shared" si="6"/>
        <v/>
      </c>
      <c r="Q401" s="360" t="str">
        <f ca="1">VLOOKUP(EpisodeList[[#This Row],[Season Number]], INDIRECT("'" &amp; EpisodeList[[#This Row],[Show]] &amp; " Season Info'!C2:J15"), 8,1)</f>
        <v>2011-12</v>
      </c>
    </row>
    <row r="402" spans="1:17" x14ac:dyDescent="0.2">
      <c r="A402" s="21" t="s">
        <v>859</v>
      </c>
      <c r="B402" s="31" t="s">
        <v>222</v>
      </c>
      <c r="C402" s="31">
        <v>4</v>
      </c>
      <c r="D402" s="31" t="str">
        <f>A402&amp; " S" &amp;C402</f>
        <v>Parks and Rec S4</v>
      </c>
      <c r="E402" s="31">
        <v>62</v>
      </c>
      <c r="F402" s="31">
        <v>16</v>
      </c>
      <c r="G402" s="423" t="s">
        <v>770</v>
      </c>
      <c r="H402" s="31" t="s">
        <v>237</v>
      </c>
      <c r="I402" s="31" t="s">
        <v>698</v>
      </c>
      <c r="J402" s="453">
        <v>40962</v>
      </c>
      <c r="K402" s="31" t="str">
        <f>CHOOSE(WEEKDAY(J402),"Sun","Mon","Tue","Wed","Thu","Fri","Sat")</f>
        <v>Thu</v>
      </c>
      <c r="L402" s="60">
        <v>0.89583333333333326</v>
      </c>
      <c r="M402" s="31"/>
      <c r="N402" s="31">
        <v>3.43</v>
      </c>
      <c r="O402" s="31">
        <v>401</v>
      </c>
      <c r="P402" s="349" t="str">
        <f t="shared" si="6"/>
        <v/>
      </c>
      <c r="Q402" s="361" t="str">
        <f ca="1">VLOOKUP(EpisodeList[[#This Row],[Season Number]], INDIRECT("'" &amp; EpisodeList[[#This Row],[Show]] &amp; " Season Info'!C2:J15"), 8,1)</f>
        <v>2011-12</v>
      </c>
    </row>
    <row r="403" spans="1:17" x14ac:dyDescent="0.2">
      <c r="A403" s="15" t="s">
        <v>228</v>
      </c>
      <c r="B403" s="33" t="s">
        <v>224</v>
      </c>
      <c r="C403" s="33">
        <v>6</v>
      </c>
      <c r="D403" s="33" t="str">
        <f>A403&amp; " S" &amp;C403</f>
        <v>30 Rock S6</v>
      </c>
      <c r="E403" s="33">
        <v>113</v>
      </c>
      <c r="F403" s="33">
        <v>10</v>
      </c>
      <c r="G403" s="425" t="s">
        <v>179</v>
      </c>
      <c r="H403" s="33" t="s">
        <v>180</v>
      </c>
      <c r="I403" s="33" t="s">
        <v>12</v>
      </c>
      <c r="J403" s="455">
        <v>40969</v>
      </c>
      <c r="K403" s="33" t="str">
        <f>CHOOSE(WEEKDAY(J403),"Sun","Mon","Tue","Wed","Thu","Fri","Sat")</f>
        <v>Thu</v>
      </c>
      <c r="L403" s="62">
        <v>0.83333333333333326</v>
      </c>
      <c r="M403" s="33">
        <v>610</v>
      </c>
      <c r="N403" s="33">
        <v>3.77</v>
      </c>
      <c r="O403" s="33">
        <v>402</v>
      </c>
      <c r="P403" s="347" t="str">
        <f t="shared" si="6"/>
        <v/>
      </c>
      <c r="Q403" s="359" t="str">
        <f ca="1">VLOOKUP(EpisodeList[[#This Row],[Season Number]], INDIRECT("'" &amp; EpisodeList[[#This Row],[Show]] &amp; " Season Info'!C2:J15"), 8,1)</f>
        <v>2011-12</v>
      </c>
    </row>
    <row r="404" spans="1:17" x14ac:dyDescent="0.2">
      <c r="A404" s="9" t="s">
        <v>243</v>
      </c>
      <c r="B404" s="32" t="s">
        <v>226</v>
      </c>
      <c r="C404" s="32">
        <v>8</v>
      </c>
      <c r="D404" s="32" t="str">
        <f>A404&amp; " S" &amp;C404</f>
        <v>The Office S8</v>
      </c>
      <c r="E404" s="32">
        <v>169</v>
      </c>
      <c r="F404" s="32">
        <v>17</v>
      </c>
      <c r="G404" s="424" t="s">
        <v>451</v>
      </c>
      <c r="H404" s="32" t="s">
        <v>284</v>
      </c>
      <c r="I404" s="32" t="s">
        <v>242</v>
      </c>
      <c r="J404" s="454">
        <v>40969</v>
      </c>
      <c r="K404" s="32" t="str">
        <f>CHOOSE(WEEKDAY(J404),"Sun","Mon","Tue","Wed","Thu","Fri","Sat")</f>
        <v>Thu</v>
      </c>
      <c r="L404" s="61">
        <v>0.875</v>
      </c>
      <c r="M404" s="32">
        <v>8017</v>
      </c>
      <c r="N404" s="32">
        <v>4.95</v>
      </c>
      <c r="O404" s="32">
        <v>403</v>
      </c>
      <c r="P404" s="348" t="str">
        <f t="shared" si="6"/>
        <v/>
      </c>
      <c r="Q404" s="360" t="str">
        <f ca="1">VLOOKUP(EpisodeList[[#This Row],[Season Number]], INDIRECT("'" &amp; EpisodeList[[#This Row],[Show]] &amp; " Season Info'!C2:J15"), 8,1)</f>
        <v>2011-12</v>
      </c>
    </row>
    <row r="405" spans="1:17" x14ac:dyDescent="0.2">
      <c r="A405" s="21" t="s">
        <v>859</v>
      </c>
      <c r="B405" s="31" t="s">
        <v>222</v>
      </c>
      <c r="C405" s="31">
        <v>4</v>
      </c>
      <c r="D405" s="31" t="str">
        <f>A405&amp; " S" &amp;C405</f>
        <v>Parks and Rec S4</v>
      </c>
      <c r="E405" s="31">
        <v>63</v>
      </c>
      <c r="F405" s="31">
        <v>17</v>
      </c>
      <c r="G405" s="423" t="s">
        <v>771</v>
      </c>
      <c r="H405" s="31" t="s">
        <v>692</v>
      </c>
      <c r="I405" s="31" t="s">
        <v>692</v>
      </c>
      <c r="J405" s="453">
        <v>40969</v>
      </c>
      <c r="K405" s="31" t="str">
        <f>CHOOSE(WEEKDAY(J405),"Sun","Mon","Tue","Wed","Thu","Fri","Sat")</f>
        <v>Thu</v>
      </c>
      <c r="L405" s="60">
        <v>0.89583333333333326</v>
      </c>
      <c r="M405" s="31"/>
      <c r="N405" s="31">
        <v>3.77</v>
      </c>
      <c r="O405" s="31">
        <v>404</v>
      </c>
      <c r="P405" s="349" t="str">
        <f t="shared" si="6"/>
        <v/>
      </c>
      <c r="Q405" s="361" t="str">
        <f ca="1">VLOOKUP(EpisodeList[[#This Row],[Season Number]], INDIRECT("'" &amp; EpisodeList[[#This Row],[Show]] &amp; " Season Info'!C2:J15"), 8,1)</f>
        <v>2011-12</v>
      </c>
    </row>
    <row r="406" spans="1:17" x14ac:dyDescent="0.2">
      <c r="A406" s="15" t="s">
        <v>228</v>
      </c>
      <c r="B406" s="33" t="s">
        <v>224</v>
      </c>
      <c r="C406" s="33">
        <v>6</v>
      </c>
      <c r="D406" s="33" t="str">
        <f>A406&amp; " S" &amp;C406</f>
        <v>30 Rock S6</v>
      </c>
      <c r="E406" s="33">
        <v>114</v>
      </c>
      <c r="F406" s="33">
        <v>11</v>
      </c>
      <c r="G406" s="425" t="s">
        <v>181</v>
      </c>
      <c r="H406" s="33" t="s">
        <v>140</v>
      </c>
      <c r="I406" s="33" t="s">
        <v>131</v>
      </c>
      <c r="J406" s="455">
        <v>40976</v>
      </c>
      <c r="K406" s="33" t="str">
        <f>CHOOSE(WEEKDAY(J406),"Sun","Mon","Tue","Wed","Thu","Fri","Sat")</f>
        <v>Thu</v>
      </c>
      <c r="L406" s="62">
        <v>0.83333333333333326</v>
      </c>
      <c r="M406" s="33">
        <v>611</v>
      </c>
      <c r="N406" s="33">
        <v>3.42</v>
      </c>
      <c r="O406" s="33">
        <v>405</v>
      </c>
      <c r="P406" s="347" t="str">
        <f t="shared" si="6"/>
        <v/>
      </c>
      <c r="Q406" s="359" t="str">
        <f ca="1">VLOOKUP(EpisodeList[[#This Row],[Season Number]], INDIRECT("'" &amp; EpisodeList[[#This Row],[Show]] &amp; " Season Info'!C2:J15"), 8,1)</f>
        <v>2011-12</v>
      </c>
    </row>
    <row r="407" spans="1:17" x14ac:dyDescent="0.2">
      <c r="A407" s="9" t="s">
        <v>243</v>
      </c>
      <c r="B407" s="32" t="s">
        <v>226</v>
      </c>
      <c r="C407" s="32">
        <v>8</v>
      </c>
      <c r="D407" s="32" t="str">
        <f>A407&amp; " S" &amp;C407</f>
        <v>The Office S8</v>
      </c>
      <c r="E407" s="32">
        <v>170</v>
      </c>
      <c r="F407" s="32">
        <v>18</v>
      </c>
      <c r="G407" s="424" t="s">
        <v>452</v>
      </c>
      <c r="H407" s="32" t="s">
        <v>390</v>
      </c>
      <c r="I407" s="32" t="s">
        <v>419</v>
      </c>
      <c r="J407" s="454">
        <v>40976</v>
      </c>
      <c r="K407" s="32" t="str">
        <f>CHOOSE(WEEKDAY(J407),"Sun","Mon","Tue","Wed","Thu","Fri","Sat")</f>
        <v>Thu</v>
      </c>
      <c r="L407" s="61">
        <v>0.875</v>
      </c>
      <c r="M407" s="32">
        <v>8018</v>
      </c>
      <c r="N407" s="32">
        <v>4.8899999999999997</v>
      </c>
      <c r="O407" s="32">
        <v>406</v>
      </c>
      <c r="P407" s="348" t="str">
        <f t="shared" si="6"/>
        <v/>
      </c>
      <c r="Q407" s="360" t="str">
        <f ca="1">VLOOKUP(EpisodeList[[#This Row],[Season Number]], INDIRECT("'" &amp; EpisodeList[[#This Row],[Show]] &amp; " Season Info'!C2:J15"), 8,1)</f>
        <v>2011-12</v>
      </c>
    </row>
    <row r="408" spans="1:17" x14ac:dyDescent="0.2">
      <c r="A408" s="21" t="s">
        <v>859</v>
      </c>
      <c r="B408" s="31" t="s">
        <v>222</v>
      </c>
      <c r="C408" s="31">
        <v>4</v>
      </c>
      <c r="D408" s="31" t="str">
        <f>A408&amp; " S" &amp;C408</f>
        <v>Parks and Rec S4</v>
      </c>
      <c r="E408" s="31">
        <v>64</v>
      </c>
      <c r="F408" s="31">
        <v>18</v>
      </c>
      <c r="G408" s="423" t="s">
        <v>772</v>
      </c>
      <c r="H408" s="31" t="s">
        <v>428</v>
      </c>
      <c r="I408" s="31" t="s">
        <v>773</v>
      </c>
      <c r="J408" s="453">
        <v>40976</v>
      </c>
      <c r="K408" s="31" t="str">
        <f>CHOOSE(WEEKDAY(J408),"Sun","Mon","Tue","Wed","Thu","Fri","Sat")</f>
        <v>Thu</v>
      </c>
      <c r="L408" s="60">
        <v>0.89583333333333326</v>
      </c>
      <c r="M408" s="31"/>
      <c r="N408" s="31">
        <v>3.66</v>
      </c>
      <c r="O408" s="31">
        <v>407</v>
      </c>
      <c r="P408" s="349" t="str">
        <f t="shared" si="6"/>
        <v/>
      </c>
      <c r="Q408" s="361" t="str">
        <f ca="1">VLOOKUP(EpisodeList[[#This Row],[Season Number]], INDIRECT("'" &amp; EpisodeList[[#This Row],[Show]] &amp; " Season Info'!C2:J15"), 8,1)</f>
        <v>2011-12</v>
      </c>
    </row>
    <row r="409" spans="1:17" x14ac:dyDescent="0.2">
      <c r="A409" s="25" t="s">
        <v>687</v>
      </c>
      <c r="B409" s="58" t="s">
        <v>221</v>
      </c>
      <c r="C409" s="58">
        <v>3</v>
      </c>
      <c r="D409" s="58" t="str">
        <f>A409&amp; " S" &amp;C409</f>
        <v>Community S3</v>
      </c>
      <c r="E409" s="58">
        <v>60</v>
      </c>
      <c r="F409" s="58">
        <v>11</v>
      </c>
      <c r="G409" s="422" t="s">
        <v>602</v>
      </c>
      <c r="H409" s="58" t="s">
        <v>603</v>
      </c>
      <c r="I409" s="58" t="s">
        <v>604</v>
      </c>
      <c r="J409" s="452">
        <v>40983</v>
      </c>
      <c r="K409" s="58" t="str">
        <f>CHOOSE(WEEKDAY(J409),"Sun","Mon","Tue","Wed","Thu","Fri","Sat")</f>
        <v>Thu</v>
      </c>
      <c r="L409" s="59">
        <v>0.83333333333333326</v>
      </c>
      <c r="M409" s="58">
        <v>312</v>
      </c>
      <c r="N409" s="58">
        <v>4.75</v>
      </c>
      <c r="O409" s="58">
        <v>408</v>
      </c>
      <c r="P409" s="346" t="str">
        <f t="shared" si="6"/>
        <v/>
      </c>
      <c r="Q409" s="358" t="str">
        <f ca="1">VLOOKUP(EpisodeList[[#This Row],[Season Number]], INDIRECT("'" &amp; EpisodeList[[#This Row],[Show]] &amp; " Season Info'!C2:J15"), 8,1)</f>
        <v>2011-12</v>
      </c>
    </row>
    <row r="410" spans="1:17" x14ac:dyDescent="0.2">
      <c r="A410" s="15" t="s">
        <v>228</v>
      </c>
      <c r="B410" s="33" t="s">
        <v>224</v>
      </c>
      <c r="C410" s="33">
        <v>6</v>
      </c>
      <c r="D410" s="33" t="str">
        <f>A410&amp; " S" &amp;C410</f>
        <v>30 Rock S6</v>
      </c>
      <c r="E410" s="33">
        <v>115</v>
      </c>
      <c r="F410" s="33">
        <v>12</v>
      </c>
      <c r="G410" s="425" t="s">
        <v>182</v>
      </c>
      <c r="H410" s="33" t="s">
        <v>12</v>
      </c>
      <c r="I410" s="33" t="s">
        <v>183</v>
      </c>
      <c r="J410" s="455">
        <v>40983</v>
      </c>
      <c r="K410" s="33" t="str">
        <f>CHOOSE(WEEKDAY(J410),"Sun","Mon","Tue","Wed","Thu","Fri","Sat")</f>
        <v>Thu</v>
      </c>
      <c r="L410" s="62">
        <v>0.85416666666666674</v>
      </c>
      <c r="M410" s="33">
        <v>612</v>
      </c>
      <c r="N410" s="33">
        <v>4</v>
      </c>
      <c r="O410" s="33">
        <v>409</v>
      </c>
      <c r="P410" s="347" t="str">
        <f t="shared" si="6"/>
        <v/>
      </c>
      <c r="Q410" s="359" t="str">
        <f ca="1">VLOOKUP(EpisodeList[[#This Row],[Season Number]], INDIRECT("'" &amp; EpisodeList[[#This Row],[Show]] &amp; " Season Info'!C2:J15"), 8,1)</f>
        <v>2011-12</v>
      </c>
    </row>
    <row r="411" spans="1:17" x14ac:dyDescent="0.2">
      <c r="A411" s="9" t="s">
        <v>243</v>
      </c>
      <c r="B411" s="32" t="s">
        <v>226</v>
      </c>
      <c r="C411" s="32">
        <v>8</v>
      </c>
      <c r="D411" s="32" t="str">
        <f>A411&amp; " S" &amp;C411</f>
        <v>The Office S8</v>
      </c>
      <c r="E411" s="32">
        <v>171</v>
      </c>
      <c r="F411" s="32">
        <v>19</v>
      </c>
      <c r="G411" s="424" t="s">
        <v>453</v>
      </c>
      <c r="H411" s="32" t="s">
        <v>394</v>
      </c>
      <c r="I411" s="32" t="s">
        <v>337</v>
      </c>
      <c r="J411" s="454">
        <v>40983</v>
      </c>
      <c r="K411" s="32" t="str">
        <f>CHOOSE(WEEKDAY(J411),"Sun","Mon","Tue","Wed","Thu","Fri","Sat")</f>
        <v>Thu</v>
      </c>
      <c r="L411" s="61">
        <v>0.875</v>
      </c>
      <c r="M411" s="32">
        <v>8019</v>
      </c>
      <c r="N411" s="32">
        <v>4.87</v>
      </c>
      <c r="O411" s="32">
        <v>410</v>
      </c>
      <c r="P411" s="348" t="str">
        <f t="shared" si="6"/>
        <v/>
      </c>
      <c r="Q411" s="360" t="str">
        <f ca="1">VLOOKUP(EpisodeList[[#This Row],[Season Number]], INDIRECT("'" &amp; EpisodeList[[#This Row],[Show]] &amp; " Season Info'!C2:J15"), 8,1)</f>
        <v>2011-12</v>
      </c>
    </row>
    <row r="412" spans="1:17" x14ac:dyDescent="0.2">
      <c r="A412" s="25" t="s">
        <v>687</v>
      </c>
      <c r="B412" s="58" t="s">
        <v>221</v>
      </c>
      <c r="C412" s="58">
        <v>3</v>
      </c>
      <c r="D412" s="58" t="str">
        <f>A412&amp; " S" &amp;C412</f>
        <v>Community S3</v>
      </c>
      <c r="E412" s="58">
        <v>61</v>
      </c>
      <c r="F412" s="58">
        <v>12</v>
      </c>
      <c r="G412" s="422" t="s">
        <v>605</v>
      </c>
      <c r="H412" s="58" t="s">
        <v>603</v>
      </c>
      <c r="I412" s="58" t="s">
        <v>606</v>
      </c>
      <c r="J412" s="452">
        <v>40990</v>
      </c>
      <c r="K412" s="58" t="str">
        <f>CHOOSE(WEEKDAY(J412),"Sun","Mon","Tue","Wed","Thu","Fri","Sat")</f>
        <v>Thu</v>
      </c>
      <c r="L412" s="59">
        <v>0.83333333333333326</v>
      </c>
      <c r="M412" s="58">
        <v>310</v>
      </c>
      <c r="N412" s="58">
        <v>3.87</v>
      </c>
      <c r="O412" s="58">
        <v>411</v>
      </c>
      <c r="P412" s="346" t="str">
        <f t="shared" si="6"/>
        <v/>
      </c>
      <c r="Q412" s="358" t="str">
        <f ca="1">VLOOKUP(EpisodeList[[#This Row],[Season Number]], INDIRECT("'" &amp; EpisodeList[[#This Row],[Show]] &amp; " Season Info'!C2:J15"), 8,1)</f>
        <v>2011-12</v>
      </c>
    </row>
    <row r="413" spans="1:17" x14ac:dyDescent="0.2">
      <c r="A413" s="15" t="s">
        <v>228</v>
      </c>
      <c r="B413" s="33" t="s">
        <v>224</v>
      </c>
      <c r="C413" s="33">
        <v>6</v>
      </c>
      <c r="D413" s="33" t="str">
        <f>A413&amp; " S" &amp;C413</f>
        <v>30 Rock S6</v>
      </c>
      <c r="E413" s="33">
        <v>116</v>
      </c>
      <c r="F413" s="33">
        <v>13</v>
      </c>
      <c r="G413" s="425" t="s">
        <v>184</v>
      </c>
      <c r="H413" s="33" t="s">
        <v>140</v>
      </c>
      <c r="I413" s="33" t="s">
        <v>185</v>
      </c>
      <c r="J413" s="455">
        <v>40990</v>
      </c>
      <c r="K413" s="33" t="str">
        <f>CHOOSE(WEEKDAY(J413),"Sun","Mon","Tue","Wed","Thu","Fri","Sat")</f>
        <v>Thu</v>
      </c>
      <c r="L413" s="62">
        <v>0.85416666666666674</v>
      </c>
      <c r="M413" s="33">
        <v>613</v>
      </c>
      <c r="N413" s="33">
        <v>3.31</v>
      </c>
      <c r="O413" s="33">
        <v>412</v>
      </c>
      <c r="P413" s="347" t="str">
        <f t="shared" si="6"/>
        <v/>
      </c>
      <c r="Q413" s="359" t="str">
        <f ca="1">VLOOKUP(EpisodeList[[#This Row],[Season Number]], INDIRECT("'" &amp; EpisodeList[[#This Row],[Show]] &amp; " Season Info'!C2:J15"), 8,1)</f>
        <v>2011-12</v>
      </c>
    </row>
    <row r="414" spans="1:17" x14ac:dyDescent="0.2">
      <c r="A414" s="15" t="s">
        <v>228</v>
      </c>
      <c r="B414" s="33" t="s">
        <v>224</v>
      </c>
      <c r="C414" s="33">
        <v>6</v>
      </c>
      <c r="D414" s="33" t="str">
        <f>A414&amp; " S" &amp;C414</f>
        <v>30 Rock S6</v>
      </c>
      <c r="E414" s="33">
        <v>117</v>
      </c>
      <c r="F414" s="33">
        <v>14</v>
      </c>
      <c r="G414" s="425" t="s">
        <v>186</v>
      </c>
      <c r="H414" s="33" t="s">
        <v>187</v>
      </c>
      <c r="I414" s="33" t="s">
        <v>9</v>
      </c>
      <c r="J414" s="455">
        <v>40990</v>
      </c>
      <c r="K414" s="33" t="str">
        <f>CHOOSE(WEEKDAY(J414),"Sun","Mon","Tue","Wed","Thu","Fri","Sat")</f>
        <v>Thu</v>
      </c>
      <c r="L414" s="62">
        <v>0.85416666666666674</v>
      </c>
      <c r="M414" s="33">
        <v>614</v>
      </c>
      <c r="N414" s="33">
        <v>3.42</v>
      </c>
      <c r="O414" s="33">
        <v>413</v>
      </c>
      <c r="P414" s="347" t="str">
        <f t="shared" si="6"/>
        <v/>
      </c>
      <c r="Q414" s="359" t="str">
        <f ca="1">VLOOKUP(EpisodeList[[#This Row],[Season Number]], INDIRECT("'" &amp; EpisodeList[[#This Row],[Show]] &amp; " Season Info'!C2:J15"), 8,1)</f>
        <v>2011-12</v>
      </c>
    </row>
    <row r="415" spans="1:17" x14ac:dyDescent="0.2">
      <c r="A415" s="25" t="s">
        <v>687</v>
      </c>
      <c r="B415" s="58" t="s">
        <v>221</v>
      </c>
      <c r="C415" s="58">
        <v>3</v>
      </c>
      <c r="D415" s="58" t="str">
        <f>A415&amp; " S" &amp;C415</f>
        <v>Community S3</v>
      </c>
      <c r="E415" s="58">
        <v>62</v>
      </c>
      <c r="F415" s="58">
        <v>13</v>
      </c>
      <c r="G415" s="422" t="s">
        <v>607</v>
      </c>
      <c r="H415" s="58" t="s">
        <v>608</v>
      </c>
      <c r="I415" s="58" t="s">
        <v>536</v>
      </c>
      <c r="J415" s="452">
        <v>40997</v>
      </c>
      <c r="K415" s="58" t="str">
        <f>CHOOSE(WEEKDAY(J415),"Sun","Mon","Tue","Wed","Thu","Fri","Sat")</f>
        <v>Thu</v>
      </c>
      <c r="L415" s="59">
        <v>0.83333333333333326</v>
      </c>
      <c r="M415" s="58">
        <v>313</v>
      </c>
      <c r="N415" s="58">
        <v>3.48</v>
      </c>
      <c r="O415" s="58">
        <v>414</v>
      </c>
      <c r="P415" s="346" t="str">
        <f t="shared" si="6"/>
        <v/>
      </c>
      <c r="Q415" s="358" t="str">
        <f ca="1">VLOOKUP(EpisodeList[[#This Row],[Season Number]], INDIRECT("'" &amp; EpisodeList[[#This Row],[Show]] &amp; " Season Info'!C2:J15"), 8,1)</f>
        <v>2011-12</v>
      </c>
    </row>
    <row r="416" spans="1:17" x14ac:dyDescent="0.2">
      <c r="A416" s="15" t="s">
        <v>228</v>
      </c>
      <c r="B416" s="33" t="s">
        <v>224</v>
      </c>
      <c r="C416" s="33">
        <v>6</v>
      </c>
      <c r="D416" s="33" t="str">
        <f>A416&amp; " S" &amp;C416</f>
        <v>30 Rock S6</v>
      </c>
      <c r="E416" s="33">
        <v>118</v>
      </c>
      <c r="F416" s="33">
        <v>15</v>
      </c>
      <c r="G416" s="425" t="s">
        <v>188</v>
      </c>
      <c r="H416" s="33" t="s">
        <v>125</v>
      </c>
      <c r="I416" s="33" t="s">
        <v>189</v>
      </c>
      <c r="J416" s="455">
        <v>40997</v>
      </c>
      <c r="K416" s="33" t="str">
        <f>CHOOSE(WEEKDAY(J416),"Sun","Mon","Tue","Wed","Thu","Fri","Sat")</f>
        <v>Thu</v>
      </c>
      <c r="L416" s="62">
        <v>0.85416666666666674</v>
      </c>
      <c r="M416" s="33">
        <v>615</v>
      </c>
      <c r="N416" s="33">
        <v>3.14</v>
      </c>
      <c r="O416" s="33">
        <v>415</v>
      </c>
      <c r="P416" s="347" t="str">
        <f t="shared" si="6"/>
        <v/>
      </c>
      <c r="Q416" s="359" t="str">
        <f ca="1">VLOOKUP(EpisodeList[[#This Row],[Season Number]], INDIRECT("'" &amp; EpisodeList[[#This Row],[Show]] &amp; " Season Info'!C2:J15"), 8,1)</f>
        <v>2011-12</v>
      </c>
    </row>
    <row r="417" spans="1:17" x14ac:dyDescent="0.2">
      <c r="A417" s="25" t="s">
        <v>687</v>
      </c>
      <c r="B417" s="58" t="s">
        <v>221</v>
      </c>
      <c r="C417" s="58">
        <v>3</v>
      </c>
      <c r="D417" s="58" t="str">
        <f>A417&amp; " S" &amp;C417</f>
        <v>Community S3</v>
      </c>
      <c r="E417" s="58">
        <v>63</v>
      </c>
      <c r="F417" s="58">
        <v>14</v>
      </c>
      <c r="G417" s="422" t="s">
        <v>609</v>
      </c>
      <c r="H417" s="58" t="s">
        <v>544</v>
      </c>
      <c r="I417" s="58" t="s">
        <v>555</v>
      </c>
      <c r="J417" s="452">
        <v>41004</v>
      </c>
      <c r="K417" s="58" t="str">
        <f>CHOOSE(WEEKDAY(J417),"Sun","Mon","Tue","Wed","Thu","Fri","Sat")</f>
        <v>Thu</v>
      </c>
      <c r="L417" s="59">
        <v>0.83333333333333326</v>
      </c>
      <c r="M417" s="58">
        <v>314</v>
      </c>
      <c r="N417" s="58">
        <v>3</v>
      </c>
      <c r="O417" s="58">
        <v>416</v>
      </c>
      <c r="P417" s="346" t="str">
        <f t="shared" si="6"/>
        <v/>
      </c>
      <c r="Q417" s="358" t="str">
        <f ca="1">VLOOKUP(EpisodeList[[#This Row],[Season Number]], INDIRECT("'" &amp; EpisodeList[[#This Row],[Show]] &amp; " Season Info'!C2:J15"), 8,1)</f>
        <v>2011-12</v>
      </c>
    </row>
    <row r="418" spans="1:17" x14ac:dyDescent="0.2">
      <c r="A418" s="15" t="s">
        <v>228</v>
      </c>
      <c r="B418" s="33" t="s">
        <v>224</v>
      </c>
      <c r="C418" s="33">
        <v>6</v>
      </c>
      <c r="D418" s="33" t="str">
        <f>A418&amp; " S" &amp;C418</f>
        <v>30 Rock S6</v>
      </c>
      <c r="E418" s="33">
        <v>119</v>
      </c>
      <c r="F418" s="33">
        <v>16</v>
      </c>
      <c r="G418" s="425" t="s">
        <v>190</v>
      </c>
      <c r="H418" s="33" t="s">
        <v>12</v>
      </c>
      <c r="I418" s="33" t="s">
        <v>191</v>
      </c>
      <c r="J418" s="455">
        <v>41004</v>
      </c>
      <c r="K418" s="33" t="str">
        <f>CHOOSE(WEEKDAY(J418),"Sun","Mon","Tue","Wed","Thu","Fri","Sat")</f>
        <v>Thu</v>
      </c>
      <c r="L418" s="62">
        <v>0.85416666666666674</v>
      </c>
      <c r="M418" s="33">
        <v>616</v>
      </c>
      <c r="N418" s="33">
        <v>2.79</v>
      </c>
      <c r="O418" s="33">
        <v>417</v>
      </c>
      <c r="P418" s="347" t="str">
        <f t="shared" si="6"/>
        <v/>
      </c>
      <c r="Q418" s="359" t="str">
        <f ca="1">VLOOKUP(EpisodeList[[#This Row],[Season Number]], INDIRECT("'" &amp; EpisodeList[[#This Row],[Show]] &amp; " Season Info'!C2:J15"), 8,1)</f>
        <v>2011-12</v>
      </c>
    </row>
    <row r="419" spans="1:17" x14ac:dyDescent="0.2">
      <c r="A419" s="25" t="s">
        <v>687</v>
      </c>
      <c r="B419" s="58" t="s">
        <v>221</v>
      </c>
      <c r="C419" s="58">
        <v>3</v>
      </c>
      <c r="D419" s="58" t="str">
        <f>A419&amp; " S" &amp;C419</f>
        <v>Community S3</v>
      </c>
      <c r="E419" s="58">
        <v>64</v>
      </c>
      <c r="F419" s="58">
        <v>15</v>
      </c>
      <c r="G419" s="422" t="s">
        <v>610</v>
      </c>
      <c r="H419" s="58" t="s">
        <v>611</v>
      </c>
      <c r="I419" s="58" t="s">
        <v>508</v>
      </c>
      <c r="J419" s="452">
        <v>41011</v>
      </c>
      <c r="K419" s="58" t="str">
        <f>CHOOSE(WEEKDAY(J419),"Sun","Mon","Tue","Wed","Thu","Fri","Sat")</f>
        <v>Thu</v>
      </c>
      <c r="L419" s="59">
        <v>0.83333333333333326</v>
      </c>
      <c r="M419" s="58">
        <v>315</v>
      </c>
      <c r="N419" s="58">
        <v>3.09</v>
      </c>
      <c r="O419" s="58">
        <v>418</v>
      </c>
      <c r="P419" s="346" t="str">
        <f t="shared" si="6"/>
        <v/>
      </c>
      <c r="Q419" s="358" t="str">
        <f ca="1">VLOOKUP(EpisodeList[[#This Row],[Season Number]], INDIRECT("'" &amp; EpisodeList[[#This Row],[Show]] &amp; " Season Info'!C2:J15"), 8,1)</f>
        <v>2011-12</v>
      </c>
    </row>
    <row r="420" spans="1:17" x14ac:dyDescent="0.2">
      <c r="A420" s="15" t="s">
        <v>228</v>
      </c>
      <c r="B420" s="33" t="s">
        <v>224</v>
      </c>
      <c r="C420" s="33">
        <v>6</v>
      </c>
      <c r="D420" s="33" t="str">
        <f>A420&amp; " S" &amp;C420</f>
        <v>30 Rock S6</v>
      </c>
      <c r="E420" s="33">
        <v>120</v>
      </c>
      <c r="F420" s="33">
        <v>17</v>
      </c>
      <c r="G420" s="425" t="s">
        <v>192</v>
      </c>
      <c r="H420" s="33" t="s">
        <v>193</v>
      </c>
      <c r="I420" s="33" t="s">
        <v>57</v>
      </c>
      <c r="J420" s="455">
        <v>41011</v>
      </c>
      <c r="K420" s="33" t="str">
        <f>CHOOSE(WEEKDAY(J420),"Sun","Mon","Tue","Wed","Thu","Fri","Sat")</f>
        <v>Thu</v>
      </c>
      <c r="L420" s="62">
        <v>0.85416666666666674</v>
      </c>
      <c r="M420" s="33">
        <v>617</v>
      </c>
      <c r="N420" s="33">
        <v>2.98</v>
      </c>
      <c r="O420" s="33">
        <v>419</v>
      </c>
      <c r="P420" s="347" t="str">
        <f t="shared" si="6"/>
        <v/>
      </c>
      <c r="Q420" s="359" t="str">
        <f ca="1">VLOOKUP(EpisodeList[[#This Row],[Season Number]], INDIRECT("'" &amp; EpisodeList[[#This Row],[Show]] &amp; " Season Info'!C2:J15"), 8,1)</f>
        <v>2011-12</v>
      </c>
    </row>
    <row r="421" spans="1:17" x14ac:dyDescent="0.2">
      <c r="A421" s="9" t="s">
        <v>243</v>
      </c>
      <c r="B421" s="32" t="s">
        <v>226</v>
      </c>
      <c r="C421" s="32">
        <v>8</v>
      </c>
      <c r="D421" s="32" t="str">
        <f>A421&amp; " S" &amp;C421</f>
        <v>The Office S8</v>
      </c>
      <c r="E421" s="32">
        <v>172</v>
      </c>
      <c r="F421" s="32">
        <v>20</v>
      </c>
      <c r="G421" s="424" t="s">
        <v>454</v>
      </c>
      <c r="H421" s="32" t="s">
        <v>441</v>
      </c>
      <c r="I421" s="32" t="s">
        <v>117</v>
      </c>
      <c r="J421" s="454">
        <v>41011</v>
      </c>
      <c r="K421" s="32" t="str">
        <f>CHOOSE(WEEKDAY(J421),"Sun","Mon","Tue","Wed","Thu","Fri","Sat")</f>
        <v>Thu</v>
      </c>
      <c r="L421" s="61">
        <v>0.875</v>
      </c>
      <c r="M421" s="32">
        <v>8020</v>
      </c>
      <c r="N421" s="32">
        <v>4.3899999999999997</v>
      </c>
      <c r="O421" s="32">
        <v>420</v>
      </c>
      <c r="P421" s="348" t="str">
        <f t="shared" si="6"/>
        <v/>
      </c>
      <c r="Q421" s="360" t="str">
        <f ca="1">VLOOKUP(EpisodeList[[#This Row],[Season Number]], INDIRECT("'" &amp; EpisodeList[[#This Row],[Show]] &amp; " Season Info'!C2:J15"), 8,1)</f>
        <v>2011-12</v>
      </c>
    </row>
    <row r="422" spans="1:17" x14ac:dyDescent="0.2">
      <c r="A422" s="25" t="s">
        <v>687</v>
      </c>
      <c r="B422" s="58" t="s">
        <v>221</v>
      </c>
      <c r="C422" s="58">
        <v>3</v>
      </c>
      <c r="D422" s="58" t="str">
        <f>A422&amp; " S" &amp;C422</f>
        <v>Community S3</v>
      </c>
      <c r="E422" s="58">
        <v>65</v>
      </c>
      <c r="F422" s="58">
        <v>16</v>
      </c>
      <c r="G422" s="422" t="s">
        <v>612</v>
      </c>
      <c r="H422" s="58" t="s">
        <v>544</v>
      </c>
      <c r="I422" s="58" t="s">
        <v>595</v>
      </c>
      <c r="J422" s="452">
        <v>41018</v>
      </c>
      <c r="K422" s="58" t="str">
        <f>CHOOSE(WEEKDAY(J422),"Sun","Mon","Tue","Wed","Thu","Fri","Sat")</f>
        <v>Thu</v>
      </c>
      <c r="L422" s="59">
        <v>0.83333333333333326</v>
      </c>
      <c r="M422" s="58">
        <v>316</v>
      </c>
      <c r="N422" s="58">
        <v>2.77</v>
      </c>
      <c r="O422" s="58">
        <v>421</v>
      </c>
      <c r="P422" s="346" t="str">
        <f t="shared" si="6"/>
        <v>Yes</v>
      </c>
      <c r="Q422" s="358" t="str">
        <f ca="1">VLOOKUP(EpisodeList[[#This Row],[Season Number]], INDIRECT("'" &amp; EpisodeList[[#This Row],[Show]] &amp; " Season Info'!C2:J15"), 8,1)</f>
        <v>2011-12</v>
      </c>
    </row>
    <row r="423" spans="1:17" x14ac:dyDescent="0.2">
      <c r="A423" s="15" t="s">
        <v>228</v>
      </c>
      <c r="B423" s="33" t="s">
        <v>224</v>
      </c>
      <c r="C423" s="33">
        <v>6</v>
      </c>
      <c r="D423" s="33" t="str">
        <f>A423&amp; " S" &amp;C423</f>
        <v>30 Rock S6</v>
      </c>
      <c r="E423" s="33">
        <v>121</v>
      </c>
      <c r="F423" s="33">
        <v>18</v>
      </c>
      <c r="G423" s="425" t="s">
        <v>194</v>
      </c>
      <c r="H423" s="33" t="s">
        <v>12</v>
      </c>
      <c r="I423" s="33" t="s">
        <v>195</v>
      </c>
      <c r="J423" s="455">
        <v>41018</v>
      </c>
      <c r="K423" s="33" t="str">
        <f>CHOOSE(WEEKDAY(J423),"Sun","Mon","Tue","Wed","Thu","Fri","Sat")</f>
        <v>Thu</v>
      </c>
      <c r="L423" s="62">
        <v>0.85416666666666674</v>
      </c>
      <c r="M423" s="33">
        <v>618</v>
      </c>
      <c r="N423" s="33">
        <v>3.06</v>
      </c>
      <c r="O423" s="33">
        <v>422</v>
      </c>
      <c r="P423" s="347" t="str">
        <f t="shared" si="6"/>
        <v>Yes</v>
      </c>
      <c r="Q423" s="359" t="str">
        <f ca="1">VLOOKUP(EpisodeList[[#This Row],[Season Number]], INDIRECT("'" &amp; EpisodeList[[#This Row],[Show]] &amp; " Season Info'!C2:J15"), 8,1)</f>
        <v>2011-12</v>
      </c>
    </row>
    <row r="424" spans="1:17" x14ac:dyDescent="0.2">
      <c r="A424" s="9" t="s">
        <v>243</v>
      </c>
      <c r="B424" s="32" t="s">
        <v>226</v>
      </c>
      <c r="C424" s="32">
        <v>8</v>
      </c>
      <c r="D424" s="32" t="str">
        <f>A424&amp; " S" &amp;C424</f>
        <v>The Office S8</v>
      </c>
      <c r="E424" s="32">
        <v>173</v>
      </c>
      <c r="F424" s="32">
        <v>21</v>
      </c>
      <c r="G424" s="424" t="s">
        <v>455</v>
      </c>
      <c r="H424" s="32" t="s">
        <v>456</v>
      </c>
      <c r="I424" s="32" t="s">
        <v>291</v>
      </c>
      <c r="J424" s="454">
        <v>41018</v>
      </c>
      <c r="K424" s="32" t="str">
        <f>CHOOSE(WEEKDAY(J424),"Sun","Mon","Tue","Wed","Thu","Fri","Sat")</f>
        <v>Thu</v>
      </c>
      <c r="L424" s="61">
        <v>0.875</v>
      </c>
      <c r="M424" s="32">
        <v>8021</v>
      </c>
      <c r="N424" s="32">
        <v>4.3499999999999996</v>
      </c>
      <c r="O424" s="32">
        <v>423</v>
      </c>
      <c r="P424" s="348" t="str">
        <f t="shared" si="6"/>
        <v>Yes</v>
      </c>
      <c r="Q424" s="360" t="str">
        <f ca="1">VLOOKUP(EpisodeList[[#This Row],[Season Number]], INDIRECT("'" &amp; EpisodeList[[#This Row],[Show]] &amp; " Season Info'!C2:J15"), 8,1)</f>
        <v>2011-12</v>
      </c>
    </row>
    <row r="425" spans="1:17" x14ac:dyDescent="0.2">
      <c r="A425" s="21" t="s">
        <v>859</v>
      </c>
      <c r="B425" s="31" t="s">
        <v>222</v>
      </c>
      <c r="C425" s="31">
        <v>4</v>
      </c>
      <c r="D425" s="31" t="str">
        <f>A425&amp; " S" &amp;C425</f>
        <v>Parks and Rec S4</v>
      </c>
      <c r="E425" s="31">
        <v>65</v>
      </c>
      <c r="F425" s="31">
        <v>19</v>
      </c>
      <c r="G425" s="423" t="s">
        <v>774</v>
      </c>
      <c r="H425" s="31" t="s">
        <v>544</v>
      </c>
      <c r="I425" s="31" t="s">
        <v>775</v>
      </c>
      <c r="J425" s="453">
        <v>41018</v>
      </c>
      <c r="K425" s="31" t="str">
        <f>CHOOSE(WEEKDAY(J425),"Sun","Mon","Tue","Wed","Thu","Fri","Sat")</f>
        <v>Thu</v>
      </c>
      <c r="L425" s="60">
        <v>0.89583333333333326</v>
      </c>
      <c r="M425" s="31"/>
      <c r="N425" s="31">
        <v>3.46</v>
      </c>
      <c r="O425" s="31">
        <v>424</v>
      </c>
      <c r="P425" s="349" t="str">
        <f t="shared" si="6"/>
        <v>Yes</v>
      </c>
      <c r="Q425" s="361" t="str">
        <f ca="1">VLOOKUP(EpisodeList[[#This Row],[Season Number]], INDIRECT("'" &amp; EpisodeList[[#This Row],[Show]] &amp; " Season Info'!C2:J15"), 8,1)</f>
        <v>2011-12</v>
      </c>
    </row>
    <row r="426" spans="1:17" x14ac:dyDescent="0.2">
      <c r="A426" s="25" t="s">
        <v>687</v>
      </c>
      <c r="B426" s="58" t="s">
        <v>221</v>
      </c>
      <c r="C426" s="58">
        <v>3</v>
      </c>
      <c r="D426" s="58" t="str">
        <f>A426&amp; " S" &amp;C426</f>
        <v>Community S3</v>
      </c>
      <c r="E426" s="58">
        <v>66</v>
      </c>
      <c r="F426" s="58">
        <v>17</v>
      </c>
      <c r="G426" s="422" t="s">
        <v>613</v>
      </c>
      <c r="H426" s="58" t="s">
        <v>614</v>
      </c>
      <c r="I426" s="58" t="s">
        <v>562</v>
      </c>
      <c r="J426" s="452">
        <v>41025</v>
      </c>
      <c r="K426" s="58" t="str">
        <f>CHOOSE(WEEKDAY(J426),"Sun","Mon","Tue","Wed","Thu","Fri","Sat")</f>
        <v>Thu</v>
      </c>
      <c r="L426" s="59">
        <v>0.83333333333333326</v>
      </c>
      <c r="M426" s="58">
        <v>317</v>
      </c>
      <c r="N426" s="58">
        <v>3.21</v>
      </c>
      <c r="O426" s="58">
        <v>425</v>
      </c>
      <c r="P426" s="346" t="str">
        <f t="shared" si="6"/>
        <v>Yes</v>
      </c>
      <c r="Q426" s="358" t="str">
        <f ca="1">VLOOKUP(EpisodeList[[#This Row],[Season Number]], INDIRECT("'" &amp; EpisodeList[[#This Row],[Show]] &amp; " Season Info'!C2:J15"), 8,1)</f>
        <v>2011-12</v>
      </c>
    </row>
    <row r="427" spans="1:17" x14ac:dyDescent="0.2">
      <c r="A427" s="15" t="s">
        <v>228</v>
      </c>
      <c r="B427" s="33" t="s">
        <v>224</v>
      </c>
      <c r="C427" s="33">
        <v>6</v>
      </c>
      <c r="D427" s="33" t="str">
        <f>A427&amp; " S" &amp;C427</f>
        <v>30 Rock S6</v>
      </c>
      <c r="E427" s="33">
        <v>122</v>
      </c>
      <c r="F427" s="33">
        <v>19</v>
      </c>
      <c r="G427" s="425" t="s">
        <v>196</v>
      </c>
      <c r="H427" s="33" t="s">
        <v>106</v>
      </c>
      <c r="I427" s="33" t="s">
        <v>85</v>
      </c>
      <c r="J427" s="455">
        <v>41025</v>
      </c>
      <c r="K427" s="33" t="str">
        <f>CHOOSE(WEEKDAY(J427),"Sun","Mon","Tue","Wed","Thu","Fri","Sat")</f>
        <v>Thu</v>
      </c>
      <c r="L427" s="62">
        <v>0.85416666666666674</v>
      </c>
      <c r="M427" s="33">
        <v>619</v>
      </c>
      <c r="N427" s="33">
        <v>3.47</v>
      </c>
      <c r="O427" s="33">
        <v>426</v>
      </c>
      <c r="P427" s="347" t="str">
        <f t="shared" si="6"/>
        <v>Yes</v>
      </c>
      <c r="Q427" s="359" t="str">
        <f ca="1">VLOOKUP(EpisodeList[[#This Row],[Season Number]], INDIRECT("'" &amp; EpisodeList[[#This Row],[Show]] &amp; " Season Info'!C2:J15"), 8,1)</f>
        <v>2011-12</v>
      </c>
    </row>
    <row r="428" spans="1:17" x14ac:dyDescent="0.2">
      <c r="A428" s="9" t="s">
        <v>243</v>
      </c>
      <c r="B428" s="32" t="s">
        <v>226</v>
      </c>
      <c r="C428" s="32">
        <v>8</v>
      </c>
      <c r="D428" s="32" t="str">
        <f>A428&amp; " S" &amp;C428</f>
        <v>The Office S8</v>
      </c>
      <c r="E428" s="32">
        <v>174</v>
      </c>
      <c r="F428" s="32">
        <v>22</v>
      </c>
      <c r="G428" s="424" t="s">
        <v>457</v>
      </c>
      <c r="H428" s="32" t="s">
        <v>339</v>
      </c>
      <c r="I428" s="32" t="s">
        <v>444</v>
      </c>
      <c r="J428" s="454">
        <v>41025</v>
      </c>
      <c r="K428" s="32" t="str">
        <f>CHOOSE(WEEKDAY(J428),"Sun","Mon","Tue","Wed","Thu","Fri","Sat")</f>
        <v>Thu</v>
      </c>
      <c r="L428" s="61">
        <v>0.875</v>
      </c>
      <c r="M428" s="32">
        <v>8022</v>
      </c>
      <c r="N428" s="32">
        <v>4.17</v>
      </c>
      <c r="O428" s="32">
        <v>427</v>
      </c>
      <c r="P428" s="348" t="str">
        <f t="shared" si="6"/>
        <v>Yes</v>
      </c>
      <c r="Q428" s="360" t="str">
        <f ca="1">VLOOKUP(EpisodeList[[#This Row],[Season Number]], INDIRECT("'" &amp; EpisodeList[[#This Row],[Show]] &amp; " Season Info'!C2:J15"), 8,1)</f>
        <v>2011-12</v>
      </c>
    </row>
    <row r="429" spans="1:17" x14ac:dyDescent="0.2">
      <c r="A429" s="21" t="s">
        <v>859</v>
      </c>
      <c r="B429" s="31" t="s">
        <v>222</v>
      </c>
      <c r="C429" s="31">
        <v>4</v>
      </c>
      <c r="D429" s="31" t="str">
        <f>A429&amp; " S" &amp;C429</f>
        <v>Parks and Rec S4</v>
      </c>
      <c r="E429" s="31">
        <v>66</v>
      </c>
      <c r="F429" s="31">
        <v>20</v>
      </c>
      <c r="G429" s="423" t="s">
        <v>779</v>
      </c>
      <c r="H429" s="31" t="s">
        <v>727</v>
      </c>
      <c r="I429" s="31" t="s">
        <v>727</v>
      </c>
      <c r="J429" s="453">
        <v>41025</v>
      </c>
      <c r="K429" s="31" t="str">
        <f>CHOOSE(WEEKDAY(J429),"Sun","Mon","Tue","Wed","Thu","Fri","Sat")</f>
        <v>Thu</v>
      </c>
      <c r="L429" s="60">
        <v>0.89583333333333326</v>
      </c>
      <c r="M429" s="31"/>
      <c r="N429" s="31">
        <v>3.17</v>
      </c>
      <c r="O429" s="31">
        <v>428</v>
      </c>
      <c r="P429" s="349" t="str">
        <f t="shared" si="6"/>
        <v>Yes</v>
      </c>
      <c r="Q429" s="361" t="str">
        <f ca="1">VLOOKUP(EpisodeList[[#This Row],[Season Number]], INDIRECT("'" &amp; EpisodeList[[#This Row],[Show]] &amp; " Season Info'!C2:J15"), 8,1)</f>
        <v>2011-12</v>
      </c>
    </row>
    <row r="430" spans="1:17" x14ac:dyDescent="0.2">
      <c r="A430" s="25" t="s">
        <v>687</v>
      </c>
      <c r="B430" s="58" t="s">
        <v>221</v>
      </c>
      <c r="C430" s="58">
        <v>3</v>
      </c>
      <c r="D430" s="58" t="str">
        <f>A430&amp; " S" &amp;C430</f>
        <v>Community S3</v>
      </c>
      <c r="E430" s="58">
        <v>67</v>
      </c>
      <c r="F430" s="58">
        <v>18</v>
      </c>
      <c r="G430" s="422" t="s">
        <v>615</v>
      </c>
      <c r="H430" s="58" t="s">
        <v>544</v>
      </c>
      <c r="I430" s="58" t="s">
        <v>616</v>
      </c>
      <c r="J430" s="452">
        <v>41032</v>
      </c>
      <c r="K430" s="58" t="str">
        <f>CHOOSE(WEEKDAY(J430),"Sun","Mon","Tue","Wed","Thu","Fri","Sat")</f>
        <v>Thu</v>
      </c>
      <c r="L430" s="59">
        <v>0.83333333333333326</v>
      </c>
      <c r="M430" s="58">
        <v>318</v>
      </c>
      <c r="N430" s="58">
        <v>3.2</v>
      </c>
      <c r="O430" s="58">
        <v>429</v>
      </c>
      <c r="P430" s="346" t="str">
        <f t="shared" si="6"/>
        <v>Yes</v>
      </c>
      <c r="Q430" s="358" t="str">
        <f ca="1">VLOOKUP(EpisodeList[[#This Row],[Season Number]], INDIRECT("'" &amp; EpisodeList[[#This Row],[Show]] &amp; " Season Info'!C2:J15"), 8,1)</f>
        <v>2011-12</v>
      </c>
    </row>
    <row r="431" spans="1:17" x14ac:dyDescent="0.2">
      <c r="A431" s="15" t="s">
        <v>228</v>
      </c>
      <c r="B431" s="33" t="s">
        <v>224</v>
      </c>
      <c r="C431" s="33">
        <v>6</v>
      </c>
      <c r="D431" s="33" t="str">
        <f>A431&amp; " S" &amp;C431</f>
        <v>30 Rock S6</v>
      </c>
      <c r="E431" s="33">
        <v>123</v>
      </c>
      <c r="F431" s="33">
        <v>20</v>
      </c>
      <c r="G431" s="425" t="s">
        <v>197</v>
      </c>
      <c r="H431" s="33" t="s">
        <v>90</v>
      </c>
      <c r="I431" s="33" t="s">
        <v>198</v>
      </c>
      <c r="J431" s="455">
        <v>41032</v>
      </c>
      <c r="K431" s="33" t="str">
        <f>CHOOSE(WEEKDAY(J431),"Sun","Mon","Tue","Wed","Thu","Fri","Sat")</f>
        <v>Thu</v>
      </c>
      <c r="L431" s="62">
        <v>0.85416666666666674</v>
      </c>
      <c r="M431" s="33">
        <v>620</v>
      </c>
      <c r="N431" s="33">
        <v>3.04</v>
      </c>
      <c r="O431" s="33">
        <v>430</v>
      </c>
      <c r="P431" s="347" t="str">
        <f t="shared" si="6"/>
        <v>Yes</v>
      </c>
      <c r="Q431" s="359" t="str">
        <f ca="1">VLOOKUP(EpisodeList[[#This Row],[Season Number]], INDIRECT("'" &amp; EpisodeList[[#This Row],[Show]] &amp; " Season Info'!C2:J15"), 8,1)</f>
        <v>2011-12</v>
      </c>
    </row>
    <row r="432" spans="1:17" x14ac:dyDescent="0.2">
      <c r="A432" s="9" t="s">
        <v>243</v>
      </c>
      <c r="B432" s="32" t="s">
        <v>226</v>
      </c>
      <c r="C432" s="32">
        <v>8</v>
      </c>
      <c r="D432" s="32" t="str">
        <f>A432&amp; " S" &amp;C432</f>
        <v>The Office S8</v>
      </c>
      <c r="E432" s="32">
        <v>175</v>
      </c>
      <c r="F432" s="32">
        <v>23</v>
      </c>
      <c r="G432" s="424" t="s">
        <v>458</v>
      </c>
      <c r="H432" s="32" t="s">
        <v>378</v>
      </c>
      <c r="I432" s="32" t="s">
        <v>364</v>
      </c>
      <c r="J432" s="454">
        <v>41032</v>
      </c>
      <c r="K432" s="32" t="str">
        <f>CHOOSE(WEEKDAY(J432),"Sun","Mon","Tue","Wed","Thu","Fri","Sat")</f>
        <v>Thu</v>
      </c>
      <c r="L432" s="61">
        <v>0.875</v>
      </c>
      <c r="M432" s="32">
        <v>8023</v>
      </c>
      <c r="N432" s="32">
        <v>4.4400000000000004</v>
      </c>
      <c r="O432" s="32">
        <v>431</v>
      </c>
      <c r="P432" s="348" t="str">
        <f t="shared" si="6"/>
        <v>Yes</v>
      </c>
      <c r="Q432" s="360" t="str">
        <f ca="1">VLOOKUP(EpisodeList[[#This Row],[Season Number]], INDIRECT("'" &amp; EpisodeList[[#This Row],[Show]] &amp; " Season Info'!C2:J15"), 8,1)</f>
        <v>2011-12</v>
      </c>
    </row>
    <row r="433" spans="1:17" x14ac:dyDescent="0.2">
      <c r="A433" s="21" t="s">
        <v>859</v>
      </c>
      <c r="B433" s="31" t="s">
        <v>222</v>
      </c>
      <c r="C433" s="31">
        <v>4</v>
      </c>
      <c r="D433" s="31" t="str">
        <f>A433&amp; " S" &amp;C433</f>
        <v>Parks and Rec S4</v>
      </c>
      <c r="E433" s="31">
        <v>67</v>
      </c>
      <c r="F433" s="31">
        <v>21</v>
      </c>
      <c r="G433" s="423" t="s">
        <v>778</v>
      </c>
      <c r="H433" s="31" t="s">
        <v>348</v>
      </c>
      <c r="I433" s="31" t="s">
        <v>776</v>
      </c>
      <c r="J433" s="453">
        <v>41032</v>
      </c>
      <c r="K433" s="31" t="str">
        <f>CHOOSE(WEEKDAY(J433),"Sun","Mon","Tue","Wed","Thu","Fri","Sat")</f>
        <v>Thu</v>
      </c>
      <c r="L433" s="60">
        <v>0.89583333333333326</v>
      </c>
      <c r="M433" s="31"/>
      <c r="N433" s="31">
        <v>3.26</v>
      </c>
      <c r="O433" s="31">
        <v>432</v>
      </c>
      <c r="P433" s="349" t="str">
        <f t="shared" si="6"/>
        <v>Yes</v>
      </c>
      <c r="Q433" s="361" t="str">
        <f ca="1">VLOOKUP(EpisodeList[[#This Row],[Season Number]], INDIRECT("'" &amp; EpisodeList[[#This Row],[Show]] &amp; " Season Info'!C2:J15"), 8,1)</f>
        <v>2011-12</v>
      </c>
    </row>
    <row r="434" spans="1:17" x14ac:dyDescent="0.2">
      <c r="A434" s="25" t="s">
        <v>687</v>
      </c>
      <c r="B434" s="58" t="s">
        <v>221</v>
      </c>
      <c r="C434" s="58">
        <v>3</v>
      </c>
      <c r="D434" s="58" t="str">
        <f>A434&amp; " S" &amp;C434</f>
        <v>Community S3</v>
      </c>
      <c r="E434" s="58">
        <v>68</v>
      </c>
      <c r="F434" s="58">
        <v>19</v>
      </c>
      <c r="G434" s="422" t="s">
        <v>617</v>
      </c>
      <c r="H434" s="58" t="s">
        <v>530</v>
      </c>
      <c r="I434" s="58" t="s">
        <v>560</v>
      </c>
      <c r="J434" s="452">
        <v>41039</v>
      </c>
      <c r="K434" s="58" t="str">
        <f>CHOOSE(WEEKDAY(J434),"Sun","Mon","Tue","Wed","Thu","Fri","Sat")</f>
        <v>Thu</v>
      </c>
      <c r="L434" s="59">
        <v>0.83333333333333326</v>
      </c>
      <c r="M434" s="58">
        <v>319</v>
      </c>
      <c r="N434" s="58">
        <v>2.99</v>
      </c>
      <c r="O434" s="58">
        <v>433</v>
      </c>
      <c r="P434" s="346" t="str">
        <f t="shared" si="6"/>
        <v>Yes</v>
      </c>
      <c r="Q434" s="358" t="str">
        <f ca="1">VLOOKUP(EpisodeList[[#This Row],[Season Number]], INDIRECT("'" &amp; EpisodeList[[#This Row],[Show]] &amp; " Season Info'!C2:J15"), 8,1)</f>
        <v>2011-12</v>
      </c>
    </row>
    <row r="435" spans="1:17" x14ac:dyDescent="0.2">
      <c r="A435" s="15" t="s">
        <v>228</v>
      </c>
      <c r="B435" s="33" t="s">
        <v>224</v>
      </c>
      <c r="C435" s="33">
        <v>6</v>
      </c>
      <c r="D435" s="33" t="str">
        <f>A435&amp; " S" &amp;C435</f>
        <v>30 Rock S6</v>
      </c>
      <c r="E435" s="33">
        <v>124</v>
      </c>
      <c r="F435" s="33">
        <v>21</v>
      </c>
      <c r="G435" s="425" t="s">
        <v>199</v>
      </c>
      <c r="H435" s="33" t="s">
        <v>12</v>
      </c>
      <c r="I435" s="33" t="s">
        <v>176</v>
      </c>
      <c r="J435" s="455">
        <v>41039</v>
      </c>
      <c r="K435" s="33" t="str">
        <f>CHOOSE(WEEKDAY(J435),"Sun","Mon","Tue","Wed","Thu","Fri","Sat")</f>
        <v>Thu</v>
      </c>
      <c r="L435" s="62">
        <v>0.85416666666666674</v>
      </c>
      <c r="M435" s="33">
        <v>621</v>
      </c>
      <c r="N435" s="33">
        <v>2.92</v>
      </c>
      <c r="O435" s="33">
        <v>434</v>
      </c>
      <c r="P435" s="347" t="str">
        <f t="shared" si="6"/>
        <v>Yes</v>
      </c>
      <c r="Q435" s="359" t="str">
        <f ca="1">VLOOKUP(EpisodeList[[#This Row],[Season Number]], INDIRECT("'" &amp; EpisodeList[[#This Row],[Show]] &amp; " Season Info'!C2:J15"), 8,1)</f>
        <v>2011-12</v>
      </c>
    </row>
    <row r="436" spans="1:17" x14ac:dyDescent="0.2">
      <c r="A436" s="9" t="s">
        <v>243</v>
      </c>
      <c r="B436" s="32" t="s">
        <v>226</v>
      </c>
      <c r="C436" s="32">
        <v>8</v>
      </c>
      <c r="D436" s="32" t="str">
        <f>A436&amp; " S" &amp;C436</f>
        <v>The Office S8</v>
      </c>
      <c r="E436" s="32">
        <v>176</v>
      </c>
      <c r="F436" s="32">
        <v>24</v>
      </c>
      <c r="G436" s="424" t="s">
        <v>459</v>
      </c>
      <c r="H436" s="32" t="s">
        <v>232</v>
      </c>
      <c r="I436" s="32" t="s">
        <v>232</v>
      </c>
      <c r="J436" s="454">
        <v>41039</v>
      </c>
      <c r="K436" s="32" t="str">
        <f>CHOOSE(WEEKDAY(J436),"Sun","Mon","Tue","Wed","Thu","Fri","Sat")</f>
        <v>Thu</v>
      </c>
      <c r="L436" s="61">
        <v>0.875</v>
      </c>
      <c r="M436" s="32">
        <v>8024</v>
      </c>
      <c r="N436" s="32">
        <v>4.49</v>
      </c>
      <c r="O436" s="32">
        <v>435</v>
      </c>
      <c r="P436" s="348" t="str">
        <f t="shared" si="6"/>
        <v>Yes</v>
      </c>
      <c r="Q436" s="360" t="str">
        <f ca="1">VLOOKUP(EpisodeList[[#This Row],[Season Number]], INDIRECT("'" &amp; EpisodeList[[#This Row],[Show]] &amp; " Season Info'!C2:J15"), 8,1)</f>
        <v>2011-12</v>
      </c>
    </row>
    <row r="437" spans="1:17" x14ac:dyDescent="0.2">
      <c r="A437" s="21" t="s">
        <v>859</v>
      </c>
      <c r="B437" s="31" t="s">
        <v>222</v>
      </c>
      <c r="C437" s="31">
        <v>4</v>
      </c>
      <c r="D437" s="31" t="str">
        <f>A437&amp; " S" &amp;C437</f>
        <v>Parks and Rec S4</v>
      </c>
      <c r="E437" s="31">
        <v>68</v>
      </c>
      <c r="F437" s="31">
        <v>22</v>
      </c>
      <c r="G437" s="423" t="s">
        <v>777</v>
      </c>
      <c r="H437" s="31" t="s">
        <v>237</v>
      </c>
      <c r="I437" s="31" t="s">
        <v>237</v>
      </c>
      <c r="J437" s="453">
        <v>41039</v>
      </c>
      <c r="K437" s="31" t="str">
        <f>CHOOSE(WEEKDAY(J437),"Sun","Mon","Tue","Wed","Thu","Fri","Sat")</f>
        <v>Thu</v>
      </c>
      <c r="L437" s="60">
        <v>0.89583333333333326</v>
      </c>
      <c r="M437" s="31"/>
      <c r="N437" s="31">
        <v>3.42</v>
      </c>
      <c r="O437" s="31">
        <v>436</v>
      </c>
      <c r="P437" s="349" t="str">
        <f t="shared" si="6"/>
        <v>Yes</v>
      </c>
      <c r="Q437" s="361" t="str">
        <f ca="1">VLOOKUP(EpisodeList[[#This Row],[Season Number]], INDIRECT("'" &amp; EpisodeList[[#This Row],[Show]] &amp; " Season Info'!C2:J15"), 8,1)</f>
        <v>2011-12</v>
      </c>
    </row>
    <row r="438" spans="1:17" x14ac:dyDescent="0.2">
      <c r="A438" s="25" t="s">
        <v>687</v>
      </c>
      <c r="B438" s="58" t="s">
        <v>221</v>
      </c>
      <c r="C438" s="58">
        <v>3</v>
      </c>
      <c r="D438" s="58" t="str">
        <f>A438&amp; " S" &amp;C438</f>
        <v>Community S3</v>
      </c>
      <c r="E438" s="58">
        <v>69</v>
      </c>
      <c r="F438" s="58">
        <v>20</v>
      </c>
      <c r="G438" s="422" t="s">
        <v>618</v>
      </c>
      <c r="H438" s="58" t="s">
        <v>530</v>
      </c>
      <c r="I438" s="58" t="s">
        <v>619</v>
      </c>
      <c r="J438" s="452">
        <v>41046</v>
      </c>
      <c r="K438" s="58" t="str">
        <f>CHOOSE(WEEKDAY(J438),"Sun","Mon","Tue","Wed","Thu","Fri","Sat")</f>
        <v>Thu</v>
      </c>
      <c r="L438" s="59">
        <v>0.83333333333333326</v>
      </c>
      <c r="M438" s="58">
        <v>322</v>
      </c>
      <c r="N438" s="58">
        <v>2.97</v>
      </c>
      <c r="O438" s="58">
        <v>437</v>
      </c>
      <c r="P438" s="346" t="str">
        <f t="shared" si="6"/>
        <v/>
      </c>
      <c r="Q438" s="358" t="str">
        <f ca="1">VLOOKUP(EpisodeList[[#This Row],[Season Number]], INDIRECT("'" &amp; EpisodeList[[#This Row],[Show]] &amp; " Season Info'!C2:J15"), 8,1)</f>
        <v>2011-12</v>
      </c>
    </row>
    <row r="439" spans="1:17" x14ac:dyDescent="0.2">
      <c r="A439" s="15" t="s">
        <v>228</v>
      </c>
      <c r="B439" s="33" t="s">
        <v>224</v>
      </c>
      <c r="C439" s="33">
        <v>6</v>
      </c>
      <c r="D439" s="33" t="str">
        <f>A439&amp; " S" &amp;C439</f>
        <v>30 Rock S6</v>
      </c>
      <c r="E439" s="33">
        <v>125</v>
      </c>
      <c r="F439" s="33">
        <v>22</v>
      </c>
      <c r="G439" s="425" t="s">
        <v>200</v>
      </c>
      <c r="H439" s="33" t="s">
        <v>26</v>
      </c>
      <c r="I439" s="33" t="s">
        <v>29</v>
      </c>
      <c r="J439" s="455">
        <v>41046</v>
      </c>
      <c r="K439" s="33" t="str">
        <f>CHOOSE(WEEKDAY(J439),"Sun","Mon","Tue","Wed","Thu","Fri","Sat")</f>
        <v>Thu</v>
      </c>
      <c r="L439" s="62">
        <v>0.85416666666666674</v>
      </c>
      <c r="M439" s="33">
        <v>622</v>
      </c>
      <c r="N439" s="33">
        <v>2.84</v>
      </c>
      <c r="O439" s="33">
        <v>438</v>
      </c>
      <c r="P439" s="347" t="str">
        <f t="shared" si="6"/>
        <v/>
      </c>
      <c r="Q439" s="359" t="str">
        <f ca="1">VLOOKUP(EpisodeList[[#This Row],[Season Number]], INDIRECT("'" &amp; EpisodeList[[#This Row],[Show]] &amp; " Season Info'!C2:J15"), 8,1)</f>
        <v>2011-12</v>
      </c>
    </row>
    <row r="440" spans="1:17" x14ac:dyDescent="0.2">
      <c r="A440" s="25" t="s">
        <v>687</v>
      </c>
      <c r="B440" s="58" t="s">
        <v>221</v>
      </c>
      <c r="C440" s="58">
        <v>3</v>
      </c>
      <c r="D440" s="58" t="str">
        <f>A440&amp; " S" &amp;C440</f>
        <v>Community S3</v>
      </c>
      <c r="E440" s="58">
        <v>70</v>
      </c>
      <c r="F440" s="58">
        <v>21</v>
      </c>
      <c r="G440" s="422" t="s">
        <v>620</v>
      </c>
      <c r="H440" s="58" t="s">
        <v>565</v>
      </c>
      <c r="I440" s="58" t="s">
        <v>621</v>
      </c>
      <c r="J440" s="452">
        <v>41046</v>
      </c>
      <c r="K440" s="58" t="str">
        <f>CHOOSE(WEEKDAY(J440),"Sun","Mon","Tue","Wed","Thu","Fri","Sat")</f>
        <v>Thu</v>
      </c>
      <c r="L440" s="59">
        <v>0.875</v>
      </c>
      <c r="M440" s="58">
        <v>320</v>
      </c>
      <c r="N440" s="58">
        <v>2.61</v>
      </c>
      <c r="O440" s="58">
        <v>439</v>
      </c>
      <c r="P440" s="346" t="str">
        <f t="shared" si="6"/>
        <v/>
      </c>
      <c r="Q440" s="358" t="str">
        <f ca="1">VLOOKUP(EpisodeList[[#This Row],[Season Number]], INDIRECT("'" &amp; EpisodeList[[#This Row],[Show]] &amp; " Season Info'!C2:J15"), 8,1)</f>
        <v>2011-12</v>
      </c>
    </row>
    <row r="441" spans="1:17" x14ac:dyDescent="0.2">
      <c r="A441" s="25" t="s">
        <v>687</v>
      </c>
      <c r="B441" s="58" t="s">
        <v>221</v>
      </c>
      <c r="C441" s="58">
        <v>3</v>
      </c>
      <c r="D441" s="58" t="str">
        <f>A441&amp; " S" &amp;C441</f>
        <v>Community S3</v>
      </c>
      <c r="E441" s="58">
        <v>71</v>
      </c>
      <c r="F441" s="58">
        <v>22</v>
      </c>
      <c r="G441" s="422" t="s">
        <v>622</v>
      </c>
      <c r="H441" s="58" t="s">
        <v>544</v>
      </c>
      <c r="I441" s="58" t="s">
        <v>601</v>
      </c>
      <c r="J441" s="452">
        <v>41046</v>
      </c>
      <c r="K441" s="58" t="str">
        <f>CHOOSE(WEEKDAY(J441),"Sun","Mon","Tue","Wed","Thu","Fri","Sat")</f>
        <v>Thu</v>
      </c>
      <c r="L441" s="59">
        <v>0.89583333333333337</v>
      </c>
      <c r="M441" s="58">
        <v>321</v>
      </c>
      <c r="N441" s="58">
        <v>2.48</v>
      </c>
      <c r="O441" s="58">
        <v>440</v>
      </c>
      <c r="P441" s="346" t="str">
        <f t="shared" si="6"/>
        <v/>
      </c>
      <c r="Q441" s="358" t="str">
        <f ca="1">VLOOKUP(EpisodeList[[#This Row],[Season Number]], INDIRECT("'" &amp; EpisodeList[[#This Row],[Show]] &amp; " Season Info'!C2:J15"), 8,1)</f>
        <v>2011-12</v>
      </c>
    </row>
    <row r="442" spans="1:17" x14ac:dyDescent="0.2">
      <c r="A442" s="9" t="s">
        <v>243</v>
      </c>
      <c r="B442" s="34" t="s">
        <v>227</v>
      </c>
      <c r="C442" s="34">
        <v>9</v>
      </c>
      <c r="D442" s="34" t="str">
        <f>A442&amp; " S" &amp;C442</f>
        <v>The Office S9</v>
      </c>
      <c r="E442" s="34">
        <v>177</v>
      </c>
      <c r="F442" s="34">
        <v>1</v>
      </c>
      <c r="G442" s="426" t="s">
        <v>460</v>
      </c>
      <c r="H442" s="34" t="s">
        <v>239</v>
      </c>
      <c r="I442" s="34" t="s">
        <v>239</v>
      </c>
      <c r="J442" s="456">
        <v>41172</v>
      </c>
      <c r="K442" s="34" t="str">
        <f>CHOOSE(WEEKDAY(J442),"Sun","Mon","Tue","Wed","Thu","Fri","Sat")</f>
        <v>Thu</v>
      </c>
      <c r="L442" s="63">
        <v>0.875</v>
      </c>
      <c r="M442" s="34">
        <v>9001</v>
      </c>
      <c r="N442" s="34">
        <v>4.28</v>
      </c>
      <c r="O442" s="34">
        <v>441</v>
      </c>
      <c r="P442" s="378" t="str">
        <f t="shared" si="6"/>
        <v/>
      </c>
      <c r="Q442" s="397" t="str">
        <f ca="1">VLOOKUP(EpisodeList[[#This Row],[Season Number]], INDIRECT("'" &amp; EpisodeList[[#This Row],[Show]] &amp; " Season Info'!C2:J15"), 8,1)</f>
        <v>2012-13</v>
      </c>
    </row>
    <row r="443" spans="1:17" x14ac:dyDescent="0.2">
      <c r="A443" s="21" t="s">
        <v>859</v>
      </c>
      <c r="B443" s="35" t="s">
        <v>223</v>
      </c>
      <c r="C443" s="35">
        <v>5</v>
      </c>
      <c r="D443" s="35" t="str">
        <f>A443&amp; " S" &amp;C443</f>
        <v>Parks and Rec S5</v>
      </c>
      <c r="E443" s="35">
        <v>69</v>
      </c>
      <c r="F443" s="35">
        <v>1</v>
      </c>
      <c r="G443" s="427" t="s">
        <v>781</v>
      </c>
      <c r="H443" s="35" t="s">
        <v>348</v>
      </c>
      <c r="I443" s="35" t="s">
        <v>709</v>
      </c>
      <c r="J443" s="457">
        <v>41172</v>
      </c>
      <c r="K443" s="35" t="str">
        <f>CHOOSE(WEEKDAY(J443),"Sun","Mon","Tue","Wed","Thu","Fri","Sat")</f>
        <v>Thu</v>
      </c>
      <c r="L443" s="64">
        <v>0.89583333333333326</v>
      </c>
      <c r="M443" s="35"/>
      <c r="N443" s="35">
        <v>3.5</v>
      </c>
      <c r="O443" s="35">
        <v>442</v>
      </c>
      <c r="P443" s="379" t="str">
        <f t="shared" si="6"/>
        <v/>
      </c>
      <c r="Q443" s="398" t="str">
        <f ca="1">VLOOKUP(EpisodeList[[#This Row],[Season Number]], INDIRECT("'" &amp; EpisodeList[[#This Row],[Show]] &amp; " Season Info'!C2:J15"), 8,1)</f>
        <v>2012-13</v>
      </c>
    </row>
    <row r="444" spans="1:17" x14ac:dyDescent="0.2">
      <c r="A444" s="9" t="s">
        <v>243</v>
      </c>
      <c r="B444" s="34" t="s">
        <v>227</v>
      </c>
      <c r="C444" s="34">
        <v>9</v>
      </c>
      <c r="D444" s="34" t="str">
        <f>A444&amp; " S" &amp;C444</f>
        <v>The Office S9</v>
      </c>
      <c r="E444" s="34">
        <v>178</v>
      </c>
      <c r="F444" s="34">
        <v>2</v>
      </c>
      <c r="G444" s="426" t="s">
        <v>461</v>
      </c>
      <c r="H444" s="34" t="s">
        <v>390</v>
      </c>
      <c r="I444" s="34" t="s">
        <v>436</v>
      </c>
      <c r="J444" s="456">
        <v>41179</v>
      </c>
      <c r="K444" s="34" t="str">
        <f>CHOOSE(WEEKDAY(J444),"Sun","Mon","Tue","Wed","Thu","Fri","Sat")</f>
        <v>Thu</v>
      </c>
      <c r="L444" s="63">
        <v>0.875</v>
      </c>
      <c r="M444" s="34">
        <v>9002</v>
      </c>
      <c r="N444" s="34">
        <v>4.13</v>
      </c>
      <c r="O444" s="34">
        <v>443</v>
      </c>
      <c r="P444" s="378" t="str">
        <f t="shared" si="6"/>
        <v/>
      </c>
      <c r="Q444" s="397" t="str">
        <f ca="1">VLOOKUP(EpisodeList[[#This Row],[Season Number]], INDIRECT("'" &amp; EpisodeList[[#This Row],[Show]] &amp; " Season Info'!C2:J15"), 8,1)</f>
        <v>2012-13</v>
      </c>
    </row>
    <row r="445" spans="1:17" x14ac:dyDescent="0.2">
      <c r="A445" s="21" t="s">
        <v>859</v>
      </c>
      <c r="B445" s="35" t="s">
        <v>223</v>
      </c>
      <c r="C445" s="35">
        <v>5</v>
      </c>
      <c r="D445" s="35" t="str">
        <f>A445&amp; " S" &amp;C445</f>
        <v>Parks and Rec S5</v>
      </c>
      <c r="E445" s="35">
        <v>70</v>
      </c>
      <c r="F445" s="35">
        <v>2</v>
      </c>
      <c r="G445" s="427" t="s">
        <v>782</v>
      </c>
      <c r="H445" s="35" t="s">
        <v>603</v>
      </c>
      <c r="I445" s="35" t="s">
        <v>698</v>
      </c>
      <c r="J445" s="457">
        <v>41179</v>
      </c>
      <c r="K445" s="35" t="str">
        <f>CHOOSE(WEEKDAY(J445),"Sun","Mon","Tue","Wed","Thu","Fri","Sat")</f>
        <v>Thu</v>
      </c>
      <c r="L445" s="64">
        <v>0.89583333333333326</v>
      </c>
      <c r="M445" s="35"/>
      <c r="N445" s="35">
        <v>3.27</v>
      </c>
      <c r="O445" s="35">
        <v>444</v>
      </c>
      <c r="P445" s="379" t="str">
        <f t="shared" si="6"/>
        <v/>
      </c>
      <c r="Q445" s="398" t="str">
        <f ca="1">VLOOKUP(EpisodeList[[#This Row],[Season Number]], INDIRECT("'" &amp; EpisodeList[[#This Row],[Show]] &amp; " Season Info'!C2:J15"), 8,1)</f>
        <v>2012-13</v>
      </c>
    </row>
    <row r="446" spans="1:17" x14ac:dyDescent="0.2">
      <c r="A446" s="15" t="s">
        <v>228</v>
      </c>
      <c r="B446" s="36" t="s">
        <v>225</v>
      </c>
      <c r="C446" s="36">
        <v>7</v>
      </c>
      <c r="D446" s="36" t="str">
        <f>A446&amp; " S" &amp;C446</f>
        <v>30 Rock S7</v>
      </c>
      <c r="E446" s="36">
        <v>126</v>
      </c>
      <c r="F446" s="36">
        <v>1</v>
      </c>
      <c r="G446" s="428" t="s">
        <v>201</v>
      </c>
      <c r="H446" s="36" t="s">
        <v>17</v>
      </c>
      <c r="I446" s="36" t="s">
        <v>20</v>
      </c>
      <c r="J446" s="458">
        <v>41186</v>
      </c>
      <c r="K446" s="36" t="str">
        <f>CHOOSE(WEEKDAY(J446),"Sun","Mon","Tue","Wed","Thu","Fri","Sat")</f>
        <v>Thu</v>
      </c>
      <c r="L446" s="65">
        <v>0.83333333333333326</v>
      </c>
      <c r="M446" s="36">
        <v>701</v>
      </c>
      <c r="N446" s="36">
        <v>3.46</v>
      </c>
      <c r="O446" s="36">
        <v>445</v>
      </c>
      <c r="P446" s="380" t="str">
        <f t="shared" si="6"/>
        <v/>
      </c>
      <c r="Q446" s="399" t="str">
        <f ca="1">VLOOKUP(EpisodeList[[#This Row],[Season Number]], INDIRECT("'" &amp; EpisodeList[[#This Row],[Show]] &amp; " Season Info'!C2:J15"), 8,1)</f>
        <v>2012-13</v>
      </c>
    </row>
    <row r="447" spans="1:17" x14ac:dyDescent="0.2">
      <c r="A447" s="9" t="s">
        <v>243</v>
      </c>
      <c r="B447" s="34" t="s">
        <v>227</v>
      </c>
      <c r="C447" s="34">
        <v>9</v>
      </c>
      <c r="D447" s="34" t="str">
        <f>A447&amp; " S" &amp;C447</f>
        <v>The Office S9</v>
      </c>
      <c r="E447" s="34">
        <v>179</v>
      </c>
      <c r="F447" s="34">
        <v>3</v>
      </c>
      <c r="G447" s="426" t="s">
        <v>462</v>
      </c>
      <c r="H447" s="34" t="s">
        <v>339</v>
      </c>
      <c r="I447" s="34" t="s">
        <v>463</v>
      </c>
      <c r="J447" s="456">
        <v>41186</v>
      </c>
      <c r="K447" s="34" t="str">
        <f>CHOOSE(WEEKDAY(J447),"Sun","Mon","Tue","Wed","Thu","Fri","Sat")</f>
        <v>Thu</v>
      </c>
      <c r="L447" s="63">
        <v>0.875</v>
      </c>
      <c r="M447" s="34">
        <v>9003</v>
      </c>
      <c r="N447" s="34">
        <v>4.1399999999999997</v>
      </c>
      <c r="O447" s="34">
        <v>446</v>
      </c>
      <c r="P447" s="378" t="str">
        <f t="shared" si="6"/>
        <v/>
      </c>
      <c r="Q447" s="397" t="str">
        <f ca="1">VLOOKUP(EpisodeList[[#This Row],[Season Number]], INDIRECT("'" &amp; EpisodeList[[#This Row],[Show]] &amp; " Season Info'!C2:J15"), 8,1)</f>
        <v>2012-13</v>
      </c>
    </row>
    <row r="448" spans="1:17" x14ac:dyDescent="0.2">
      <c r="A448" s="21" t="s">
        <v>859</v>
      </c>
      <c r="B448" s="35" t="s">
        <v>223</v>
      </c>
      <c r="C448" s="35">
        <v>5</v>
      </c>
      <c r="D448" s="35" t="str">
        <f>A448&amp; " S" &amp;C448</f>
        <v>Parks and Rec S5</v>
      </c>
      <c r="E448" s="35">
        <v>71</v>
      </c>
      <c r="F448" s="35">
        <v>3</v>
      </c>
      <c r="G448" s="427" t="s">
        <v>783</v>
      </c>
      <c r="H448" s="35" t="s">
        <v>90</v>
      </c>
      <c r="I448" s="35" t="s">
        <v>692</v>
      </c>
      <c r="J448" s="457">
        <v>41186</v>
      </c>
      <c r="K448" s="35" t="str">
        <f>CHOOSE(WEEKDAY(J448),"Sun","Mon","Tue","Wed","Thu","Fri","Sat")</f>
        <v>Thu</v>
      </c>
      <c r="L448" s="64">
        <v>0.89583333333333326</v>
      </c>
      <c r="M448" s="35"/>
      <c r="N448" s="35">
        <v>3.53</v>
      </c>
      <c r="O448" s="35">
        <v>447</v>
      </c>
      <c r="P448" s="379" t="str">
        <f t="shared" si="6"/>
        <v/>
      </c>
      <c r="Q448" s="398" t="str">
        <f ca="1">VLOOKUP(EpisodeList[[#This Row],[Season Number]], INDIRECT("'" &amp; EpisodeList[[#This Row],[Show]] &amp; " Season Info'!C2:J15"), 8,1)</f>
        <v>2012-13</v>
      </c>
    </row>
    <row r="449" spans="1:17" x14ac:dyDescent="0.2">
      <c r="A449" s="15" t="s">
        <v>228</v>
      </c>
      <c r="B449" s="36" t="s">
        <v>225</v>
      </c>
      <c r="C449" s="36">
        <v>7</v>
      </c>
      <c r="D449" s="36" t="str">
        <f>A449&amp; " S" &amp;C449</f>
        <v>30 Rock S7</v>
      </c>
      <c r="E449" s="36">
        <v>127</v>
      </c>
      <c r="F449" s="36">
        <v>2</v>
      </c>
      <c r="G449" s="428" t="s">
        <v>202</v>
      </c>
      <c r="H449" s="36" t="s">
        <v>15</v>
      </c>
      <c r="I449" s="36" t="s">
        <v>15</v>
      </c>
      <c r="J449" s="458">
        <v>41193</v>
      </c>
      <c r="K449" s="36" t="str">
        <f>CHOOSE(WEEKDAY(J449),"Sun","Mon","Tue","Wed","Thu","Fri","Sat")</f>
        <v>Thu</v>
      </c>
      <c r="L449" s="65">
        <v>0.83333333333333326</v>
      </c>
      <c r="M449" s="36">
        <v>702</v>
      </c>
      <c r="N449" s="36">
        <v>3.4</v>
      </c>
      <c r="O449" s="36">
        <v>448</v>
      </c>
      <c r="P449" s="380" t="str">
        <f t="shared" si="6"/>
        <v/>
      </c>
      <c r="Q449" s="399" t="str">
        <f ca="1">VLOOKUP(EpisodeList[[#This Row],[Season Number]], INDIRECT("'" &amp; EpisodeList[[#This Row],[Show]] &amp; " Season Info'!C2:J15"), 8,1)</f>
        <v>2012-13</v>
      </c>
    </row>
    <row r="450" spans="1:17" x14ac:dyDescent="0.2">
      <c r="A450" s="15" t="s">
        <v>228</v>
      </c>
      <c r="B450" s="36" t="s">
        <v>225</v>
      </c>
      <c r="C450" s="36">
        <v>7</v>
      </c>
      <c r="D450" s="36" t="str">
        <f>A450&amp; " S" &amp;C450</f>
        <v>30 Rock S7</v>
      </c>
      <c r="E450" s="36">
        <v>128</v>
      </c>
      <c r="F450" s="36">
        <v>3</v>
      </c>
      <c r="G450" s="428" t="s">
        <v>203</v>
      </c>
      <c r="H450" s="36" t="s">
        <v>26</v>
      </c>
      <c r="I450" s="36" t="s">
        <v>9</v>
      </c>
      <c r="J450" s="458">
        <v>41200</v>
      </c>
      <c r="K450" s="36" t="str">
        <f>CHOOSE(WEEKDAY(J450),"Sun","Mon","Tue","Wed","Thu","Fri","Sat")</f>
        <v>Thu</v>
      </c>
      <c r="L450" s="65">
        <v>0.83333333333333326</v>
      </c>
      <c r="M450" s="36">
        <v>703</v>
      </c>
      <c r="N450" s="36">
        <v>3.04</v>
      </c>
      <c r="O450" s="36">
        <v>449</v>
      </c>
      <c r="P450" s="380" t="str">
        <f t="shared" ref="P450:P513" si="7">IF(AND(
    COUNTIFS(A:A, A450, J:J, J450) = 1,
    COUNTIFS(A:A, "30 Rock", J:J, J450) = 1,
    COUNTIFS(A:A, "The Office", J:J, J450) = 1,
    COUNTIFS(A:A, "Community", J:J, J450) = 1,
    COUNTIFS(A:A, "Parks and Rec", J:J, J450) = 1
), "Yes", "")</f>
        <v/>
      </c>
      <c r="Q450" s="399" t="str">
        <f ca="1">VLOOKUP(EpisodeList[[#This Row],[Season Number]], INDIRECT("'" &amp; EpisodeList[[#This Row],[Show]] &amp; " Season Info'!C2:J15"), 8,1)</f>
        <v>2012-13</v>
      </c>
    </row>
    <row r="451" spans="1:17" x14ac:dyDescent="0.2">
      <c r="A451" s="9" t="s">
        <v>243</v>
      </c>
      <c r="B451" s="34" t="s">
        <v>227</v>
      </c>
      <c r="C451" s="34">
        <v>9</v>
      </c>
      <c r="D451" s="34" t="str">
        <f>A451&amp; " S" &amp;C451</f>
        <v>The Office S9</v>
      </c>
      <c r="E451" s="34">
        <v>180</v>
      </c>
      <c r="F451" s="34">
        <v>4</v>
      </c>
      <c r="G451" s="426" t="s">
        <v>464</v>
      </c>
      <c r="H451" s="34" t="s">
        <v>465</v>
      </c>
      <c r="I451" s="34" t="s">
        <v>284</v>
      </c>
      <c r="J451" s="456">
        <v>41200</v>
      </c>
      <c r="K451" s="34" t="str">
        <f>CHOOSE(WEEKDAY(J451),"Sun","Mon","Tue","Wed","Thu","Fri","Sat")</f>
        <v>Thu</v>
      </c>
      <c r="L451" s="63">
        <v>0.875</v>
      </c>
      <c r="M451" s="34">
        <v>9004</v>
      </c>
      <c r="N451" s="34">
        <v>4.28</v>
      </c>
      <c r="O451" s="34">
        <v>450</v>
      </c>
      <c r="P451" s="378" t="str">
        <f t="shared" si="7"/>
        <v/>
      </c>
      <c r="Q451" s="397" t="str">
        <f ca="1">VLOOKUP(EpisodeList[[#This Row],[Season Number]], INDIRECT("'" &amp; EpisodeList[[#This Row],[Show]] &amp; " Season Info'!C2:J15"), 8,1)</f>
        <v>2012-13</v>
      </c>
    </row>
    <row r="452" spans="1:17" x14ac:dyDescent="0.2">
      <c r="A452" s="21" t="s">
        <v>859</v>
      </c>
      <c r="B452" s="35" t="s">
        <v>223</v>
      </c>
      <c r="C452" s="35">
        <v>5</v>
      </c>
      <c r="D452" s="35" t="str">
        <f>A452&amp; " S" &amp;C452</f>
        <v>Parks and Rec S5</v>
      </c>
      <c r="E452" s="35">
        <v>72</v>
      </c>
      <c r="F452" s="35">
        <v>4</v>
      </c>
      <c r="G452" s="427" t="s">
        <v>784</v>
      </c>
      <c r="H452" s="35" t="s">
        <v>314</v>
      </c>
      <c r="I452" s="35" t="s">
        <v>695</v>
      </c>
      <c r="J452" s="457">
        <v>41200</v>
      </c>
      <c r="K452" s="35" t="str">
        <f>CHOOSE(WEEKDAY(J452),"Sun","Mon","Tue","Wed","Thu","Fri","Sat")</f>
        <v>Thu</v>
      </c>
      <c r="L452" s="64">
        <v>0.89583333333333326</v>
      </c>
      <c r="M452" s="35"/>
      <c r="N452" s="35">
        <v>3.46</v>
      </c>
      <c r="O452" s="35">
        <v>451</v>
      </c>
      <c r="P452" s="379" t="str">
        <f t="shared" si="7"/>
        <v/>
      </c>
      <c r="Q452" s="398" t="str">
        <f ca="1">VLOOKUP(EpisodeList[[#This Row],[Season Number]], INDIRECT("'" &amp; EpisodeList[[#This Row],[Show]] &amp; " Season Info'!C2:J15"), 8,1)</f>
        <v>2012-13</v>
      </c>
    </row>
    <row r="453" spans="1:17" x14ac:dyDescent="0.2">
      <c r="A453" s="15" t="s">
        <v>228</v>
      </c>
      <c r="B453" s="36" t="s">
        <v>225</v>
      </c>
      <c r="C453" s="36">
        <v>7</v>
      </c>
      <c r="D453" s="36" t="str">
        <f>A453&amp; " S" &amp;C453</f>
        <v>30 Rock S7</v>
      </c>
      <c r="E453" s="36">
        <v>129</v>
      </c>
      <c r="F453" s="36">
        <v>4</v>
      </c>
      <c r="G453" s="428" t="s">
        <v>204</v>
      </c>
      <c r="H453" s="36" t="s">
        <v>205</v>
      </c>
      <c r="I453" s="36" t="s">
        <v>29</v>
      </c>
      <c r="J453" s="458">
        <v>41207</v>
      </c>
      <c r="K453" s="36" t="str">
        <f>CHOOSE(WEEKDAY(J453),"Sun","Mon","Tue","Wed","Thu","Fri","Sat")</f>
        <v>Thu</v>
      </c>
      <c r="L453" s="65">
        <v>0.83333333333333326</v>
      </c>
      <c r="M453" s="36">
        <v>704</v>
      </c>
      <c r="N453" s="36">
        <v>3.13</v>
      </c>
      <c r="O453" s="36">
        <v>452</v>
      </c>
      <c r="P453" s="380" t="str">
        <f t="shared" si="7"/>
        <v/>
      </c>
      <c r="Q453" s="399" t="str">
        <f ca="1">VLOOKUP(EpisodeList[[#This Row],[Season Number]], INDIRECT("'" &amp; EpisodeList[[#This Row],[Show]] &amp; " Season Info'!C2:J15"), 8,1)</f>
        <v>2012-13</v>
      </c>
    </row>
    <row r="454" spans="1:17" x14ac:dyDescent="0.2">
      <c r="A454" s="9" t="s">
        <v>243</v>
      </c>
      <c r="B454" s="34" t="s">
        <v>227</v>
      </c>
      <c r="C454" s="34">
        <v>9</v>
      </c>
      <c r="D454" s="34" t="str">
        <f>A454&amp; " S" &amp;C454</f>
        <v>The Office S9</v>
      </c>
      <c r="E454" s="34">
        <v>181</v>
      </c>
      <c r="F454" s="34">
        <v>5</v>
      </c>
      <c r="G454" s="426" t="s">
        <v>466</v>
      </c>
      <c r="H454" s="34" t="s">
        <v>456</v>
      </c>
      <c r="I454" s="34" t="s">
        <v>444</v>
      </c>
      <c r="J454" s="456">
        <v>41207</v>
      </c>
      <c r="K454" s="34" t="str">
        <f>CHOOSE(WEEKDAY(J454),"Sun","Mon","Tue","Wed","Thu","Fri","Sat")</f>
        <v>Thu</v>
      </c>
      <c r="L454" s="63">
        <v>0.875</v>
      </c>
      <c r="M454" s="34">
        <v>9006</v>
      </c>
      <c r="N454" s="34">
        <v>4</v>
      </c>
      <c r="O454" s="34">
        <v>453</v>
      </c>
      <c r="P454" s="378" t="str">
        <f t="shared" si="7"/>
        <v/>
      </c>
      <c r="Q454" s="397" t="str">
        <f ca="1">VLOOKUP(EpisodeList[[#This Row],[Season Number]], INDIRECT("'" &amp; EpisodeList[[#This Row],[Show]] &amp; " Season Info'!C2:J15"), 8,1)</f>
        <v>2012-13</v>
      </c>
    </row>
    <row r="455" spans="1:17" x14ac:dyDescent="0.2">
      <c r="A455" s="21" t="s">
        <v>859</v>
      </c>
      <c r="B455" s="35" t="s">
        <v>223</v>
      </c>
      <c r="C455" s="35">
        <v>5</v>
      </c>
      <c r="D455" s="35" t="str">
        <f>A455&amp; " S" &amp;C455</f>
        <v>Parks and Rec S5</v>
      </c>
      <c r="E455" s="35">
        <v>73</v>
      </c>
      <c r="F455" s="35">
        <v>5</v>
      </c>
      <c r="G455" s="427" t="s">
        <v>812</v>
      </c>
      <c r="H455" s="35" t="s">
        <v>348</v>
      </c>
      <c r="I455" s="35" t="s">
        <v>237</v>
      </c>
      <c r="J455" s="457">
        <v>41207</v>
      </c>
      <c r="K455" s="35" t="str">
        <f>CHOOSE(WEEKDAY(J455),"Sun","Mon","Tue","Wed","Thu","Fri","Sat")</f>
        <v>Thu</v>
      </c>
      <c r="L455" s="64">
        <v>0.89583333333333326</v>
      </c>
      <c r="M455" s="35"/>
      <c r="N455" s="35">
        <v>3.34</v>
      </c>
      <c r="O455" s="35">
        <v>454</v>
      </c>
      <c r="P455" s="379" t="str">
        <f t="shared" si="7"/>
        <v/>
      </c>
      <c r="Q455" s="398" t="str">
        <f ca="1">VLOOKUP(EpisodeList[[#This Row],[Season Number]], INDIRECT("'" &amp; EpisodeList[[#This Row],[Show]] &amp; " Season Info'!C2:J15"), 8,1)</f>
        <v>2012-13</v>
      </c>
    </row>
    <row r="456" spans="1:17" x14ac:dyDescent="0.2">
      <c r="A456" s="15" t="s">
        <v>228</v>
      </c>
      <c r="B456" s="36" t="s">
        <v>225</v>
      </c>
      <c r="C456" s="36">
        <v>7</v>
      </c>
      <c r="D456" s="36" t="str">
        <f>A456&amp; " S" &amp;C456</f>
        <v>30 Rock S7</v>
      </c>
      <c r="E456" s="36">
        <v>130</v>
      </c>
      <c r="F456" s="36">
        <v>5</v>
      </c>
      <c r="G456" s="428" t="s">
        <v>206</v>
      </c>
      <c r="H456" s="36" t="s">
        <v>12</v>
      </c>
      <c r="I456" s="36" t="s">
        <v>111</v>
      </c>
      <c r="J456" s="458">
        <v>41213</v>
      </c>
      <c r="K456" s="36" t="str">
        <f>CHOOSE(WEEKDAY(J456),"Sun","Mon","Tue","Wed","Thu","Fri","Sat")</f>
        <v>Wed</v>
      </c>
      <c r="L456" s="65">
        <v>0.83333333333333326</v>
      </c>
      <c r="M456" s="36">
        <v>705</v>
      </c>
      <c r="N456" s="36">
        <v>3.38</v>
      </c>
      <c r="O456" s="36">
        <v>455</v>
      </c>
      <c r="P456" s="380" t="str">
        <f t="shared" si="7"/>
        <v/>
      </c>
      <c r="Q456" s="399" t="str">
        <f ca="1">VLOOKUP(EpisodeList[[#This Row],[Season Number]], INDIRECT("'" &amp; EpisodeList[[#This Row],[Show]] &amp; " Season Info'!C2:J15"), 8,1)</f>
        <v>2012-13</v>
      </c>
    </row>
    <row r="457" spans="1:17" x14ac:dyDescent="0.2">
      <c r="A457" s="9" t="s">
        <v>243</v>
      </c>
      <c r="B457" s="34" t="s">
        <v>227</v>
      </c>
      <c r="C457" s="34">
        <v>9</v>
      </c>
      <c r="D457" s="34" t="str">
        <f>A457&amp; " S" &amp;C457</f>
        <v>The Office S9</v>
      </c>
      <c r="E457" s="34">
        <v>182</v>
      </c>
      <c r="F457" s="34">
        <v>6</v>
      </c>
      <c r="G457" s="426" t="s">
        <v>467</v>
      </c>
      <c r="H457" s="34" t="s">
        <v>384</v>
      </c>
      <c r="I457" s="34" t="s">
        <v>468</v>
      </c>
      <c r="J457" s="456">
        <v>41221</v>
      </c>
      <c r="K457" s="34" t="str">
        <f>CHOOSE(WEEKDAY(J457),"Sun","Mon","Tue","Wed","Thu","Fri","Sat")</f>
        <v>Thu</v>
      </c>
      <c r="L457" s="63">
        <v>0.875</v>
      </c>
      <c r="M457" s="34">
        <v>9007</v>
      </c>
      <c r="N457" s="34">
        <v>4.83</v>
      </c>
      <c r="O457" s="34">
        <v>456</v>
      </c>
      <c r="P457" s="378" t="str">
        <f t="shared" si="7"/>
        <v/>
      </c>
      <c r="Q457" s="397" t="str">
        <f ca="1">VLOOKUP(EpisodeList[[#This Row],[Season Number]], INDIRECT("'" &amp; EpisodeList[[#This Row],[Show]] &amp; " Season Info'!C2:J15"), 8,1)</f>
        <v>2012-13</v>
      </c>
    </row>
    <row r="458" spans="1:17" x14ac:dyDescent="0.2">
      <c r="A458" s="21" t="s">
        <v>859</v>
      </c>
      <c r="B458" s="35" t="s">
        <v>223</v>
      </c>
      <c r="C458" s="35">
        <v>5</v>
      </c>
      <c r="D458" s="35" t="str">
        <f>A458&amp; " S" &amp;C458</f>
        <v>Parks and Rec S5</v>
      </c>
      <c r="E458" s="35">
        <v>74</v>
      </c>
      <c r="F458" s="35">
        <v>6</v>
      </c>
      <c r="G458" s="427" t="s">
        <v>785</v>
      </c>
      <c r="H458" s="35" t="s">
        <v>348</v>
      </c>
      <c r="I458" s="35" t="s">
        <v>786</v>
      </c>
      <c r="J458" s="457">
        <v>41221</v>
      </c>
      <c r="K458" s="35" t="str">
        <f>CHOOSE(WEEKDAY(J458),"Sun","Mon","Tue","Wed","Thu","Fri","Sat")</f>
        <v>Thu</v>
      </c>
      <c r="L458" s="64">
        <v>0.89583333333333326</v>
      </c>
      <c r="M458" s="35"/>
      <c r="N458" s="35">
        <v>3.46</v>
      </c>
      <c r="O458" s="35">
        <v>457</v>
      </c>
      <c r="P458" s="379" t="str">
        <f t="shared" si="7"/>
        <v/>
      </c>
      <c r="Q458" s="398" t="str">
        <f ca="1">VLOOKUP(EpisodeList[[#This Row],[Season Number]], INDIRECT("'" &amp; EpisodeList[[#This Row],[Show]] &amp; " Season Info'!C2:J15"), 8,1)</f>
        <v>2012-13</v>
      </c>
    </row>
    <row r="459" spans="1:17" x14ac:dyDescent="0.2">
      <c r="A459" s="15" t="s">
        <v>228</v>
      </c>
      <c r="B459" s="36" t="s">
        <v>225</v>
      </c>
      <c r="C459" s="36">
        <v>7</v>
      </c>
      <c r="D459" s="36" t="str">
        <f>A459&amp; " S" &amp;C459</f>
        <v>30 Rock S7</v>
      </c>
      <c r="E459" s="36">
        <v>131</v>
      </c>
      <c r="F459" s="36">
        <v>6</v>
      </c>
      <c r="G459" s="428" t="s">
        <v>207</v>
      </c>
      <c r="H459" s="36" t="s">
        <v>17</v>
      </c>
      <c r="I459" s="36" t="s">
        <v>178</v>
      </c>
      <c r="J459" s="458">
        <v>41228</v>
      </c>
      <c r="K459" s="36" t="str">
        <f>CHOOSE(WEEKDAY(J459),"Sun","Mon","Tue","Wed","Thu","Fri","Sat")</f>
        <v>Thu</v>
      </c>
      <c r="L459" s="65">
        <v>0.83333333333333326</v>
      </c>
      <c r="M459" s="36">
        <v>706</v>
      </c>
      <c r="N459" s="36">
        <v>3.34</v>
      </c>
      <c r="O459" s="36">
        <v>458</v>
      </c>
      <c r="P459" s="380" t="str">
        <f t="shared" si="7"/>
        <v/>
      </c>
      <c r="Q459" s="399" t="str">
        <f ca="1">VLOOKUP(EpisodeList[[#This Row],[Season Number]], INDIRECT("'" &amp; EpisodeList[[#This Row],[Show]] &amp; " Season Info'!C2:J15"), 8,1)</f>
        <v>2012-13</v>
      </c>
    </row>
    <row r="460" spans="1:17" x14ac:dyDescent="0.2">
      <c r="A460" s="9" t="s">
        <v>243</v>
      </c>
      <c r="B460" s="34" t="s">
        <v>227</v>
      </c>
      <c r="C460" s="34">
        <v>9</v>
      </c>
      <c r="D460" s="34" t="str">
        <f>A460&amp; " S" &amp;C460</f>
        <v>The Office S9</v>
      </c>
      <c r="E460" s="34">
        <v>183</v>
      </c>
      <c r="F460" s="34">
        <v>7</v>
      </c>
      <c r="G460" s="426" t="s">
        <v>469</v>
      </c>
      <c r="H460" s="34" t="s">
        <v>470</v>
      </c>
      <c r="I460" s="34" t="s">
        <v>414</v>
      </c>
      <c r="J460" s="456">
        <v>41228</v>
      </c>
      <c r="K460" s="34" t="str">
        <f>CHOOSE(WEEKDAY(J460),"Sun","Mon","Tue","Wed","Thu","Fri","Sat")</f>
        <v>Thu</v>
      </c>
      <c r="L460" s="63">
        <v>0.875</v>
      </c>
      <c r="M460" s="34">
        <v>9008</v>
      </c>
      <c r="N460" s="34">
        <v>4.16</v>
      </c>
      <c r="O460" s="34">
        <v>459</v>
      </c>
      <c r="P460" s="378" t="str">
        <f t="shared" si="7"/>
        <v/>
      </c>
      <c r="Q460" s="397" t="str">
        <f ca="1">VLOOKUP(EpisodeList[[#This Row],[Season Number]], INDIRECT("'" &amp; EpisodeList[[#This Row],[Show]] &amp; " Season Info'!C2:J15"), 8,1)</f>
        <v>2012-13</v>
      </c>
    </row>
    <row r="461" spans="1:17" x14ac:dyDescent="0.2">
      <c r="A461" s="21" t="s">
        <v>859</v>
      </c>
      <c r="B461" s="35" t="s">
        <v>223</v>
      </c>
      <c r="C461" s="35">
        <v>5</v>
      </c>
      <c r="D461" s="35" t="str">
        <f>A461&amp; " S" &amp;C461</f>
        <v>Parks and Rec S5</v>
      </c>
      <c r="E461" s="35">
        <v>75</v>
      </c>
      <c r="F461" s="35">
        <v>7</v>
      </c>
      <c r="G461" s="427" t="s">
        <v>787</v>
      </c>
      <c r="H461" s="35" t="s">
        <v>733</v>
      </c>
      <c r="I461" s="35" t="s">
        <v>706</v>
      </c>
      <c r="J461" s="457">
        <v>41228</v>
      </c>
      <c r="K461" s="35" t="str">
        <f>CHOOSE(WEEKDAY(J461),"Sun","Mon","Tue","Wed","Thu","Fri","Sat")</f>
        <v>Thu</v>
      </c>
      <c r="L461" s="64">
        <v>0.89583333333333326</v>
      </c>
      <c r="M461" s="35"/>
      <c r="N461" s="35">
        <v>3.52</v>
      </c>
      <c r="O461" s="35">
        <v>460</v>
      </c>
      <c r="P461" s="379" t="str">
        <f t="shared" si="7"/>
        <v/>
      </c>
      <c r="Q461" s="398" t="str">
        <f ca="1">VLOOKUP(EpisodeList[[#This Row],[Season Number]], INDIRECT("'" &amp; EpisodeList[[#This Row],[Show]] &amp; " Season Info'!C2:J15"), 8,1)</f>
        <v>2012-13</v>
      </c>
    </row>
    <row r="462" spans="1:17" x14ac:dyDescent="0.2">
      <c r="A462" s="15" t="s">
        <v>228</v>
      </c>
      <c r="B462" s="36" t="s">
        <v>225</v>
      </c>
      <c r="C462" s="36">
        <v>7</v>
      </c>
      <c r="D462" s="36" t="str">
        <f>A462&amp; " S" &amp;C462</f>
        <v>30 Rock S7</v>
      </c>
      <c r="E462" s="36">
        <v>132</v>
      </c>
      <c r="F462" s="36">
        <v>7</v>
      </c>
      <c r="G462" s="428" t="s">
        <v>208</v>
      </c>
      <c r="H462" s="36" t="s">
        <v>140</v>
      </c>
      <c r="I462" s="36" t="s">
        <v>151</v>
      </c>
      <c r="J462" s="458">
        <v>41242</v>
      </c>
      <c r="K462" s="36" t="str">
        <f>CHOOSE(WEEKDAY(J462),"Sun","Mon","Tue","Wed","Thu","Fri","Sat")</f>
        <v>Thu</v>
      </c>
      <c r="L462" s="65">
        <v>0.83333333333333326</v>
      </c>
      <c r="M462" s="36">
        <v>707</v>
      </c>
      <c r="N462" s="36">
        <v>3.61</v>
      </c>
      <c r="O462" s="36">
        <v>461</v>
      </c>
      <c r="P462" s="380" t="str">
        <f t="shared" si="7"/>
        <v/>
      </c>
      <c r="Q462" s="399" t="str">
        <f ca="1">VLOOKUP(EpisodeList[[#This Row],[Season Number]], INDIRECT("'" &amp; EpisodeList[[#This Row],[Show]] &amp; " Season Info'!C2:J15"), 8,1)</f>
        <v>2012-13</v>
      </c>
    </row>
    <row r="463" spans="1:17" x14ac:dyDescent="0.2">
      <c r="A463" s="9" t="s">
        <v>243</v>
      </c>
      <c r="B463" s="34" t="s">
        <v>227</v>
      </c>
      <c r="C463" s="34">
        <v>9</v>
      </c>
      <c r="D463" s="34" t="str">
        <f>A463&amp; " S" &amp;C463</f>
        <v>The Office S9</v>
      </c>
      <c r="E463" s="34">
        <v>184</v>
      </c>
      <c r="F463" s="34">
        <v>8</v>
      </c>
      <c r="G463" s="426" t="s">
        <v>471</v>
      </c>
      <c r="H463" s="34" t="s">
        <v>284</v>
      </c>
      <c r="I463" s="34" t="s">
        <v>472</v>
      </c>
      <c r="J463" s="456">
        <v>41242</v>
      </c>
      <c r="K463" s="34" t="str">
        <f>CHOOSE(WEEKDAY(J463),"Sun","Mon","Tue","Wed","Thu","Fri","Sat")</f>
        <v>Thu</v>
      </c>
      <c r="L463" s="63">
        <v>0.875</v>
      </c>
      <c r="M463" s="34">
        <v>9009</v>
      </c>
      <c r="N463" s="34">
        <v>3.88</v>
      </c>
      <c r="O463" s="34">
        <v>462</v>
      </c>
      <c r="P463" s="378" t="str">
        <f t="shared" si="7"/>
        <v/>
      </c>
      <c r="Q463" s="397" t="str">
        <f ca="1">VLOOKUP(EpisodeList[[#This Row],[Season Number]], INDIRECT("'" &amp; EpisodeList[[#This Row],[Show]] &amp; " Season Info'!C2:J15"), 8,1)</f>
        <v>2012-13</v>
      </c>
    </row>
    <row r="464" spans="1:17" x14ac:dyDescent="0.2">
      <c r="A464" s="21" t="s">
        <v>859</v>
      </c>
      <c r="B464" s="35" t="s">
        <v>223</v>
      </c>
      <c r="C464" s="35">
        <v>5</v>
      </c>
      <c r="D464" s="35" t="str">
        <f>A464&amp; " S" &amp;C464</f>
        <v>Parks and Rec S5</v>
      </c>
      <c r="E464" s="35">
        <v>76</v>
      </c>
      <c r="F464" s="35">
        <v>8</v>
      </c>
      <c r="G464" s="427" t="s">
        <v>788</v>
      </c>
      <c r="H464" s="35" t="s">
        <v>767</v>
      </c>
      <c r="I464" s="35" t="s">
        <v>789</v>
      </c>
      <c r="J464" s="457">
        <v>41242</v>
      </c>
      <c r="K464" s="35" t="str">
        <f>CHOOSE(WEEKDAY(J464),"Sun","Mon","Tue","Wed","Thu","Fri","Sat")</f>
        <v>Thu</v>
      </c>
      <c r="L464" s="64">
        <v>0.89583333333333326</v>
      </c>
      <c r="M464" s="35"/>
      <c r="N464" s="35">
        <v>2.99</v>
      </c>
      <c r="O464" s="35">
        <v>463</v>
      </c>
      <c r="P464" s="379" t="str">
        <f t="shared" si="7"/>
        <v/>
      </c>
      <c r="Q464" s="398" t="str">
        <f ca="1">VLOOKUP(EpisodeList[[#This Row],[Season Number]], INDIRECT("'" &amp; EpisodeList[[#This Row],[Show]] &amp; " Season Info'!C2:J15"), 8,1)</f>
        <v>2012-13</v>
      </c>
    </row>
    <row r="465" spans="1:17" x14ac:dyDescent="0.2">
      <c r="A465" s="15" t="s">
        <v>228</v>
      </c>
      <c r="B465" s="36" t="s">
        <v>225</v>
      </c>
      <c r="C465" s="36">
        <v>7</v>
      </c>
      <c r="D465" s="36" t="str">
        <f>A465&amp; " S" &amp;C465</f>
        <v>30 Rock S7</v>
      </c>
      <c r="E465" s="36">
        <v>133</v>
      </c>
      <c r="F465" s="36">
        <v>8</v>
      </c>
      <c r="G465" s="428" t="s">
        <v>209</v>
      </c>
      <c r="H465" s="36" t="s">
        <v>193</v>
      </c>
      <c r="I465" s="36" t="s">
        <v>210</v>
      </c>
      <c r="J465" s="458">
        <v>41249</v>
      </c>
      <c r="K465" s="36" t="str">
        <f>CHOOSE(WEEKDAY(J465),"Sun","Mon","Tue","Wed","Thu","Fri","Sat")</f>
        <v>Thu</v>
      </c>
      <c r="L465" s="65">
        <v>0.83333333333333326</v>
      </c>
      <c r="M465" s="36">
        <v>708</v>
      </c>
      <c r="N465" s="36">
        <v>3.22</v>
      </c>
      <c r="O465" s="36">
        <v>464</v>
      </c>
      <c r="P465" s="380" t="str">
        <f t="shared" si="7"/>
        <v/>
      </c>
      <c r="Q465" s="399" t="str">
        <f ca="1">VLOOKUP(EpisodeList[[#This Row],[Season Number]], INDIRECT("'" &amp; EpisodeList[[#This Row],[Show]] &amp; " Season Info'!C2:J15"), 8,1)</f>
        <v>2012-13</v>
      </c>
    </row>
    <row r="466" spans="1:17" x14ac:dyDescent="0.2">
      <c r="A466" s="9" t="s">
        <v>243</v>
      </c>
      <c r="B466" s="34" t="s">
        <v>227</v>
      </c>
      <c r="C466" s="34">
        <v>9</v>
      </c>
      <c r="D466" s="34" t="str">
        <f>A466&amp; " S" &amp;C466</f>
        <v>The Office S9</v>
      </c>
      <c r="E466" s="34">
        <v>185</v>
      </c>
      <c r="F466" s="34">
        <v>9</v>
      </c>
      <c r="G466" s="426" t="s">
        <v>473</v>
      </c>
      <c r="H466" s="34" t="s">
        <v>257</v>
      </c>
      <c r="I466" s="34" t="s">
        <v>419</v>
      </c>
      <c r="J466" s="456">
        <v>41249</v>
      </c>
      <c r="K466" s="34" t="str">
        <f>CHOOSE(WEEKDAY(J466),"Sun","Mon","Tue","Wed","Thu","Fri","Sat")</f>
        <v>Thu</v>
      </c>
      <c r="L466" s="63">
        <v>0.875</v>
      </c>
      <c r="M466" s="34">
        <v>9010</v>
      </c>
      <c r="N466" s="34">
        <v>4.16</v>
      </c>
      <c r="O466" s="34">
        <v>465</v>
      </c>
      <c r="P466" s="378" t="str">
        <f t="shared" si="7"/>
        <v/>
      </c>
      <c r="Q466" s="397" t="str">
        <f ca="1">VLOOKUP(EpisodeList[[#This Row],[Season Number]], INDIRECT("'" &amp; EpisodeList[[#This Row],[Show]] &amp; " Season Info'!C2:J15"), 8,1)</f>
        <v>2012-13</v>
      </c>
    </row>
    <row r="467" spans="1:17" x14ac:dyDescent="0.2">
      <c r="A467" s="21" t="s">
        <v>859</v>
      </c>
      <c r="B467" s="35" t="s">
        <v>223</v>
      </c>
      <c r="C467" s="35">
        <v>5</v>
      </c>
      <c r="D467" s="35" t="str">
        <f>A467&amp; " S" &amp;C467</f>
        <v>Parks and Rec S5</v>
      </c>
      <c r="E467" s="35">
        <v>77</v>
      </c>
      <c r="F467" s="35">
        <v>9</v>
      </c>
      <c r="G467" s="427" t="s">
        <v>790</v>
      </c>
      <c r="H467" s="35" t="s">
        <v>692</v>
      </c>
      <c r="I467" s="35" t="s">
        <v>791</v>
      </c>
      <c r="J467" s="457">
        <v>41249</v>
      </c>
      <c r="K467" s="35" t="str">
        <f>CHOOSE(WEEKDAY(J467),"Sun","Mon","Tue","Wed","Thu","Fri","Sat")</f>
        <v>Thu</v>
      </c>
      <c r="L467" s="64">
        <v>0.89583333333333326</v>
      </c>
      <c r="M467" s="35"/>
      <c r="N467" s="35">
        <v>3.27</v>
      </c>
      <c r="O467" s="35">
        <v>466</v>
      </c>
      <c r="P467" s="379" t="str">
        <f t="shared" si="7"/>
        <v/>
      </c>
      <c r="Q467" s="398" t="str">
        <f ca="1">VLOOKUP(EpisodeList[[#This Row],[Season Number]], INDIRECT("'" &amp; EpisodeList[[#This Row],[Show]] &amp; " Season Info'!C2:J15"), 8,1)</f>
        <v>2012-13</v>
      </c>
    </row>
    <row r="468" spans="1:17" x14ac:dyDescent="0.2">
      <c r="A468" s="15" t="s">
        <v>228</v>
      </c>
      <c r="B468" s="36" t="s">
        <v>225</v>
      </c>
      <c r="C468" s="36">
        <v>7</v>
      </c>
      <c r="D468" s="36" t="str">
        <f>A468&amp; " S" &amp;C468</f>
        <v>30 Rock S7</v>
      </c>
      <c r="E468" s="36">
        <v>134</v>
      </c>
      <c r="F468" s="36">
        <v>9</v>
      </c>
      <c r="G468" s="428" t="s">
        <v>211</v>
      </c>
      <c r="H468" s="36" t="s">
        <v>90</v>
      </c>
      <c r="I468" s="36" t="s">
        <v>212</v>
      </c>
      <c r="J468" s="458">
        <v>41284</v>
      </c>
      <c r="K468" s="36" t="str">
        <f>CHOOSE(WEEKDAY(J468),"Sun","Mon","Tue","Wed","Thu","Fri","Sat")</f>
        <v>Thu</v>
      </c>
      <c r="L468" s="65">
        <v>0.83333333333333326</v>
      </c>
      <c r="M468" s="36">
        <v>709</v>
      </c>
      <c r="N468" s="36">
        <v>3.79</v>
      </c>
      <c r="O468" s="36">
        <v>467</v>
      </c>
      <c r="P468" s="380" t="str">
        <f t="shared" si="7"/>
        <v/>
      </c>
      <c r="Q468" s="399" t="str">
        <f ca="1">VLOOKUP(EpisodeList[[#This Row],[Season Number]], INDIRECT("'" &amp; EpisodeList[[#This Row],[Show]] &amp; " Season Info'!C2:J15"), 8,1)</f>
        <v>2012-13</v>
      </c>
    </row>
    <row r="469" spans="1:17" x14ac:dyDescent="0.2">
      <c r="A469" s="9" t="s">
        <v>243</v>
      </c>
      <c r="B469" s="34" t="s">
        <v>227</v>
      </c>
      <c r="C469" s="34">
        <v>9</v>
      </c>
      <c r="D469" s="34" t="str">
        <f>A469&amp; " S" &amp;C469</f>
        <v>The Office S9</v>
      </c>
      <c r="E469" s="34">
        <v>186</v>
      </c>
      <c r="F469" s="34">
        <v>10</v>
      </c>
      <c r="G469" s="426" t="s">
        <v>474</v>
      </c>
      <c r="H469" s="34" t="s">
        <v>470</v>
      </c>
      <c r="I469" s="34" t="s">
        <v>475</v>
      </c>
      <c r="J469" s="456">
        <v>41284</v>
      </c>
      <c r="K469" s="34" t="str">
        <f>CHOOSE(WEEKDAY(J469),"Sun","Mon","Tue","Wed","Thu","Fri","Sat")</f>
        <v>Thu</v>
      </c>
      <c r="L469" s="63">
        <v>0.875</v>
      </c>
      <c r="M469" s="34">
        <v>9011</v>
      </c>
      <c r="N469" s="34">
        <v>4.54</v>
      </c>
      <c r="O469" s="34">
        <v>468</v>
      </c>
      <c r="P469" s="378" t="str">
        <f t="shared" si="7"/>
        <v/>
      </c>
      <c r="Q469" s="397" t="str">
        <f ca="1">VLOOKUP(EpisodeList[[#This Row],[Season Number]], INDIRECT("'" &amp; EpisodeList[[#This Row],[Show]] &amp; " Season Info'!C2:J15"), 8,1)</f>
        <v>2012-13</v>
      </c>
    </row>
    <row r="470" spans="1:17" x14ac:dyDescent="0.2">
      <c r="A470" s="15" t="s">
        <v>228</v>
      </c>
      <c r="B470" s="36" t="s">
        <v>225</v>
      </c>
      <c r="C470" s="36">
        <v>7</v>
      </c>
      <c r="D470" s="36" t="str">
        <f>A470&amp; " S" &amp;C470</f>
        <v>30 Rock S7</v>
      </c>
      <c r="E470" s="36">
        <v>135</v>
      </c>
      <c r="F470" s="36">
        <v>10</v>
      </c>
      <c r="G470" s="428" t="s">
        <v>213</v>
      </c>
      <c r="H470" s="36" t="s">
        <v>187</v>
      </c>
      <c r="I470" s="36" t="s">
        <v>214</v>
      </c>
      <c r="J470" s="458">
        <v>41291</v>
      </c>
      <c r="K470" s="36" t="str">
        <f>CHOOSE(WEEKDAY(J470),"Sun","Mon","Tue","Wed","Thu","Fri","Sat")</f>
        <v>Thu</v>
      </c>
      <c r="L470" s="65">
        <v>0.83333333333333326</v>
      </c>
      <c r="M470" s="36">
        <v>710</v>
      </c>
      <c r="N470" s="36">
        <v>3.44</v>
      </c>
      <c r="O470" s="36">
        <v>469</v>
      </c>
      <c r="P470" s="380" t="str">
        <f t="shared" si="7"/>
        <v/>
      </c>
      <c r="Q470" s="399" t="str">
        <f ca="1">VLOOKUP(EpisodeList[[#This Row],[Season Number]], INDIRECT("'" &amp; EpisodeList[[#This Row],[Show]] &amp; " Season Info'!C2:J15"), 8,1)</f>
        <v>2012-13</v>
      </c>
    </row>
    <row r="471" spans="1:17" x14ac:dyDescent="0.2">
      <c r="A471" s="21" t="s">
        <v>859</v>
      </c>
      <c r="B471" s="35" t="s">
        <v>223</v>
      </c>
      <c r="C471" s="35">
        <v>5</v>
      </c>
      <c r="D471" s="35" t="str">
        <f>A471&amp; " S" &amp;C471</f>
        <v>Parks and Rec S5</v>
      </c>
      <c r="E471" s="35">
        <v>78</v>
      </c>
      <c r="F471" s="35">
        <v>10</v>
      </c>
      <c r="G471" s="427" t="s">
        <v>792</v>
      </c>
      <c r="H471" s="35" t="s">
        <v>348</v>
      </c>
      <c r="I471" s="35" t="s">
        <v>762</v>
      </c>
      <c r="J471" s="457">
        <v>41291</v>
      </c>
      <c r="K471" s="35" t="str">
        <f>CHOOSE(WEEKDAY(J471),"Sun","Mon","Tue","Wed","Thu","Fri","Sat")</f>
        <v>Thu</v>
      </c>
      <c r="L471" s="64">
        <v>0.85416666666666674</v>
      </c>
      <c r="M471" s="35"/>
      <c r="N471" s="35">
        <v>3.92</v>
      </c>
      <c r="O471" s="35">
        <v>470</v>
      </c>
      <c r="P471" s="379" t="str">
        <f t="shared" si="7"/>
        <v/>
      </c>
      <c r="Q471" s="398" t="str">
        <f ca="1">VLOOKUP(EpisodeList[[#This Row],[Season Number]], INDIRECT("'" &amp; EpisodeList[[#This Row],[Show]] &amp; " Season Info'!C2:J15"), 8,1)</f>
        <v>2012-13</v>
      </c>
    </row>
    <row r="472" spans="1:17" x14ac:dyDescent="0.2">
      <c r="A472" s="9" t="s">
        <v>243</v>
      </c>
      <c r="B472" s="34" t="s">
        <v>227</v>
      </c>
      <c r="C472" s="34">
        <v>9</v>
      </c>
      <c r="D472" s="34" t="str">
        <f>A472&amp; " S" &amp;C472</f>
        <v>The Office S9</v>
      </c>
      <c r="E472" s="34">
        <v>187</v>
      </c>
      <c r="F472" s="34">
        <v>11</v>
      </c>
      <c r="G472" s="426" t="s">
        <v>476</v>
      </c>
      <c r="H472" s="34" t="s">
        <v>390</v>
      </c>
      <c r="I472" s="34" t="s">
        <v>439</v>
      </c>
      <c r="J472" s="456">
        <v>41291</v>
      </c>
      <c r="K472" s="34" t="str">
        <f>CHOOSE(WEEKDAY(J472),"Sun","Mon","Tue","Wed","Thu","Fri","Sat")</f>
        <v>Thu</v>
      </c>
      <c r="L472" s="63">
        <v>0.875</v>
      </c>
      <c r="M472" s="34">
        <v>9012</v>
      </c>
      <c r="N472" s="34">
        <v>4.1500000000000004</v>
      </c>
      <c r="O472" s="34">
        <v>471</v>
      </c>
      <c r="P472" s="378" t="str">
        <f t="shared" si="7"/>
        <v/>
      </c>
      <c r="Q472" s="397" t="str">
        <f ca="1">VLOOKUP(EpisodeList[[#This Row],[Season Number]], INDIRECT("'" &amp; EpisodeList[[#This Row],[Show]] &amp; " Season Info'!C2:J15"), 8,1)</f>
        <v>2012-13</v>
      </c>
    </row>
    <row r="473" spans="1:17" x14ac:dyDescent="0.2">
      <c r="A473" s="15" t="s">
        <v>228</v>
      </c>
      <c r="B473" s="36" t="s">
        <v>225</v>
      </c>
      <c r="C473" s="36">
        <v>7</v>
      </c>
      <c r="D473" s="36" t="str">
        <f>A473&amp; " S" &amp;C473</f>
        <v>30 Rock S7</v>
      </c>
      <c r="E473" s="36">
        <v>136</v>
      </c>
      <c r="F473" s="36">
        <v>11</v>
      </c>
      <c r="G473" s="428" t="s">
        <v>215</v>
      </c>
      <c r="H473" s="36" t="s">
        <v>133</v>
      </c>
      <c r="I473" s="36" t="s">
        <v>216</v>
      </c>
      <c r="J473" s="458">
        <v>41298</v>
      </c>
      <c r="K473" s="36" t="str">
        <f>CHOOSE(WEEKDAY(J473),"Sun","Mon","Tue","Wed","Thu","Fri","Sat")</f>
        <v>Thu</v>
      </c>
      <c r="L473" s="65">
        <v>0.83333333333333326</v>
      </c>
      <c r="M473" s="36">
        <v>711</v>
      </c>
      <c r="N473" s="36">
        <v>3.81</v>
      </c>
      <c r="O473" s="36">
        <v>472</v>
      </c>
      <c r="P473" s="380" t="str">
        <f t="shared" si="7"/>
        <v/>
      </c>
      <c r="Q473" s="399" t="str">
        <f ca="1">VLOOKUP(EpisodeList[[#This Row],[Season Number]], INDIRECT("'" &amp; EpisodeList[[#This Row],[Show]] &amp; " Season Info'!C2:J15"), 8,1)</f>
        <v>2012-13</v>
      </c>
    </row>
    <row r="474" spans="1:17" x14ac:dyDescent="0.2">
      <c r="A474" s="21" t="s">
        <v>859</v>
      </c>
      <c r="B474" s="35" t="s">
        <v>223</v>
      </c>
      <c r="C474" s="35">
        <v>5</v>
      </c>
      <c r="D474" s="35" t="str">
        <f>A474&amp; " S" &amp;C474</f>
        <v>Parks and Rec S5</v>
      </c>
      <c r="E474" s="35">
        <v>79</v>
      </c>
      <c r="F474" s="35">
        <v>11</v>
      </c>
      <c r="G474" s="427" t="s">
        <v>793</v>
      </c>
      <c r="H474" s="35" t="s">
        <v>698</v>
      </c>
      <c r="I474" s="35" t="s">
        <v>706</v>
      </c>
      <c r="J474" s="457">
        <v>41298</v>
      </c>
      <c r="K474" s="35" t="str">
        <f>CHOOSE(WEEKDAY(J474),"Sun","Mon","Tue","Wed","Thu","Fri","Sat")</f>
        <v>Thu</v>
      </c>
      <c r="L474" s="64">
        <v>0.85416666666666674</v>
      </c>
      <c r="M474" s="35"/>
      <c r="N474" s="35">
        <v>3.94</v>
      </c>
      <c r="O474" s="35">
        <v>473</v>
      </c>
      <c r="P474" s="379" t="str">
        <f t="shared" si="7"/>
        <v/>
      </c>
      <c r="Q474" s="398" t="str">
        <f ca="1">VLOOKUP(EpisodeList[[#This Row],[Season Number]], INDIRECT("'" &amp; EpisodeList[[#This Row],[Show]] &amp; " Season Info'!C2:J15"), 8,1)</f>
        <v>2012-13</v>
      </c>
    </row>
    <row r="475" spans="1:17" x14ac:dyDescent="0.2">
      <c r="A475" s="9" t="s">
        <v>243</v>
      </c>
      <c r="B475" s="34" t="s">
        <v>227</v>
      </c>
      <c r="C475" s="34">
        <v>9</v>
      </c>
      <c r="D475" s="34" t="str">
        <f>A475&amp; " S" &amp;C475</f>
        <v>The Office S9</v>
      </c>
      <c r="E475" s="34">
        <v>188</v>
      </c>
      <c r="F475" s="34">
        <v>12</v>
      </c>
      <c r="G475" s="426" t="s">
        <v>477</v>
      </c>
      <c r="H475" s="34" t="s">
        <v>478</v>
      </c>
      <c r="I475" s="34" t="s">
        <v>463</v>
      </c>
      <c r="J475" s="456">
        <v>41298</v>
      </c>
      <c r="K475" s="34" t="str">
        <f>CHOOSE(WEEKDAY(J475),"Sun","Mon","Tue","Wed","Thu","Fri","Sat")</f>
        <v>Thu</v>
      </c>
      <c r="L475" s="63">
        <v>0.875</v>
      </c>
      <c r="M475" s="34">
        <v>9013</v>
      </c>
      <c r="N475" s="34">
        <v>4.1900000000000004</v>
      </c>
      <c r="O475" s="34">
        <v>474</v>
      </c>
      <c r="P475" s="378" t="str">
        <f t="shared" si="7"/>
        <v/>
      </c>
      <c r="Q475" s="397" t="str">
        <f ca="1">VLOOKUP(EpisodeList[[#This Row],[Season Number]], INDIRECT("'" &amp; EpisodeList[[#This Row],[Show]] &amp; " Season Info'!C2:J15"), 8,1)</f>
        <v>2012-13</v>
      </c>
    </row>
    <row r="476" spans="1:17" x14ac:dyDescent="0.2">
      <c r="A476" s="15" t="s">
        <v>228</v>
      </c>
      <c r="B476" s="36" t="s">
        <v>225</v>
      </c>
      <c r="C476" s="36">
        <v>7</v>
      </c>
      <c r="D476" s="36" t="str">
        <f>A476&amp; " S" &amp;C476</f>
        <v>30 Rock S7</v>
      </c>
      <c r="E476" s="36">
        <v>137</v>
      </c>
      <c r="F476" s="36">
        <v>12</v>
      </c>
      <c r="G476" s="428" t="s">
        <v>217</v>
      </c>
      <c r="H476" s="36" t="s">
        <v>140</v>
      </c>
      <c r="I476" s="36" t="s">
        <v>45</v>
      </c>
      <c r="J476" s="458">
        <v>41305</v>
      </c>
      <c r="K476" s="36" t="str">
        <f>CHOOSE(WEEKDAY(J476),"Sun","Mon","Tue","Wed","Thu","Fri","Sat")</f>
        <v>Thu</v>
      </c>
      <c r="L476" s="65">
        <v>0.83333333333333326</v>
      </c>
      <c r="M476" s="36">
        <v>712</v>
      </c>
      <c r="N476" s="36">
        <v>4.88</v>
      </c>
      <c r="O476" s="36">
        <v>475</v>
      </c>
      <c r="P476" s="380" t="str">
        <f t="shared" si="7"/>
        <v/>
      </c>
      <c r="Q476" s="399" t="str">
        <f ca="1">VLOOKUP(EpisodeList[[#This Row],[Season Number]], INDIRECT("'" &amp; EpisodeList[[#This Row],[Show]] &amp; " Season Info'!C2:J15"), 8,1)</f>
        <v>2012-13</v>
      </c>
    </row>
    <row r="477" spans="1:17" x14ac:dyDescent="0.2">
      <c r="A477" s="15" t="s">
        <v>228</v>
      </c>
      <c r="B477" s="36" t="s">
        <v>225</v>
      </c>
      <c r="C477" s="36">
        <v>7</v>
      </c>
      <c r="D477" s="36" t="str">
        <f>A477&amp; " S" &amp;C477</f>
        <v>30 Rock S7</v>
      </c>
      <c r="E477" s="36">
        <v>138</v>
      </c>
      <c r="F477" s="36">
        <v>13</v>
      </c>
      <c r="G477" s="428" t="s">
        <v>218</v>
      </c>
      <c r="H477" s="36" t="s">
        <v>140</v>
      </c>
      <c r="I477" s="36" t="s">
        <v>169</v>
      </c>
      <c r="J477" s="458">
        <v>41305</v>
      </c>
      <c r="K477" s="36" t="str">
        <f>CHOOSE(WEEKDAY(J477),"Sun","Mon","Tue","Wed","Thu","Fri","Sat")</f>
        <v>Thu</v>
      </c>
      <c r="L477" s="65">
        <v>0.83333333333333326</v>
      </c>
      <c r="M477" s="36">
        <v>713</v>
      </c>
      <c r="N477" s="36">
        <v>4.88</v>
      </c>
      <c r="O477" s="36">
        <v>476</v>
      </c>
      <c r="P477" s="380" t="str">
        <f t="shared" si="7"/>
        <v/>
      </c>
      <c r="Q477" s="399" t="str">
        <f ca="1">VLOOKUP(EpisodeList[[#This Row],[Season Number]], INDIRECT("'" &amp; EpisodeList[[#This Row],[Show]] &amp; " Season Info'!C2:J15"), 8,1)</f>
        <v>2012-13</v>
      </c>
    </row>
    <row r="478" spans="1:17" x14ac:dyDescent="0.2">
      <c r="A478" s="9" t="s">
        <v>243</v>
      </c>
      <c r="B478" s="34" t="s">
        <v>227</v>
      </c>
      <c r="C478" s="34">
        <v>9</v>
      </c>
      <c r="D478" s="34" t="str">
        <f>A478&amp; " S" &amp;C478</f>
        <v>The Office S9</v>
      </c>
      <c r="E478" s="34">
        <v>189</v>
      </c>
      <c r="F478" s="34">
        <v>13</v>
      </c>
      <c r="G478" s="426" t="s">
        <v>479</v>
      </c>
      <c r="H478" s="34" t="s">
        <v>339</v>
      </c>
      <c r="I478" s="34" t="s">
        <v>414</v>
      </c>
      <c r="J478" s="456">
        <v>41305</v>
      </c>
      <c r="K478" s="34" t="str">
        <f>CHOOSE(WEEKDAY(J478),"Sun","Mon","Tue","Wed","Thu","Fri","Sat")</f>
        <v>Thu</v>
      </c>
      <c r="L478" s="63">
        <v>0.875</v>
      </c>
      <c r="M478" s="34">
        <v>9014</v>
      </c>
      <c r="N478" s="34">
        <v>4.45</v>
      </c>
      <c r="O478" s="34">
        <v>477</v>
      </c>
      <c r="P478" s="378" t="str">
        <f t="shared" si="7"/>
        <v/>
      </c>
      <c r="Q478" s="397" t="str">
        <f ca="1">VLOOKUP(EpisodeList[[#This Row],[Season Number]], INDIRECT("'" &amp; EpisodeList[[#This Row],[Show]] &amp; " Season Info'!C2:J15"), 8,1)</f>
        <v>2012-13</v>
      </c>
    </row>
    <row r="479" spans="1:17" x14ac:dyDescent="0.2">
      <c r="A479" s="9" t="s">
        <v>243</v>
      </c>
      <c r="B479" s="34" t="s">
        <v>227</v>
      </c>
      <c r="C479" s="34">
        <v>9</v>
      </c>
      <c r="D479" s="34" t="str">
        <f>A479&amp; " S" &amp;C479</f>
        <v>The Office S9</v>
      </c>
      <c r="E479" s="34">
        <v>190</v>
      </c>
      <c r="F479" s="34">
        <v>14</v>
      </c>
      <c r="G479" s="426" t="s">
        <v>480</v>
      </c>
      <c r="H479" s="34" t="s">
        <v>481</v>
      </c>
      <c r="I479" s="34" t="s">
        <v>444</v>
      </c>
      <c r="J479" s="456">
        <v>41305</v>
      </c>
      <c r="K479" s="34" t="str">
        <f>CHOOSE(WEEKDAY(J479),"Sun","Mon","Tue","Wed","Thu","Fri","Sat")</f>
        <v>Thu</v>
      </c>
      <c r="L479" s="63">
        <v>0.875</v>
      </c>
      <c r="M479" s="34">
        <v>9015</v>
      </c>
      <c r="N479" s="34">
        <v>3.97</v>
      </c>
      <c r="O479" s="34">
        <v>478</v>
      </c>
      <c r="P479" s="378" t="str">
        <f t="shared" si="7"/>
        <v/>
      </c>
      <c r="Q479" s="397" t="str">
        <f ca="1">VLOOKUP(EpisodeList[[#This Row],[Season Number]], INDIRECT("'" &amp; EpisodeList[[#This Row],[Show]] &amp; " Season Info'!C2:J15"), 8,1)</f>
        <v>2012-13</v>
      </c>
    </row>
    <row r="480" spans="1:17" x14ac:dyDescent="0.2">
      <c r="A480" s="25" t="s">
        <v>687</v>
      </c>
      <c r="B480" s="66" t="s">
        <v>222</v>
      </c>
      <c r="C480" s="66">
        <v>4</v>
      </c>
      <c r="D480" s="66" t="str">
        <f>A480&amp; " S" &amp;C480</f>
        <v>Community S4</v>
      </c>
      <c r="E480" s="66">
        <v>72</v>
      </c>
      <c r="F480" s="66">
        <v>1</v>
      </c>
      <c r="G480" s="429" t="s">
        <v>623</v>
      </c>
      <c r="H480" s="66" t="s">
        <v>544</v>
      </c>
      <c r="I480" s="66" t="s">
        <v>555</v>
      </c>
      <c r="J480" s="459">
        <v>41312</v>
      </c>
      <c r="K480" s="66" t="str">
        <f>CHOOSE(WEEKDAY(J480),"Sun","Mon","Tue","Wed","Thu","Fri","Sat")</f>
        <v>Thu</v>
      </c>
      <c r="L480" s="67">
        <v>0.83333333333333326</v>
      </c>
      <c r="M480" s="66">
        <v>401</v>
      </c>
      <c r="N480" s="66">
        <v>3.88</v>
      </c>
      <c r="O480" s="66">
        <v>479</v>
      </c>
      <c r="P480" s="381" t="str">
        <f t="shared" si="7"/>
        <v/>
      </c>
      <c r="Q480" s="400" t="str">
        <f ca="1">VLOOKUP(EpisodeList[[#This Row],[Season Number]], INDIRECT("'" &amp; EpisodeList[[#This Row],[Show]] &amp; " Season Info'!C2:J15"), 8,1)</f>
        <v>2012-13</v>
      </c>
    </row>
    <row r="481" spans="1:17" x14ac:dyDescent="0.2">
      <c r="A481" s="21" t="s">
        <v>859</v>
      </c>
      <c r="B481" s="35" t="s">
        <v>223</v>
      </c>
      <c r="C481" s="35">
        <v>5</v>
      </c>
      <c r="D481" s="35" t="str">
        <f>A481&amp; " S" &amp;C481</f>
        <v>Parks and Rec S5</v>
      </c>
      <c r="E481" s="35">
        <v>80</v>
      </c>
      <c r="F481" s="35">
        <v>12</v>
      </c>
      <c r="G481" s="427" t="s">
        <v>794</v>
      </c>
      <c r="H481" s="35" t="s">
        <v>90</v>
      </c>
      <c r="I481" s="35" t="s">
        <v>795</v>
      </c>
      <c r="J481" s="457">
        <v>41312</v>
      </c>
      <c r="K481" s="35" t="str">
        <f>CHOOSE(WEEKDAY(J481),"Sun","Mon","Tue","Wed","Thu","Fri","Sat")</f>
        <v>Thu</v>
      </c>
      <c r="L481" s="64">
        <v>0.85416666666666674</v>
      </c>
      <c r="M481" s="35"/>
      <c r="N481" s="35">
        <v>3.76</v>
      </c>
      <c r="O481" s="35">
        <v>480</v>
      </c>
      <c r="P481" s="379" t="str">
        <f t="shared" si="7"/>
        <v/>
      </c>
      <c r="Q481" s="398" t="str">
        <f ca="1">VLOOKUP(EpisodeList[[#This Row],[Season Number]], INDIRECT("'" &amp; EpisodeList[[#This Row],[Show]] &amp; " Season Info'!C2:J15"), 8,1)</f>
        <v>2012-13</v>
      </c>
    </row>
    <row r="482" spans="1:17" x14ac:dyDescent="0.2">
      <c r="A482" s="9" t="s">
        <v>243</v>
      </c>
      <c r="B482" s="34" t="s">
        <v>227</v>
      </c>
      <c r="C482" s="34">
        <v>9</v>
      </c>
      <c r="D482" s="34" t="str">
        <f>A482&amp; " S" &amp;C482</f>
        <v>The Office S9</v>
      </c>
      <c r="E482" s="34">
        <v>191</v>
      </c>
      <c r="F482" s="34">
        <v>15</v>
      </c>
      <c r="G482" s="426" t="s">
        <v>482</v>
      </c>
      <c r="H482" s="34" t="s">
        <v>428</v>
      </c>
      <c r="I482" s="34" t="s">
        <v>436</v>
      </c>
      <c r="J482" s="456">
        <v>41312</v>
      </c>
      <c r="K482" s="34" t="str">
        <f>CHOOSE(WEEKDAY(J482),"Sun","Mon","Tue","Wed","Thu","Fri","Sat")</f>
        <v>Thu</v>
      </c>
      <c r="L482" s="63">
        <v>0.875</v>
      </c>
      <c r="M482" s="34">
        <v>9016</v>
      </c>
      <c r="N482" s="34">
        <v>4.1500000000000004</v>
      </c>
      <c r="O482" s="34">
        <v>481</v>
      </c>
      <c r="P482" s="378" t="str">
        <f t="shared" si="7"/>
        <v/>
      </c>
      <c r="Q482" s="397" t="str">
        <f ca="1">VLOOKUP(EpisodeList[[#This Row],[Season Number]], INDIRECT("'" &amp; EpisodeList[[#This Row],[Show]] &amp; " Season Info'!C2:J15"), 8,1)</f>
        <v>2012-13</v>
      </c>
    </row>
    <row r="483" spans="1:17" x14ac:dyDescent="0.2">
      <c r="A483" s="25" t="s">
        <v>687</v>
      </c>
      <c r="B483" s="66" t="s">
        <v>222</v>
      </c>
      <c r="C483" s="66">
        <v>4</v>
      </c>
      <c r="D483" s="66" t="str">
        <f>A483&amp; " S" &amp;C483</f>
        <v>Community S4</v>
      </c>
      <c r="E483" s="66">
        <v>73</v>
      </c>
      <c r="F483" s="66">
        <v>2</v>
      </c>
      <c r="G483" s="429" t="s">
        <v>624</v>
      </c>
      <c r="H483" s="66" t="s">
        <v>544</v>
      </c>
      <c r="I483" s="66" t="s">
        <v>562</v>
      </c>
      <c r="J483" s="459">
        <v>41319</v>
      </c>
      <c r="K483" s="66" t="str">
        <f>CHOOSE(WEEKDAY(J483),"Sun","Mon","Tue","Wed","Thu","Fri","Sat")</f>
        <v>Thu</v>
      </c>
      <c r="L483" s="67">
        <v>0.83333333333333326</v>
      </c>
      <c r="M483" s="66">
        <v>403</v>
      </c>
      <c r="N483" s="66">
        <v>2.76</v>
      </c>
      <c r="O483" s="66">
        <v>482</v>
      </c>
      <c r="P483" s="381" t="str">
        <f t="shared" si="7"/>
        <v/>
      </c>
      <c r="Q483" s="400" t="str">
        <f ca="1">VLOOKUP(EpisodeList[[#This Row],[Season Number]], INDIRECT("'" &amp; EpisodeList[[#This Row],[Show]] &amp; " Season Info'!C2:J15"), 8,1)</f>
        <v>2012-13</v>
      </c>
    </row>
    <row r="484" spans="1:17" x14ac:dyDescent="0.2">
      <c r="A484" s="21" t="s">
        <v>859</v>
      </c>
      <c r="B484" s="35" t="s">
        <v>223</v>
      </c>
      <c r="C484" s="35">
        <v>5</v>
      </c>
      <c r="D484" s="35" t="str">
        <f>A484&amp; " S" &amp;C484</f>
        <v>Parks and Rec S5</v>
      </c>
      <c r="E484" s="35">
        <v>81</v>
      </c>
      <c r="F484" s="35">
        <v>13</v>
      </c>
      <c r="G484" s="427" t="s">
        <v>811</v>
      </c>
      <c r="H484" s="35" t="s">
        <v>348</v>
      </c>
      <c r="I484" s="35" t="s">
        <v>796</v>
      </c>
      <c r="J484" s="457">
        <v>41319</v>
      </c>
      <c r="K484" s="35" t="str">
        <f>CHOOSE(WEEKDAY(J484),"Sun","Mon","Tue","Wed","Thu","Fri","Sat")</f>
        <v>Thu</v>
      </c>
      <c r="L484" s="64">
        <v>0.85416666666666674</v>
      </c>
      <c r="M484" s="35"/>
      <c r="N484" s="35">
        <v>3.18</v>
      </c>
      <c r="O484" s="35">
        <v>483</v>
      </c>
      <c r="P484" s="379" t="str">
        <f t="shared" si="7"/>
        <v/>
      </c>
      <c r="Q484" s="398" t="str">
        <f ca="1">VLOOKUP(EpisodeList[[#This Row],[Season Number]], INDIRECT("'" &amp; EpisodeList[[#This Row],[Show]] &amp; " Season Info'!C2:J15"), 8,1)</f>
        <v>2012-13</v>
      </c>
    </row>
    <row r="485" spans="1:17" x14ac:dyDescent="0.2">
      <c r="A485" s="9" t="s">
        <v>243</v>
      </c>
      <c r="B485" s="34" t="s">
        <v>227</v>
      </c>
      <c r="C485" s="34">
        <v>9</v>
      </c>
      <c r="D485" s="34" t="str">
        <f>A485&amp; " S" &amp;C485</f>
        <v>The Office S9</v>
      </c>
      <c r="E485" s="34">
        <v>192</v>
      </c>
      <c r="F485" s="34">
        <v>16</v>
      </c>
      <c r="G485" s="426" t="s">
        <v>499</v>
      </c>
      <c r="H485" s="34" t="s">
        <v>483</v>
      </c>
      <c r="I485" s="34" t="s">
        <v>472</v>
      </c>
      <c r="J485" s="456">
        <v>41319</v>
      </c>
      <c r="K485" s="34" t="str">
        <f>CHOOSE(WEEKDAY(J485),"Sun","Mon","Tue","Wed","Thu","Fri","Sat")</f>
        <v>Thu</v>
      </c>
      <c r="L485" s="63">
        <v>0.875</v>
      </c>
      <c r="M485" s="34">
        <v>9017</v>
      </c>
      <c r="N485" s="34">
        <v>4.0599999999999996</v>
      </c>
      <c r="O485" s="34">
        <v>484</v>
      </c>
      <c r="P485" s="378" t="str">
        <f t="shared" si="7"/>
        <v/>
      </c>
      <c r="Q485" s="397" t="str">
        <f ca="1">VLOOKUP(EpisodeList[[#This Row],[Season Number]], INDIRECT("'" &amp; EpisodeList[[#This Row],[Show]] &amp; " Season Info'!C2:J15"), 8,1)</f>
        <v>2012-13</v>
      </c>
    </row>
    <row r="486" spans="1:17" x14ac:dyDescent="0.2">
      <c r="A486" s="25" t="s">
        <v>687</v>
      </c>
      <c r="B486" s="66" t="s">
        <v>222</v>
      </c>
      <c r="C486" s="66">
        <v>4</v>
      </c>
      <c r="D486" s="66" t="str">
        <f>A486&amp; " S" &amp;C486</f>
        <v>Community S4</v>
      </c>
      <c r="E486" s="66">
        <v>74</v>
      </c>
      <c r="F486" s="66">
        <v>3</v>
      </c>
      <c r="G486" s="429" t="s">
        <v>625</v>
      </c>
      <c r="H486" s="66" t="s">
        <v>626</v>
      </c>
      <c r="I486" s="66" t="s">
        <v>590</v>
      </c>
      <c r="J486" s="459">
        <v>41326</v>
      </c>
      <c r="K486" s="66" t="str">
        <f>CHOOSE(WEEKDAY(J486),"Sun","Mon","Tue","Wed","Thu","Fri","Sat")</f>
        <v>Thu</v>
      </c>
      <c r="L486" s="67">
        <v>0.83333333333333326</v>
      </c>
      <c r="M486" s="66">
        <v>404</v>
      </c>
      <c r="N486" s="66">
        <v>3.08</v>
      </c>
      <c r="O486" s="66">
        <v>485</v>
      </c>
      <c r="P486" s="381" t="str">
        <f t="shared" si="7"/>
        <v/>
      </c>
      <c r="Q486" s="400" t="str">
        <f ca="1">VLOOKUP(EpisodeList[[#This Row],[Season Number]], INDIRECT("'" &amp; EpisodeList[[#This Row],[Show]] &amp; " Season Info'!C2:J15"), 8,1)</f>
        <v>2012-13</v>
      </c>
    </row>
    <row r="487" spans="1:17" x14ac:dyDescent="0.2">
      <c r="A487" s="21" t="s">
        <v>859</v>
      </c>
      <c r="B487" s="35" t="s">
        <v>223</v>
      </c>
      <c r="C487" s="35">
        <v>5</v>
      </c>
      <c r="D487" s="35" t="str">
        <f>A487&amp; " S" &amp;C487</f>
        <v>Parks and Rec S5</v>
      </c>
      <c r="E487" s="35">
        <v>82</v>
      </c>
      <c r="F487" s="35">
        <v>14</v>
      </c>
      <c r="G487" s="427" t="s">
        <v>797</v>
      </c>
      <c r="H487" s="35" t="s">
        <v>314</v>
      </c>
      <c r="I487" s="35" t="s">
        <v>798</v>
      </c>
      <c r="J487" s="457">
        <v>41326</v>
      </c>
      <c r="K487" s="35" t="str">
        <f>CHOOSE(WEEKDAY(J487),"Sun","Mon","Tue","Wed","Thu","Fri","Sat")</f>
        <v>Thu</v>
      </c>
      <c r="L487" s="64">
        <v>0.85416666666666674</v>
      </c>
      <c r="M487" s="35"/>
      <c r="N487" s="35">
        <v>3.07</v>
      </c>
      <c r="O487" s="35">
        <v>486</v>
      </c>
      <c r="P487" s="379" t="str">
        <f t="shared" si="7"/>
        <v/>
      </c>
      <c r="Q487" s="398" t="str">
        <f ca="1">VLOOKUP(EpisodeList[[#This Row],[Season Number]], INDIRECT("'" &amp; EpisodeList[[#This Row],[Show]] &amp; " Season Info'!C2:J15"), 8,1)</f>
        <v>2012-13</v>
      </c>
    </row>
    <row r="488" spans="1:17" x14ac:dyDescent="0.2">
      <c r="A488" s="21" t="s">
        <v>859</v>
      </c>
      <c r="B488" s="35" t="s">
        <v>223</v>
      </c>
      <c r="C488" s="35">
        <v>5</v>
      </c>
      <c r="D488" s="35" t="str">
        <f>A488&amp; " S" &amp;C488</f>
        <v>Parks and Rec S5</v>
      </c>
      <c r="E488" s="35">
        <v>83</v>
      </c>
      <c r="F488" s="35">
        <v>15</v>
      </c>
      <c r="G488" s="427" t="s">
        <v>799</v>
      </c>
      <c r="H488" s="35" t="s">
        <v>773</v>
      </c>
      <c r="I488" s="35" t="s">
        <v>789</v>
      </c>
      <c r="J488" s="457">
        <v>41326</v>
      </c>
      <c r="K488" s="35" t="str">
        <f>CHOOSE(WEEKDAY(J488),"Sun","Mon","Tue","Wed","Thu","Fri","Sat")</f>
        <v>Thu</v>
      </c>
      <c r="L488" s="64">
        <v>0.85416666666666674</v>
      </c>
      <c r="M488" s="35"/>
      <c r="N488" s="35">
        <v>2.95</v>
      </c>
      <c r="O488" s="35">
        <v>487</v>
      </c>
      <c r="P488" s="379" t="str">
        <f t="shared" si="7"/>
        <v/>
      </c>
      <c r="Q488" s="398" t="str">
        <f ca="1">VLOOKUP(EpisodeList[[#This Row],[Season Number]], INDIRECT("'" &amp; EpisodeList[[#This Row],[Show]] &amp; " Season Info'!C2:J15"), 8,1)</f>
        <v>2012-13</v>
      </c>
    </row>
    <row r="489" spans="1:17" x14ac:dyDescent="0.2">
      <c r="A489" s="25" t="s">
        <v>687</v>
      </c>
      <c r="B489" s="66" t="s">
        <v>222</v>
      </c>
      <c r="C489" s="66">
        <v>4</v>
      </c>
      <c r="D489" s="66" t="str">
        <f>A489&amp; " S" &amp;C489</f>
        <v>Community S4</v>
      </c>
      <c r="E489" s="66">
        <v>75</v>
      </c>
      <c r="F489" s="66">
        <v>4</v>
      </c>
      <c r="G489" s="429" t="s">
        <v>627</v>
      </c>
      <c r="H489" s="66" t="s">
        <v>611</v>
      </c>
      <c r="I489" s="66" t="s">
        <v>628</v>
      </c>
      <c r="J489" s="459">
        <v>41333</v>
      </c>
      <c r="K489" s="66" t="str">
        <f>CHOOSE(WEEKDAY(J489),"Sun","Mon","Tue","Wed","Thu","Fri","Sat")</f>
        <v>Thu</v>
      </c>
      <c r="L489" s="67">
        <v>0.83333333333333326</v>
      </c>
      <c r="M489" s="66">
        <v>402</v>
      </c>
      <c r="N489" s="66">
        <v>2.83</v>
      </c>
      <c r="O489" s="66">
        <v>488</v>
      </c>
      <c r="P489" s="381" t="str">
        <f t="shared" si="7"/>
        <v/>
      </c>
      <c r="Q489" s="400" t="str">
        <f ca="1">VLOOKUP(EpisodeList[[#This Row],[Season Number]], INDIRECT("'" &amp; EpisodeList[[#This Row],[Show]] &amp; " Season Info'!C2:J15"), 8,1)</f>
        <v>2012-13</v>
      </c>
    </row>
    <row r="490" spans="1:17" x14ac:dyDescent="0.2">
      <c r="A490" s="25" t="s">
        <v>687</v>
      </c>
      <c r="B490" s="66" t="s">
        <v>222</v>
      </c>
      <c r="C490" s="66">
        <v>4</v>
      </c>
      <c r="D490" s="66" t="str">
        <f>A490&amp; " S" &amp;C490</f>
        <v>Community S4</v>
      </c>
      <c r="E490" s="66">
        <v>76</v>
      </c>
      <c r="F490" s="66">
        <v>5</v>
      </c>
      <c r="G490" s="429" t="s">
        <v>629</v>
      </c>
      <c r="H490" s="66" t="s">
        <v>544</v>
      </c>
      <c r="I490" s="66" t="s">
        <v>601</v>
      </c>
      <c r="J490" s="459">
        <v>41340</v>
      </c>
      <c r="K490" s="66" t="str">
        <f>CHOOSE(WEEKDAY(J490),"Sun","Mon","Tue","Wed","Thu","Fri","Sat")</f>
        <v>Thu</v>
      </c>
      <c r="L490" s="67">
        <v>0.83333333333333326</v>
      </c>
      <c r="M490" s="66">
        <v>405</v>
      </c>
      <c r="N490" s="66">
        <v>3.29</v>
      </c>
      <c r="O490" s="66">
        <v>489</v>
      </c>
      <c r="P490" s="381" t="str">
        <f t="shared" si="7"/>
        <v/>
      </c>
      <c r="Q490" s="400" t="str">
        <f ca="1">VLOOKUP(EpisodeList[[#This Row],[Season Number]], INDIRECT("'" &amp; EpisodeList[[#This Row],[Show]] &amp; " Season Info'!C2:J15"), 8,1)</f>
        <v>2012-13</v>
      </c>
    </row>
    <row r="491" spans="1:17" x14ac:dyDescent="0.2">
      <c r="A491" s="25" t="s">
        <v>687</v>
      </c>
      <c r="B491" s="66" t="s">
        <v>222</v>
      </c>
      <c r="C491" s="66">
        <v>4</v>
      </c>
      <c r="D491" s="66" t="str">
        <f>A491&amp; " S" &amp;C491</f>
        <v>Community S4</v>
      </c>
      <c r="E491" s="66">
        <v>77</v>
      </c>
      <c r="F491" s="66">
        <v>6</v>
      </c>
      <c r="G491" s="429" t="s">
        <v>630</v>
      </c>
      <c r="H491" s="66" t="s">
        <v>565</v>
      </c>
      <c r="I491" s="66" t="s">
        <v>631</v>
      </c>
      <c r="J491" s="459">
        <v>41347</v>
      </c>
      <c r="K491" s="66" t="str">
        <f>CHOOSE(WEEKDAY(J491),"Sun","Mon","Tue","Wed","Thu","Fri","Sat")</f>
        <v>Thu</v>
      </c>
      <c r="L491" s="67">
        <v>0.83333333333333326</v>
      </c>
      <c r="M491" s="66">
        <v>408</v>
      </c>
      <c r="N491" s="66">
        <v>2.58</v>
      </c>
      <c r="O491" s="66">
        <v>490</v>
      </c>
      <c r="P491" s="381" t="str">
        <f t="shared" si="7"/>
        <v/>
      </c>
      <c r="Q491" s="400" t="str">
        <f ca="1">VLOOKUP(EpisodeList[[#This Row],[Season Number]], INDIRECT("'" &amp; EpisodeList[[#This Row],[Show]] &amp; " Season Info'!C2:J15"), 8,1)</f>
        <v>2012-13</v>
      </c>
    </row>
    <row r="492" spans="1:17" x14ac:dyDescent="0.2">
      <c r="A492" s="21" t="s">
        <v>859</v>
      </c>
      <c r="B492" s="35" t="s">
        <v>223</v>
      </c>
      <c r="C492" s="35">
        <v>5</v>
      </c>
      <c r="D492" s="35" t="str">
        <f>A492&amp; " S" &amp;C492</f>
        <v>Parks and Rec S5</v>
      </c>
      <c r="E492" s="35">
        <v>84</v>
      </c>
      <c r="F492" s="35">
        <v>16</v>
      </c>
      <c r="G492" s="427" t="s">
        <v>800</v>
      </c>
      <c r="H492" s="35" t="s">
        <v>314</v>
      </c>
      <c r="I492" s="35" t="s">
        <v>801</v>
      </c>
      <c r="J492" s="457">
        <v>41347</v>
      </c>
      <c r="K492" s="35" t="str">
        <f>CHOOSE(WEEKDAY(J492),"Sun","Mon","Tue","Wed","Thu","Fri","Sat")</f>
        <v>Thu</v>
      </c>
      <c r="L492" s="64">
        <v>0.85416666666666674</v>
      </c>
      <c r="M492" s="35"/>
      <c r="N492" s="35">
        <v>3</v>
      </c>
      <c r="O492" s="35">
        <v>491</v>
      </c>
      <c r="P492" s="379" t="str">
        <f t="shared" si="7"/>
        <v/>
      </c>
      <c r="Q492" s="398" t="str">
        <f ca="1">VLOOKUP(EpisodeList[[#This Row],[Season Number]], INDIRECT("'" &amp; EpisodeList[[#This Row],[Show]] &amp; " Season Info'!C2:J15"), 8,1)</f>
        <v>2012-13</v>
      </c>
    </row>
    <row r="493" spans="1:17" x14ac:dyDescent="0.2">
      <c r="A493" s="9" t="s">
        <v>243</v>
      </c>
      <c r="B493" s="34" t="s">
        <v>227</v>
      </c>
      <c r="C493" s="34">
        <v>9</v>
      </c>
      <c r="D493" s="34" t="str">
        <f>A493&amp; " S" &amp;C493</f>
        <v>The Office S9</v>
      </c>
      <c r="E493" s="34">
        <v>193</v>
      </c>
      <c r="F493" s="34">
        <v>17</v>
      </c>
      <c r="G493" s="426" t="s">
        <v>484</v>
      </c>
      <c r="H493" s="34" t="s">
        <v>234</v>
      </c>
      <c r="I493" s="34" t="s">
        <v>234</v>
      </c>
      <c r="J493" s="456">
        <v>41347</v>
      </c>
      <c r="K493" s="34" t="str">
        <f>CHOOSE(WEEKDAY(J493),"Sun","Mon","Tue","Wed","Thu","Fri","Sat")</f>
        <v>Thu</v>
      </c>
      <c r="L493" s="63">
        <v>0.875</v>
      </c>
      <c r="M493" s="34">
        <v>9005</v>
      </c>
      <c r="N493" s="34">
        <v>3.54</v>
      </c>
      <c r="O493" s="34">
        <v>492</v>
      </c>
      <c r="P493" s="378" t="str">
        <f t="shared" si="7"/>
        <v/>
      </c>
      <c r="Q493" s="397" t="str">
        <f ca="1">VLOOKUP(EpisodeList[[#This Row],[Season Number]], INDIRECT("'" &amp; EpisodeList[[#This Row],[Show]] &amp; " Season Info'!C2:J15"), 8,1)</f>
        <v>2012-13</v>
      </c>
    </row>
    <row r="494" spans="1:17" x14ac:dyDescent="0.2">
      <c r="A494" s="25" t="s">
        <v>687</v>
      </c>
      <c r="B494" s="66" t="s">
        <v>222</v>
      </c>
      <c r="C494" s="66">
        <v>4</v>
      </c>
      <c r="D494" s="66" t="str">
        <f>A494&amp; " S" &amp;C494</f>
        <v>Community S4</v>
      </c>
      <c r="E494" s="66">
        <v>78</v>
      </c>
      <c r="F494" s="66">
        <v>7</v>
      </c>
      <c r="G494" s="429" t="s">
        <v>632</v>
      </c>
      <c r="H494" s="66" t="s">
        <v>93</v>
      </c>
      <c r="I494" s="66" t="s">
        <v>616</v>
      </c>
      <c r="J494" s="459">
        <v>41354</v>
      </c>
      <c r="K494" s="66" t="str">
        <f>CHOOSE(WEEKDAY(J494),"Sun","Mon","Tue","Wed","Thu","Fri","Sat")</f>
        <v>Thu</v>
      </c>
      <c r="L494" s="67">
        <v>0.83333333333333326</v>
      </c>
      <c r="M494" s="66">
        <v>406</v>
      </c>
      <c r="N494" s="66">
        <v>2.95</v>
      </c>
      <c r="O494" s="66">
        <v>493</v>
      </c>
      <c r="P494" s="381" t="str">
        <f t="shared" si="7"/>
        <v/>
      </c>
      <c r="Q494" s="400" t="str">
        <f ca="1">VLOOKUP(EpisodeList[[#This Row],[Season Number]], INDIRECT("'" &amp; EpisodeList[[#This Row],[Show]] &amp; " Season Info'!C2:J15"), 8,1)</f>
        <v>2012-13</v>
      </c>
    </row>
    <row r="495" spans="1:17" x14ac:dyDescent="0.2">
      <c r="A495" s="25" t="s">
        <v>687</v>
      </c>
      <c r="B495" s="66" t="s">
        <v>222</v>
      </c>
      <c r="C495" s="66">
        <v>4</v>
      </c>
      <c r="D495" s="66" t="str">
        <f>A495&amp; " S" &amp;C495</f>
        <v>Community S4</v>
      </c>
      <c r="E495" s="66">
        <v>79</v>
      </c>
      <c r="F495" s="66">
        <v>8</v>
      </c>
      <c r="G495" s="429" t="s">
        <v>633</v>
      </c>
      <c r="H495" s="66" t="s">
        <v>544</v>
      </c>
      <c r="I495" s="66" t="s">
        <v>634</v>
      </c>
      <c r="J495" s="459">
        <v>41368</v>
      </c>
      <c r="K495" s="66" t="str">
        <f>CHOOSE(WEEKDAY(J495),"Sun","Mon","Tue","Wed","Thu","Fri","Sat")</f>
        <v>Thu</v>
      </c>
      <c r="L495" s="67">
        <v>0.83333333333333326</v>
      </c>
      <c r="M495" s="66">
        <v>407</v>
      </c>
      <c r="N495" s="66">
        <v>2.3199999999999998</v>
      </c>
      <c r="O495" s="66">
        <v>494</v>
      </c>
      <c r="P495" s="381" t="str">
        <f t="shared" si="7"/>
        <v/>
      </c>
      <c r="Q495" s="400" t="str">
        <f ca="1">VLOOKUP(EpisodeList[[#This Row],[Season Number]], INDIRECT("'" &amp; EpisodeList[[#This Row],[Show]] &amp; " Season Info'!C2:J15"), 8,1)</f>
        <v>2012-13</v>
      </c>
    </row>
    <row r="496" spans="1:17" x14ac:dyDescent="0.2">
      <c r="A496" s="21" t="s">
        <v>859</v>
      </c>
      <c r="B496" s="35" t="s">
        <v>223</v>
      </c>
      <c r="C496" s="35">
        <v>5</v>
      </c>
      <c r="D496" s="35" t="str">
        <f>A496&amp; " S" &amp;C496</f>
        <v>Parks and Rec S5</v>
      </c>
      <c r="E496" s="35">
        <v>85</v>
      </c>
      <c r="F496" s="35">
        <v>17</v>
      </c>
      <c r="G496" s="427" t="s">
        <v>802</v>
      </c>
      <c r="H496" s="35" t="s">
        <v>544</v>
      </c>
      <c r="I496" s="35" t="s">
        <v>762</v>
      </c>
      <c r="J496" s="457">
        <v>41368</v>
      </c>
      <c r="K496" s="35" t="str">
        <f>CHOOSE(WEEKDAY(J496),"Sun","Mon","Tue","Wed","Thu","Fri","Sat")</f>
        <v>Thu</v>
      </c>
      <c r="L496" s="64">
        <v>0.85416666666666674</v>
      </c>
      <c r="M496" s="35"/>
      <c r="N496" s="35">
        <v>2.93</v>
      </c>
      <c r="O496" s="35">
        <v>495</v>
      </c>
      <c r="P496" s="379" t="str">
        <f t="shared" si="7"/>
        <v/>
      </c>
      <c r="Q496" s="398" t="str">
        <f ca="1">VLOOKUP(EpisodeList[[#This Row],[Season Number]], INDIRECT("'" &amp; EpisodeList[[#This Row],[Show]] &amp; " Season Info'!C2:J15"), 8,1)</f>
        <v>2012-13</v>
      </c>
    </row>
    <row r="497" spans="1:17" x14ac:dyDescent="0.2">
      <c r="A497" s="9" t="s">
        <v>243</v>
      </c>
      <c r="B497" s="34" t="s">
        <v>227</v>
      </c>
      <c r="C497" s="34">
        <v>9</v>
      </c>
      <c r="D497" s="34" t="str">
        <f>A497&amp; " S" &amp;C497</f>
        <v>The Office S9</v>
      </c>
      <c r="E497" s="34">
        <v>194</v>
      </c>
      <c r="F497" s="34">
        <v>18</v>
      </c>
      <c r="G497" s="426" t="s">
        <v>485</v>
      </c>
      <c r="H497" s="34" t="s">
        <v>255</v>
      </c>
      <c r="I497" s="34" t="s">
        <v>486</v>
      </c>
      <c r="J497" s="456">
        <v>41368</v>
      </c>
      <c r="K497" s="34" t="str">
        <f>CHOOSE(WEEKDAY(J497),"Sun","Mon","Tue","Wed","Thu","Fri","Sat")</f>
        <v>Thu</v>
      </c>
      <c r="L497" s="63">
        <v>0.875</v>
      </c>
      <c r="M497" s="34">
        <v>9018</v>
      </c>
      <c r="N497" s="34">
        <v>3.44</v>
      </c>
      <c r="O497" s="34">
        <v>496</v>
      </c>
      <c r="P497" s="378" t="str">
        <f t="shared" si="7"/>
        <v/>
      </c>
      <c r="Q497" s="397" t="str">
        <f ca="1">VLOOKUP(EpisodeList[[#This Row],[Season Number]], INDIRECT("'" &amp; EpisodeList[[#This Row],[Show]] &amp; " Season Info'!C2:J15"), 8,1)</f>
        <v>2012-13</v>
      </c>
    </row>
    <row r="498" spans="1:17" x14ac:dyDescent="0.2">
      <c r="A498" s="25" t="s">
        <v>687</v>
      </c>
      <c r="B498" s="66" t="s">
        <v>222</v>
      </c>
      <c r="C498" s="66">
        <v>4</v>
      </c>
      <c r="D498" s="66" t="str">
        <f>A498&amp; " S" &amp;C498</f>
        <v>Community S4</v>
      </c>
      <c r="E498" s="66">
        <v>80</v>
      </c>
      <c r="F498" s="66">
        <v>9</v>
      </c>
      <c r="G498" s="429" t="s">
        <v>635</v>
      </c>
      <c r="H498" s="66" t="s">
        <v>544</v>
      </c>
      <c r="I498" s="66" t="s">
        <v>636</v>
      </c>
      <c r="J498" s="459">
        <v>41375</v>
      </c>
      <c r="K498" s="66" t="str">
        <f>CHOOSE(WEEKDAY(J498),"Sun","Mon","Tue","Wed","Thu","Fri","Sat")</f>
        <v>Thu</v>
      </c>
      <c r="L498" s="67">
        <v>0.83333333333333326</v>
      </c>
      <c r="M498" s="66">
        <v>413</v>
      </c>
      <c r="N498" s="66">
        <v>2.84</v>
      </c>
      <c r="O498" s="66">
        <v>497</v>
      </c>
      <c r="P498" s="381" t="str">
        <f t="shared" si="7"/>
        <v/>
      </c>
      <c r="Q498" s="400" t="str">
        <f ca="1">VLOOKUP(EpisodeList[[#This Row],[Season Number]], INDIRECT("'" &amp; EpisodeList[[#This Row],[Show]] &amp; " Season Info'!C2:J15"), 8,1)</f>
        <v>2012-13</v>
      </c>
    </row>
    <row r="499" spans="1:17" x14ac:dyDescent="0.2">
      <c r="A499" s="21" t="s">
        <v>859</v>
      </c>
      <c r="B499" s="35" t="s">
        <v>223</v>
      </c>
      <c r="C499" s="35">
        <v>5</v>
      </c>
      <c r="D499" s="35" t="str">
        <f>A499&amp; " S" &amp;C499</f>
        <v>Parks and Rec S5</v>
      </c>
      <c r="E499" s="35">
        <v>86</v>
      </c>
      <c r="F499" s="35">
        <v>18</v>
      </c>
      <c r="G499" s="427" t="s">
        <v>803</v>
      </c>
      <c r="H499" s="35" t="s">
        <v>314</v>
      </c>
      <c r="I499" s="35" t="s">
        <v>804</v>
      </c>
      <c r="J499" s="457">
        <v>41375</v>
      </c>
      <c r="K499" s="35" t="str">
        <f>CHOOSE(WEEKDAY(J499),"Sun","Mon","Tue","Wed","Thu","Fri","Sat")</f>
        <v>Thu</v>
      </c>
      <c r="L499" s="64">
        <v>0.85416666666666674</v>
      </c>
      <c r="M499" s="35"/>
      <c r="N499" s="35">
        <v>3.15</v>
      </c>
      <c r="O499" s="35">
        <v>498</v>
      </c>
      <c r="P499" s="379" t="str">
        <f t="shared" si="7"/>
        <v/>
      </c>
      <c r="Q499" s="398" t="str">
        <f ca="1">VLOOKUP(EpisodeList[[#This Row],[Season Number]], INDIRECT("'" &amp; EpisodeList[[#This Row],[Show]] &amp; " Season Info'!C2:J15"), 8,1)</f>
        <v>2012-13</v>
      </c>
    </row>
    <row r="500" spans="1:17" x14ac:dyDescent="0.2">
      <c r="A500" s="9" t="s">
        <v>243</v>
      </c>
      <c r="B500" s="34" t="s">
        <v>227</v>
      </c>
      <c r="C500" s="34">
        <v>9</v>
      </c>
      <c r="D500" s="34" t="str">
        <f>A500&amp; " S" &amp;C500</f>
        <v>The Office S9</v>
      </c>
      <c r="E500" s="34">
        <v>195</v>
      </c>
      <c r="F500" s="34">
        <v>19</v>
      </c>
      <c r="G500" s="426" t="s">
        <v>487</v>
      </c>
      <c r="H500" s="34" t="s">
        <v>390</v>
      </c>
      <c r="I500" s="34" t="s">
        <v>468</v>
      </c>
      <c r="J500" s="456">
        <v>41375</v>
      </c>
      <c r="K500" s="34" t="str">
        <f>CHOOSE(WEEKDAY(J500),"Sun","Mon","Tue","Wed","Thu","Fri","Sat")</f>
        <v>Thu</v>
      </c>
      <c r="L500" s="63">
        <v>0.875</v>
      </c>
      <c r="M500" s="34">
        <v>9019</v>
      </c>
      <c r="N500" s="34">
        <v>3.83</v>
      </c>
      <c r="O500" s="34">
        <v>499</v>
      </c>
      <c r="P500" s="378" t="str">
        <f t="shared" si="7"/>
        <v/>
      </c>
      <c r="Q500" s="397" t="str">
        <f ca="1">VLOOKUP(EpisodeList[[#This Row],[Season Number]], INDIRECT("'" &amp; EpisodeList[[#This Row],[Show]] &amp; " Season Info'!C2:J15"), 8,1)</f>
        <v>2012-13</v>
      </c>
    </row>
    <row r="501" spans="1:17" x14ac:dyDescent="0.2">
      <c r="A501" s="25" t="s">
        <v>687</v>
      </c>
      <c r="B501" s="66" t="s">
        <v>222</v>
      </c>
      <c r="C501" s="66">
        <v>4</v>
      </c>
      <c r="D501" s="66" t="str">
        <f>A501&amp; " S" &amp;C501</f>
        <v>Community S4</v>
      </c>
      <c r="E501" s="66">
        <v>81</v>
      </c>
      <c r="F501" s="66">
        <v>10</v>
      </c>
      <c r="G501" s="429" t="s">
        <v>637</v>
      </c>
      <c r="H501" s="66" t="s">
        <v>544</v>
      </c>
      <c r="I501" s="66" t="s">
        <v>555</v>
      </c>
      <c r="J501" s="459">
        <v>41382</v>
      </c>
      <c r="K501" s="66" t="str">
        <f>CHOOSE(WEEKDAY(J501),"Sun","Mon","Tue","Wed","Thu","Fri","Sat")</f>
        <v>Thu</v>
      </c>
      <c r="L501" s="67">
        <v>0.83333333333333326</v>
      </c>
      <c r="M501" s="66">
        <v>409</v>
      </c>
      <c r="N501" s="66">
        <v>3.13</v>
      </c>
      <c r="O501" s="66">
        <v>500</v>
      </c>
      <c r="P501" s="381" t="str">
        <f t="shared" si="7"/>
        <v/>
      </c>
      <c r="Q501" s="400" t="str">
        <f ca="1">VLOOKUP(EpisodeList[[#This Row],[Season Number]], INDIRECT("'" &amp; EpisodeList[[#This Row],[Show]] &amp; " Season Info'!C2:J15"), 8,1)</f>
        <v>2012-13</v>
      </c>
    </row>
    <row r="502" spans="1:17" x14ac:dyDescent="0.2">
      <c r="A502" s="21" t="s">
        <v>859</v>
      </c>
      <c r="B502" s="35" t="s">
        <v>223</v>
      </c>
      <c r="C502" s="35">
        <v>5</v>
      </c>
      <c r="D502" s="35" t="str">
        <f>A502&amp; " S" &amp;C502</f>
        <v>Parks and Rec S5</v>
      </c>
      <c r="E502" s="35">
        <v>87</v>
      </c>
      <c r="F502" s="35">
        <v>19</v>
      </c>
      <c r="G502" s="427" t="s">
        <v>805</v>
      </c>
      <c r="H502" s="35" t="s">
        <v>727</v>
      </c>
      <c r="I502" s="35" t="s">
        <v>595</v>
      </c>
      <c r="J502" s="457">
        <v>41382</v>
      </c>
      <c r="K502" s="35" t="str">
        <f>CHOOSE(WEEKDAY(J502),"Sun","Mon","Tue","Wed","Thu","Fri","Sat")</f>
        <v>Thu</v>
      </c>
      <c r="L502" s="64">
        <v>0.85416666666666674</v>
      </c>
      <c r="M502" s="35"/>
      <c r="N502" s="35">
        <v>3.35</v>
      </c>
      <c r="O502" s="35">
        <v>501</v>
      </c>
      <c r="P502" s="379" t="str">
        <f t="shared" si="7"/>
        <v/>
      </c>
      <c r="Q502" s="398" t="str">
        <f ca="1">VLOOKUP(EpisodeList[[#This Row],[Season Number]], INDIRECT("'" &amp; EpisodeList[[#This Row],[Show]] &amp; " Season Info'!C2:J15"), 8,1)</f>
        <v>2012-13</v>
      </c>
    </row>
    <row r="503" spans="1:17" x14ac:dyDescent="0.2">
      <c r="A503" s="21" t="s">
        <v>859</v>
      </c>
      <c r="B503" s="35" t="s">
        <v>223</v>
      </c>
      <c r="C503" s="35">
        <v>5</v>
      </c>
      <c r="D503" s="35" t="str">
        <f>A503&amp; " S" &amp;C503</f>
        <v>Parks and Rec S5</v>
      </c>
      <c r="E503" s="35">
        <v>88</v>
      </c>
      <c r="F503" s="35">
        <v>20</v>
      </c>
      <c r="G503" s="427" t="s">
        <v>806</v>
      </c>
      <c r="H503" s="35" t="s">
        <v>743</v>
      </c>
      <c r="I503" s="35" t="s">
        <v>807</v>
      </c>
      <c r="J503" s="457">
        <v>41382</v>
      </c>
      <c r="K503" s="35" t="str">
        <f>CHOOSE(WEEKDAY(J503),"Sun","Mon","Tue","Wed","Thu","Fri","Sat")</f>
        <v>Thu</v>
      </c>
      <c r="L503" s="64">
        <v>0.85416666666666674</v>
      </c>
      <c r="M503" s="35"/>
      <c r="N503" s="35">
        <v>3.34</v>
      </c>
      <c r="O503" s="35">
        <v>502</v>
      </c>
      <c r="P503" s="379" t="str">
        <f t="shared" si="7"/>
        <v/>
      </c>
      <c r="Q503" s="398" t="str">
        <f ca="1">VLOOKUP(EpisodeList[[#This Row],[Season Number]], INDIRECT("'" &amp; EpisodeList[[#This Row],[Show]] &amp; " Season Info'!C2:J15"), 8,1)</f>
        <v>2012-13</v>
      </c>
    </row>
    <row r="504" spans="1:17" x14ac:dyDescent="0.2">
      <c r="A504" s="25" t="s">
        <v>687</v>
      </c>
      <c r="B504" s="66" t="s">
        <v>222</v>
      </c>
      <c r="C504" s="66">
        <v>4</v>
      </c>
      <c r="D504" s="66" t="str">
        <f>A504&amp; " S" &amp;C504</f>
        <v>Community S4</v>
      </c>
      <c r="E504" s="66">
        <v>82</v>
      </c>
      <c r="F504" s="66">
        <v>11</v>
      </c>
      <c r="G504" s="429" t="s">
        <v>638</v>
      </c>
      <c r="H504" s="66" t="s">
        <v>140</v>
      </c>
      <c r="I504" s="66" t="s">
        <v>639</v>
      </c>
      <c r="J504" s="459">
        <v>41389</v>
      </c>
      <c r="K504" s="66" t="str">
        <f>CHOOSE(WEEKDAY(J504),"Sun","Mon","Tue","Wed","Thu","Fri","Sat")</f>
        <v>Thu</v>
      </c>
      <c r="L504" s="67">
        <v>0.83333333333333326</v>
      </c>
      <c r="M504" s="66">
        <v>410</v>
      </c>
      <c r="N504" s="66">
        <v>2.33</v>
      </c>
      <c r="O504" s="66">
        <v>503</v>
      </c>
      <c r="P504" s="381" t="str">
        <f t="shared" si="7"/>
        <v/>
      </c>
      <c r="Q504" s="400" t="str">
        <f ca="1">VLOOKUP(EpisodeList[[#This Row],[Season Number]], INDIRECT("'" &amp; EpisodeList[[#This Row],[Show]] &amp; " Season Info'!C2:J15"), 8,1)</f>
        <v>2012-13</v>
      </c>
    </row>
    <row r="505" spans="1:17" x14ac:dyDescent="0.2">
      <c r="A505" s="21" t="s">
        <v>859</v>
      </c>
      <c r="B505" s="35" t="s">
        <v>223</v>
      </c>
      <c r="C505" s="35">
        <v>5</v>
      </c>
      <c r="D505" s="35" t="str">
        <f>A505&amp; " S" &amp;C505</f>
        <v>Parks and Rec S5</v>
      </c>
      <c r="E505" s="35">
        <v>89</v>
      </c>
      <c r="F505" s="35">
        <v>21</v>
      </c>
      <c r="G505" s="427" t="s">
        <v>808</v>
      </c>
      <c r="H505" s="35" t="s">
        <v>695</v>
      </c>
      <c r="I505" s="35" t="s">
        <v>809</v>
      </c>
      <c r="J505" s="457">
        <v>41389</v>
      </c>
      <c r="K505" s="35" t="str">
        <f>CHOOSE(WEEKDAY(J505),"Sun","Mon","Tue","Wed","Thu","Fri","Sat")</f>
        <v>Thu</v>
      </c>
      <c r="L505" s="64">
        <v>0.85416666666666674</v>
      </c>
      <c r="M505" s="35"/>
      <c r="N505" s="35">
        <v>2.59</v>
      </c>
      <c r="O505" s="35">
        <v>504</v>
      </c>
      <c r="P505" s="379" t="str">
        <f t="shared" si="7"/>
        <v/>
      </c>
      <c r="Q505" s="398" t="str">
        <f ca="1">VLOOKUP(EpisodeList[[#This Row],[Season Number]], INDIRECT("'" &amp; EpisodeList[[#This Row],[Show]] &amp; " Season Info'!C2:J15"), 8,1)</f>
        <v>2012-13</v>
      </c>
    </row>
    <row r="506" spans="1:17" x14ac:dyDescent="0.2">
      <c r="A506" s="9" t="s">
        <v>243</v>
      </c>
      <c r="B506" s="34" t="s">
        <v>227</v>
      </c>
      <c r="C506" s="34">
        <v>9</v>
      </c>
      <c r="D506" s="34" t="str">
        <f>A506&amp; " S" &amp;C506</f>
        <v>The Office S9</v>
      </c>
      <c r="E506" s="34">
        <v>196</v>
      </c>
      <c r="F506" s="34">
        <v>20</v>
      </c>
      <c r="G506" s="426" t="s">
        <v>488</v>
      </c>
      <c r="H506" s="34" t="s">
        <v>489</v>
      </c>
      <c r="I506" s="34" t="s">
        <v>412</v>
      </c>
      <c r="J506" s="456">
        <v>41389</v>
      </c>
      <c r="K506" s="34" t="str">
        <f>CHOOSE(WEEKDAY(J506),"Sun","Mon","Tue","Wed","Thu","Fri","Sat")</f>
        <v>Thu</v>
      </c>
      <c r="L506" s="63">
        <v>0.875</v>
      </c>
      <c r="M506" s="34">
        <v>9020</v>
      </c>
      <c r="N506" s="34">
        <v>3.25</v>
      </c>
      <c r="O506" s="34">
        <v>505</v>
      </c>
      <c r="P506" s="378" t="str">
        <f t="shared" si="7"/>
        <v/>
      </c>
      <c r="Q506" s="397" t="str">
        <f ca="1">VLOOKUP(EpisodeList[[#This Row],[Season Number]], INDIRECT("'" &amp; EpisodeList[[#This Row],[Show]] &amp; " Season Info'!C2:J15"), 8,1)</f>
        <v>2012-13</v>
      </c>
    </row>
    <row r="507" spans="1:17" x14ac:dyDescent="0.2">
      <c r="A507" s="25" t="s">
        <v>687</v>
      </c>
      <c r="B507" s="66" t="s">
        <v>222</v>
      </c>
      <c r="C507" s="66">
        <v>4</v>
      </c>
      <c r="D507" s="66" t="str">
        <f>A507&amp; " S" &amp;C507</f>
        <v>Community S4</v>
      </c>
      <c r="E507" s="66">
        <v>83</v>
      </c>
      <c r="F507" s="66">
        <v>12</v>
      </c>
      <c r="G507" s="429" t="s">
        <v>640</v>
      </c>
      <c r="H507" s="66" t="s">
        <v>263</v>
      </c>
      <c r="I507" s="66" t="s">
        <v>641</v>
      </c>
      <c r="J507" s="459">
        <v>41396</v>
      </c>
      <c r="K507" s="66" t="str">
        <f>CHOOSE(WEEKDAY(J507),"Sun","Mon","Tue","Wed","Thu","Fri","Sat")</f>
        <v>Thu</v>
      </c>
      <c r="L507" s="67">
        <v>0.83333333333333326</v>
      </c>
      <c r="M507" s="66">
        <v>412</v>
      </c>
      <c r="N507" s="66">
        <v>2.67</v>
      </c>
      <c r="O507" s="66">
        <v>506</v>
      </c>
      <c r="P507" s="381" t="str">
        <f t="shared" si="7"/>
        <v/>
      </c>
      <c r="Q507" s="400" t="str">
        <f ca="1">VLOOKUP(EpisodeList[[#This Row],[Season Number]], INDIRECT("'" &amp; EpisodeList[[#This Row],[Show]] &amp; " Season Info'!C2:J15"), 8,1)</f>
        <v>2012-13</v>
      </c>
    </row>
    <row r="508" spans="1:17" x14ac:dyDescent="0.2">
      <c r="A508" s="21" t="s">
        <v>859</v>
      </c>
      <c r="B508" s="35" t="s">
        <v>223</v>
      </c>
      <c r="C508" s="35">
        <v>5</v>
      </c>
      <c r="D508" s="35" t="str">
        <f>A508&amp; " S" &amp;C508</f>
        <v>Parks and Rec S5</v>
      </c>
      <c r="E508" s="35">
        <v>90</v>
      </c>
      <c r="F508" s="35">
        <v>22</v>
      </c>
      <c r="G508" s="427" t="s">
        <v>810</v>
      </c>
      <c r="H508" s="35" t="s">
        <v>348</v>
      </c>
      <c r="I508" s="35" t="s">
        <v>237</v>
      </c>
      <c r="J508" s="457">
        <v>41396</v>
      </c>
      <c r="K508" s="35" t="str">
        <f>CHOOSE(WEEKDAY(J508),"Sun","Mon","Tue","Wed","Thu","Fri","Sat")</f>
        <v>Thu</v>
      </c>
      <c r="L508" s="64">
        <v>0.85416666666666674</v>
      </c>
      <c r="M508" s="35"/>
      <c r="N508" s="35">
        <v>2.99</v>
      </c>
      <c r="O508" s="35">
        <v>507</v>
      </c>
      <c r="P508" s="379" t="str">
        <f t="shared" si="7"/>
        <v/>
      </c>
      <c r="Q508" s="398" t="str">
        <f ca="1">VLOOKUP(EpisodeList[[#This Row],[Season Number]], INDIRECT("'" &amp; EpisodeList[[#This Row],[Show]] &amp; " Season Info'!C2:J15"), 8,1)</f>
        <v>2012-13</v>
      </c>
    </row>
    <row r="509" spans="1:17" x14ac:dyDescent="0.2">
      <c r="A509" s="9" t="s">
        <v>243</v>
      </c>
      <c r="B509" s="34" t="s">
        <v>227</v>
      </c>
      <c r="C509" s="34">
        <v>9</v>
      </c>
      <c r="D509" s="34" t="str">
        <f>A509&amp; " S" &amp;C509</f>
        <v>The Office S9</v>
      </c>
      <c r="E509" s="34">
        <v>197</v>
      </c>
      <c r="F509" s="34">
        <v>21</v>
      </c>
      <c r="G509" s="426" t="s">
        <v>500</v>
      </c>
      <c r="H509" s="34" t="s">
        <v>286</v>
      </c>
      <c r="I509" s="34" t="s">
        <v>475</v>
      </c>
      <c r="J509" s="456">
        <v>41396</v>
      </c>
      <c r="K509" s="34" t="str">
        <f>CHOOSE(WEEKDAY(J509),"Sun","Mon","Tue","Wed","Thu","Fri","Sat")</f>
        <v>Thu</v>
      </c>
      <c r="L509" s="63">
        <v>0.875</v>
      </c>
      <c r="M509" s="34">
        <v>9021</v>
      </c>
      <c r="N509" s="34">
        <v>3.51</v>
      </c>
      <c r="O509" s="34">
        <v>508</v>
      </c>
      <c r="P509" s="378" t="str">
        <f t="shared" si="7"/>
        <v/>
      </c>
      <c r="Q509" s="397" t="str">
        <f ca="1">VLOOKUP(EpisodeList[[#This Row],[Season Number]], INDIRECT("'" &amp; EpisodeList[[#This Row],[Show]] &amp; " Season Info'!C2:J15"), 8,1)</f>
        <v>2012-13</v>
      </c>
    </row>
    <row r="510" spans="1:17" x14ac:dyDescent="0.2">
      <c r="A510" s="25" t="s">
        <v>687</v>
      </c>
      <c r="B510" s="66" t="s">
        <v>222</v>
      </c>
      <c r="C510" s="66">
        <v>4</v>
      </c>
      <c r="D510" s="66" t="str">
        <f>A510&amp; " S" &amp;C510</f>
        <v>Community S4</v>
      </c>
      <c r="E510" s="66">
        <v>84</v>
      </c>
      <c r="F510" s="66">
        <v>13</v>
      </c>
      <c r="G510" s="429" t="s">
        <v>642</v>
      </c>
      <c r="H510" s="66" t="s">
        <v>544</v>
      </c>
      <c r="I510" s="66" t="s">
        <v>562</v>
      </c>
      <c r="J510" s="459">
        <v>41403</v>
      </c>
      <c r="K510" s="66" t="str">
        <f>CHOOSE(WEEKDAY(J510),"Sun","Mon","Tue","Wed","Thu","Fri","Sat")</f>
        <v>Thu</v>
      </c>
      <c r="L510" s="67">
        <v>0.83333333333333326</v>
      </c>
      <c r="M510" s="66">
        <v>411</v>
      </c>
      <c r="N510" s="66">
        <v>3.08</v>
      </c>
      <c r="O510" s="66">
        <v>509</v>
      </c>
      <c r="P510" s="381" t="str">
        <f t="shared" si="7"/>
        <v/>
      </c>
      <c r="Q510" s="400" t="str">
        <f ca="1">VLOOKUP(EpisodeList[[#This Row],[Season Number]], INDIRECT("'" &amp; EpisodeList[[#This Row],[Show]] &amp; " Season Info'!C2:J15"), 8,1)</f>
        <v>2012-13</v>
      </c>
    </row>
    <row r="511" spans="1:17" x14ac:dyDescent="0.2">
      <c r="A511" s="9" t="s">
        <v>243</v>
      </c>
      <c r="B511" s="34" t="s">
        <v>227</v>
      </c>
      <c r="C511" s="34">
        <v>9</v>
      </c>
      <c r="D511" s="34" t="str">
        <f>A511&amp; " S" &amp;C511</f>
        <v>The Office S9</v>
      </c>
      <c r="E511" s="34">
        <v>198</v>
      </c>
      <c r="F511" s="34">
        <v>22</v>
      </c>
      <c r="G511" s="426" t="s">
        <v>501</v>
      </c>
      <c r="H511" s="34" t="s">
        <v>339</v>
      </c>
      <c r="I511" s="34" t="s">
        <v>284</v>
      </c>
      <c r="J511" s="456">
        <v>41403</v>
      </c>
      <c r="K511" s="34" t="str">
        <f>CHOOSE(WEEKDAY(J511),"Sun","Mon","Tue","Wed","Thu","Fri","Sat")</f>
        <v>Thu</v>
      </c>
      <c r="L511" s="63">
        <v>0.875</v>
      </c>
      <c r="M511" s="34">
        <v>9022</v>
      </c>
      <c r="N511" s="34">
        <v>4.5599999999999996</v>
      </c>
      <c r="O511" s="34">
        <v>510</v>
      </c>
      <c r="P511" s="378" t="str">
        <f t="shared" si="7"/>
        <v/>
      </c>
      <c r="Q511" s="397" t="str">
        <f ca="1">VLOOKUP(EpisodeList[[#This Row],[Season Number]], INDIRECT("'" &amp; EpisodeList[[#This Row],[Show]] &amp; " Season Info'!C2:J15"), 8,1)</f>
        <v>2012-13</v>
      </c>
    </row>
    <row r="512" spans="1:17" x14ac:dyDescent="0.2">
      <c r="A512" s="9" t="s">
        <v>243</v>
      </c>
      <c r="B512" s="34" t="s">
        <v>227</v>
      </c>
      <c r="C512" s="34">
        <v>9</v>
      </c>
      <c r="D512" s="34" t="str">
        <f>A512&amp; " S" &amp;C512</f>
        <v>The Office S9</v>
      </c>
      <c r="E512" s="34">
        <v>199</v>
      </c>
      <c r="F512" s="34">
        <v>23</v>
      </c>
      <c r="G512" s="426" t="s">
        <v>501</v>
      </c>
      <c r="H512" s="34" t="s">
        <v>339</v>
      </c>
      <c r="I512" s="34" t="s">
        <v>284</v>
      </c>
      <c r="J512" s="456">
        <v>41403</v>
      </c>
      <c r="K512" s="34" t="str">
        <f>CHOOSE(WEEKDAY(J512),"Sun","Mon","Tue","Wed","Thu","Fri","Sat")</f>
        <v>Thu</v>
      </c>
      <c r="L512" s="63">
        <v>0.89583333333333337</v>
      </c>
      <c r="M512" s="34">
        <v>9023</v>
      </c>
      <c r="N512" s="34">
        <v>4.5599999999999996</v>
      </c>
      <c r="O512" s="34">
        <v>511</v>
      </c>
      <c r="P512" s="378" t="str">
        <f t="shared" si="7"/>
        <v/>
      </c>
      <c r="Q512" s="397" t="str">
        <f ca="1">VLOOKUP(EpisodeList[[#This Row],[Season Number]], INDIRECT("'" &amp; EpisodeList[[#This Row],[Show]] &amp; " Season Info'!C2:J15"), 8,1)</f>
        <v>2012-13</v>
      </c>
    </row>
    <row r="513" spans="1:17" x14ac:dyDescent="0.2">
      <c r="A513" s="9" t="s">
        <v>243</v>
      </c>
      <c r="B513" s="34" t="s">
        <v>227</v>
      </c>
      <c r="C513" s="34">
        <v>9</v>
      </c>
      <c r="D513" s="34" t="str">
        <f>A513&amp; " S" &amp;C513</f>
        <v>The Office S9</v>
      </c>
      <c r="E513" s="34">
        <v>200</v>
      </c>
      <c r="F513" s="34">
        <v>24</v>
      </c>
      <c r="G513" s="426" t="s">
        <v>490</v>
      </c>
      <c r="H513" s="34" t="s">
        <v>229</v>
      </c>
      <c r="I513" s="34" t="s">
        <v>239</v>
      </c>
      <c r="J513" s="456">
        <v>41410</v>
      </c>
      <c r="K513" s="34" t="str">
        <f>CHOOSE(WEEKDAY(J513),"Sun","Mon","Tue","Wed","Thu","Fri","Sat")</f>
        <v>Thu</v>
      </c>
      <c r="L513" s="63">
        <v>0.875</v>
      </c>
      <c r="M513" s="34">
        <v>9024</v>
      </c>
      <c r="N513" s="34">
        <v>5.69</v>
      </c>
      <c r="O513" s="34">
        <v>512</v>
      </c>
      <c r="P513" s="378" t="str">
        <f t="shared" si="7"/>
        <v/>
      </c>
      <c r="Q513" s="397" t="str">
        <f ca="1">VLOOKUP(EpisodeList[[#This Row],[Season Number]], INDIRECT("'" &amp; EpisodeList[[#This Row],[Show]] &amp; " Season Info'!C2:J15"), 8,1)</f>
        <v>2012-13</v>
      </c>
    </row>
    <row r="514" spans="1:17" x14ac:dyDescent="0.2">
      <c r="A514" s="9" t="s">
        <v>243</v>
      </c>
      <c r="B514" s="34" t="s">
        <v>227</v>
      </c>
      <c r="C514" s="34">
        <v>9</v>
      </c>
      <c r="D514" s="34" t="str">
        <f>A514&amp; " S" &amp;C514</f>
        <v>The Office S9</v>
      </c>
      <c r="E514" s="34">
        <v>201</v>
      </c>
      <c r="F514" s="34">
        <v>25</v>
      </c>
      <c r="G514" s="426" t="s">
        <v>490</v>
      </c>
      <c r="H514" s="34" t="s">
        <v>229</v>
      </c>
      <c r="I514" s="34" t="s">
        <v>239</v>
      </c>
      <c r="J514" s="456">
        <v>41410</v>
      </c>
      <c r="K514" s="34" t="str">
        <f>CHOOSE(WEEKDAY(J514),"Sun","Mon","Tue","Wed","Thu","Fri","Sat")</f>
        <v>Thu</v>
      </c>
      <c r="L514" s="63">
        <v>0.89583333333333337</v>
      </c>
      <c r="M514" s="34">
        <v>9025</v>
      </c>
      <c r="N514" s="34">
        <v>5.69</v>
      </c>
      <c r="O514" s="34">
        <v>513</v>
      </c>
      <c r="P514" s="378" t="str">
        <f t="shared" ref="P514:P575" si="8">IF(AND(
    COUNTIFS(A:A, A514, J:J, J514) = 1,
    COUNTIFS(A:A, "30 Rock", J:J, J514) = 1,
    COUNTIFS(A:A, "The Office", J:J, J514) = 1,
    COUNTIFS(A:A, "Community", J:J, J514) = 1,
    COUNTIFS(A:A, "Parks and Rec", J:J, J514) = 1
), "Yes", "")</f>
        <v/>
      </c>
      <c r="Q514" s="397" t="str">
        <f ca="1">VLOOKUP(EpisodeList[[#This Row],[Season Number]], INDIRECT("'" &amp; EpisodeList[[#This Row],[Show]] &amp; " Season Info'!C2:J15"), 8,1)</f>
        <v>2012-13</v>
      </c>
    </row>
    <row r="515" spans="1:17" x14ac:dyDescent="0.2">
      <c r="A515" s="21" t="s">
        <v>859</v>
      </c>
      <c r="B515" s="37" t="s">
        <v>224</v>
      </c>
      <c r="C515" s="37">
        <v>6</v>
      </c>
      <c r="D515" s="37" t="str">
        <f>A515&amp; " S" &amp;C515</f>
        <v>Parks and Rec S6</v>
      </c>
      <c r="E515" s="37">
        <v>91</v>
      </c>
      <c r="F515" s="37">
        <v>1</v>
      </c>
      <c r="G515" s="430" t="s">
        <v>840</v>
      </c>
      <c r="H515" s="37" t="s">
        <v>348</v>
      </c>
      <c r="I515" s="37" t="s">
        <v>237</v>
      </c>
      <c r="J515" s="460">
        <v>41543</v>
      </c>
      <c r="K515" s="37" t="str">
        <f>CHOOSE(WEEKDAY(J515),"Sun","Mon","Tue","Wed","Thu","Fri","Sat")</f>
        <v>Thu</v>
      </c>
      <c r="L515" s="68">
        <v>0.83333333333333326</v>
      </c>
      <c r="M515" s="37"/>
      <c r="N515" s="37">
        <v>3.27</v>
      </c>
      <c r="O515" s="37">
        <v>514</v>
      </c>
      <c r="P515" s="382" t="str">
        <f t="shared" si="8"/>
        <v/>
      </c>
      <c r="Q515" s="401" t="str">
        <f ca="1">VLOOKUP(EpisodeList[[#This Row],[Season Number]], INDIRECT("'" &amp; EpisodeList[[#This Row],[Show]] &amp; " Season Info'!C2:J15"), 8,1)</f>
        <v>2013-14</v>
      </c>
    </row>
    <row r="516" spans="1:17" x14ac:dyDescent="0.2">
      <c r="A516" s="21" t="s">
        <v>859</v>
      </c>
      <c r="B516" s="37" t="s">
        <v>224</v>
      </c>
      <c r="C516" s="37">
        <v>6</v>
      </c>
      <c r="D516" s="37" t="str">
        <f>A516&amp; " S" &amp;C516</f>
        <v>Parks and Rec S6</v>
      </c>
      <c r="E516" s="37">
        <v>92</v>
      </c>
      <c r="F516" s="37">
        <v>2</v>
      </c>
      <c r="G516" s="430" t="s">
        <v>840</v>
      </c>
      <c r="H516" s="37" t="s">
        <v>348</v>
      </c>
      <c r="I516" s="37" t="s">
        <v>237</v>
      </c>
      <c r="J516" s="460">
        <v>41543</v>
      </c>
      <c r="K516" s="37" t="str">
        <f>CHOOSE(WEEKDAY(J516),"Sun","Mon","Tue","Wed","Thu","Fri","Sat")</f>
        <v>Thu</v>
      </c>
      <c r="L516" s="68">
        <v>0.83333333333333326</v>
      </c>
      <c r="M516" s="37"/>
      <c r="N516" s="37">
        <v>3.27</v>
      </c>
      <c r="O516" s="37">
        <v>515</v>
      </c>
      <c r="P516" s="382" t="str">
        <f t="shared" si="8"/>
        <v/>
      </c>
      <c r="Q516" s="401" t="str">
        <f ca="1">VLOOKUP(EpisodeList[[#This Row],[Season Number]], INDIRECT("'" &amp; EpisodeList[[#This Row],[Show]] &amp; " Season Info'!C2:J15"), 8,1)</f>
        <v>2013-14</v>
      </c>
    </row>
    <row r="517" spans="1:17" x14ac:dyDescent="0.2">
      <c r="A517" s="21" t="s">
        <v>859</v>
      </c>
      <c r="B517" s="37" t="s">
        <v>224</v>
      </c>
      <c r="C517" s="37">
        <v>6</v>
      </c>
      <c r="D517" s="37" t="str">
        <f>A517&amp; " S" &amp;C517</f>
        <v>Parks and Rec S6</v>
      </c>
      <c r="E517" s="37">
        <v>93</v>
      </c>
      <c r="F517" s="37">
        <v>3</v>
      </c>
      <c r="G517" s="430" t="s">
        <v>813</v>
      </c>
      <c r="H517" s="37" t="s">
        <v>743</v>
      </c>
      <c r="I517" s="37" t="s">
        <v>695</v>
      </c>
      <c r="J517" s="460">
        <v>41550</v>
      </c>
      <c r="K517" s="37" t="str">
        <f>CHOOSE(WEEKDAY(J517),"Sun","Mon","Tue","Wed","Thu","Fri","Sat")</f>
        <v>Thu</v>
      </c>
      <c r="L517" s="68">
        <v>0.83333333333333326</v>
      </c>
      <c r="M517" s="37"/>
      <c r="N517" s="37">
        <v>3.14</v>
      </c>
      <c r="O517" s="37">
        <v>516</v>
      </c>
      <c r="P517" s="382" t="str">
        <f t="shared" si="8"/>
        <v/>
      </c>
      <c r="Q517" s="401" t="str">
        <f ca="1">VLOOKUP(EpisodeList[[#This Row],[Season Number]], INDIRECT("'" &amp; EpisodeList[[#This Row],[Show]] &amp; " Season Info'!C2:J15"), 8,1)</f>
        <v>2013-14</v>
      </c>
    </row>
    <row r="518" spans="1:17" x14ac:dyDescent="0.2">
      <c r="A518" s="21" t="s">
        <v>859</v>
      </c>
      <c r="B518" s="37" t="s">
        <v>224</v>
      </c>
      <c r="C518" s="37">
        <v>6</v>
      </c>
      <c r="D518" s="37" t="str">
        <f>A518&amp; " S" &amp;C518</f>
        <v>Parks and Rec S6</v>
      </c>
      <c r="E518" s="37">
        <v>94</v>
      </c>
      <c r="F518" s="37">
        <v>4</v>
      </c>
      <c r="G518" s="430" t="s">
        <v>814</v>
      </c>
      <c r="H518" s="37" t="s">
        <v>815</v>
      </c>
      <c r="I518" s="37" t="s">
        <v>816</v>
      </c>
      <c r="J518" s="460">
        <v>41557</v>
      </c>
      <c r="K518" s="37" t="str">
        <f>CHOOSE(WEEKDAY(J518),"Sun","Mon","Tue","Wed","Thu","Fri","Sat")</f>
        <v>Thu</v>
      </c>
      <c r="L518" s="68">
        <v>0.83333333333333326</v>
      </c>
      <c r="M518" s="37"/>
      <c r="N518" s="37">
        <v>3.23</v>
      </c>
      <c r="O518" s="37">
        <v>517</v>
      </c>
      <c r="P518" s="382" t="str">
        <f t="shared" si="8"/>
        <v/>
      </c>
      <c r="Q518" s="401" t="str">
        <f ca="1">VLOOKUP(EpisodeList[[#This Row],[Season Number]], INDIRECT("'" &amp; EpisodeList[[#This Row],[Show]] &amp; " Season Info'!C2:J15"), 8,1)</f>
        <v>2013-14</v>
      </c>
    </row>
    <row r="519" spans="1:17" x14ac:dyDescent="0.2">
      <c r="A519" s="21" t="s">
        <v>859</v>
      </c>
      <c r="B519" s="37" t="s">
        <v>224</v>
      </c>
      <c r="C519" s="37">
        <v>6</v>
      </c>
      <c r="D519" s="37" t="str">
        <f>A519&amp; " S" &amp;C519</f>
        <v>Parks and Rec S6</v>
      </c>
      <c r="E519" s="37">
        <v>95</v>
      </c>
      <c r="F519" s="37">
        <v>5</v>
      </c>
      <c r="G519" s="430" t="s">
        <v>817</v>
      </c>
      <c r="H519" s="37" t="s">
        <v>756</v>
      </c>
      <c r="I519" s="37" t="s">
        <v>595</v>
      </c>
      <c r="J519" s="460">
        <v>41564</v>
      </c>
      <c r="K519" s="37" t="str">
        <f>CHOOSE(WEEKDAY(J519),"Sun","Mon","Tue","Wed","Thu","Fri","Sat")</f>
        <v>Thu</v>
      </c>
      <c r="L519" s="68">
        <v>0.83333333333333326</v>
      </c>
      <c r="M519" s="37"/>
      <c r="N519" s="37">
        <v>3.27</v>
      </c>
      <c r="O519" s="37">
        <v>518</v>
      </c>
      <c r="P519" s="382" t="str">
        <f t="shared" si="8"/>
        <v/>
      </c>
      <c r="Q519" s="401" t="str">
        <f ca="1">VLOOKUP(EpisodeList[[#This Row],[Season Number]], INDIRECT("'" &amp; EpisodeList[[#This Row],[Show]] &amp; " Season Info'!C2:J15"), 8,1)</f>
        <v>2013-14</v>
      </c>
    </row>
    <row r="520" spans="1:17" x14ac:dyDescent="0.2">
      <c r="A520" s="21" t="s">
        <v>859</v>
      </c>
      <c r="B520" s="37" t="s">
        <v>224</v>
      </c>
      <c r="C520" s="37">
        <v>6</v>
      </c>
      <c r="D520" s="37" t="str">
        <f>A520&amp; " S" &amp;C520</f>
        <v>Parks and Rec S6</v>
      </c>
      <c r="E520" s="37">
        <v>96</v>
      </c>
      <c r="F520" s="37">
        <v>6</v>
      </c>
      <c r="G520" s="430" t="s">
        <v>818</v>
      </c>
      <c r="H520" s="37" t="s">
        <v>767</v>
      </c>
      <c r="I520" s="37" t="s">
        <v>706</v>
      </c>
      <c r="J520" s="460">
        <v>41592</v>
      </c>
      <c r="K520" s="37" t="str">
        <f>CHOOSE(WEEKDAY(J520),"Sun","Mon","Tue","Wed","Thu","Fri","Sat")</f>
        <v>Thu</v>
      </c>
      <c r="L520" s="68">
        <v>0.83333333333333326</v>
      </c>
      <c r="M520" s="37"/>
      <c r="N520" s="37">
        <v>3.03</v>
      </c>
      <c r="O520" s="37">
        <v>519</v>
      </c>
      <c r="P520" s="382" t="str">
        <f t="shared" si="8"/>
        <v/>
      </c>
      <c r="Q520" s="401" t="str">
        <f ca="1">VLOOKUP(EpisodeList[[#This Row],[Season Number]], INDIRECT("'" &amp; EpisodeList[[#This Row],[Show]] &amp; " Season Info'!C2:J15"), 8,1)</f>
        <v>2013-14</v>
      </c>
    </row>
    <row r="521" spans="1:17" x14ac:dyDescent="0.2">
      <c r="A521" s="21" t="s">
        <v>859</v>
      </c>
      <c r="B521" s="37" t="s">
        <v>224</v>
      </c>
      <c r="C521" s="37">
        <v>6</v>
      </c>
      <c r="D521" s="37" t="str">
        <f>A521&amp; " S" &amp;C521</f>
        <v>Parks and Rec S6</v>
      </c>
      <c r="E521" s="37">
        <v>97</v>
      </c>
      <c r="F521" s="37">
        <v>7</v>
      </c>
      <c r="G521" s="430" t="s">
        <v>819</v>
      </c>
      <c r="H521" s="37" t="s">
        <v>733</v>
      </c>
      <c r="I521" s="37" t="s">
        <v>709</v>
      </c>
      <c r="J521" s="460">
        <v>41592</v>
      </c>
      <c r="K521" s="37" t="str">
        <f>CHOOSE(WEEKDAY(J521),"Sun","Mon","Tue","Wed","Thu","Fri","Sat")</f>
        <v>Thu</v>
      </c>
      <c r="L521" s="68">
        <v>0.83333333333333326</v>
      </c>
      <c r="M521" s="37"/>
      <c r="N521" s="37">
        <v>3.03</v>
      </c>
      <c r="O521" s="37">
        <v>520</v>
      </c>
      <c r="P521" s="382" t="str">
        <f t="shared" si="8"/>
        <v/>
      </c>
      <c r="Q521" s="401" t="str">
        <f ca="1">VLOOKUP(EpisodeList[[#This Row],[Season Number]], INDIRECT("'" &amp; EpisodeList[[#This Row],[Show]] &amp; " Season Info'!C2:J15"), 8,1)</f>
        <v>2013-14</v>
      </c>
    </row>
    <row r="522" spans="1:17" x14ac:dyDescent="0.2">
      <c r="A522" s="21" t="s">
        <v>859</v>
      </c>
      <c r="B522" s="37" t="s">
        <v>224</v>
      </c>
      <c r="C522" s="37">
        <v>6</v>
      </c>
      <c r="D522" s="37" t="str">
        <f>A522&amp; " S" &amp;C522</f>
        <v>Parks and Rec S6</v>
      </c>
      <c r="E522" s="37">
        <v>98</v>
      </c>
      <c r="F522" s="37">
        <v>8</v>
      </c>
      <c r="G522" s="430" t="s">
        <v>820</v>
      </c>
      <c r="H522" s="37" t="s">
        <v>723</v>
      </c>
      <c r="I522" s="37" t="s">
        <v>29</v>
      </c>
      <c r="J522" s="460">
        <v>41599</v>
      </c>
      <c r="K522" s="37" t="str">
        <f>CHOOSE(WEEKDAY(J522),"Sun","Mon","Tue","Wed","Thu","Fri","Sat")</f>
        <v>Thu</v>
      </c>
      <c r="L522" s="68">
        <v>0.83333333333333326</v>
      </c>
      <c r="M522" s="37"/>
      <c r="N522" s="37">
        <v>2.81</v>
      </c>
      <c r="O522" s="37">
        <v>521</v>
      </c>
      <c r="P522" s="382" t="str">
        <f t="shared" si="8"/>
        <v/>
      </c>
      <c r="Q522" s="401" t="str">
        <f ca="1">VLOOKUP(EpisodeList[[#This Row],[Season Number]], INDIRECT("'" &amp; EpisodeList[[#This Row],[Show]] &amp; " Season Info'!C2:J15"), 8,1)</f>
        <v>2013-14</v>
      </c>
    </row>
    <row r="523" spans="1:17" x14ac:dyDescent="0.2">
      <c r="A523" s="21" t="s">
        <v>859</v>
      </c>
      <c r="B523" s="37" t="s">
        <v>224</v>
      </c>
      <c r="C523" s="37">
        <v>6</v>
      </c>
      <c r="D523" s="37" t="str">
        <f>A523&amp; " S" &amp;C523</f>
        <v>Parks and Rec S6</v>
      </c>
      <c r="E523" s="37">
        <v>99</v>
      </c>
      <c r="F523" s="37">
        <v>9</v>
      </c>
      <c r="G523" s="430" t="s">
        <v>821</v>
      </c>
      <c r="H523" s="37" t="s">
        <v>822</v>
      </c>
      <c r="I523" s="37" t="s">
        <v>762</v>
      </c>
      <c r="J523" s="460">
        <v>41599</v>
      </c>
      <c r="K523" s="37" t="str">
        <f>CHOOSE(WEEKDAY(J523),"Sun","Mon","Tue","Wed","Thu","Fri","Sat")</f>
        <v>Thu</v>
      </c>
      <c r="L523" s="68">
        <v>0.83333333333333326</v>
      </c>
      <c r="M523" s="37"/>
      <c r="N523" s="37">
        <v>2.81</v>
      </c>
      <c r="O523" s="37">
        <v>522</v>
      </c>
      <c r="P523" s="382" t="str">
        <f t="shared" si="8"/>
        <v/>
      </c>
      <c r="Q523" s="401" t="str">
        <f ca="1">VLOOKUP(EpisodeList[[#This Row],[Season Number]], INDIRECT("'" &amp; EpisodeList[[#This Row],[Show]] &amp; " Season Info'!C2:J15"), 8,1)</f>
        <v>2013-14</v>
      </c>
    </row>
    <row r="524" spans="1:17" x14ac:dyDescent="0.2">
      <c r="A524" s="25" t="s">
        <v>687</v>
      </c>
      <c r="B524" s="69" t="s">
        <v>223</v>
      </c>
      <c r="C524" s="69">
        <v>5</v>
      </c>
      <c r="D524" s="69" t="str">
        <f>A524&amp; " S" &amp;C524</f>
        <v>Community S5</v>
      </c>
      <c r="E524" s="69">
        <v>85</v>
      </c>
      <c r="F524" s="69">
        <v>1</v>
      </c>
      <c r="G524" s="431" t="s">
        <v>643</v>
      </c>
      <c r="H524" s="69" t="s">
        <v>544</v>
      </c>
      <c r="I524" s="69" t="s">
        <v>644</v>
      </c>
      <c r="J524" s="461">
        <v>41641</v>
      </c>
      <c r="K524" s="69" t="str">
        <f>CHOOSE(WEEKDAY(J524),"Sun","Mon","Tue","Wed","Thu","Fri","Sat")</f>
        <v>Thu</v>
      </c>
      <c r="L524" s="70">
        <v>0.83333333333333326</v>
      </c>
      <c r="M524" s="69">
        <v>501</v>
      </c>
      <c r="N524" s="69">
        <v>3.49</v>
      </c>
      <c r="O524" s="69">
        <v>523</v>
      </c>
      <c r="P524" s="383" t="str">
        <f t="shared" si="8"/>
        <v/>
      </c>
      <c r="Q524" s="402" t="str">
        <f ca="1">VLOOKUP(EpisodeList[[#This Row],[Season Number]], INDIRECT("'" &amp; EpisodeList[[#This Row],[Show]] &amp; " Season Info'!C2:J15"), 8,1)</f>
        <v>2013-14</v>
      </c>
    </row>
    <row r="525" spans="1:17" x14ac:dyDescent="0.2">
      <c r="A525" s="25" t="s">
        <v>687</v>
      </c>
      <c r="B525" s="69" t="s">
        <v>223</v>
      </c>
      <c r="C525" s="69">
        <v>5</v>
      </c>
      <c r="D525" s="69" t="str">
        <f>A525&amp; " S" &amp;C525</f>
        <v>Community S5</v>
      </c>
      <c r="E525" s="69">
        <v>86</v>
      </c>
      <c r="F525" s="69">
        <v>2</v>
      </c>
      <c r="G525" s="431" t="s">
        <v>645</v>
      </c>
      <c r="H525" s="69" t="s">
        <v>565</v>
      </c>
      <c r="I525" s="69" t="s">
        <v>555</v>
      </c>
      <c r="J525" s="461">
        <v>41641</v>
      </c>
      <c r="K525" s="69" t="str">
        <f>CHOOSE(WEEKDAY(J525),"Sun","Mon","Tue","Wed","Thu","Fri","Sat")</f>
        <v>Thu</v>
      </c>
      <c r="L525" s="70">
        <v>0.83333333333333326</v>
      </c>
      <c r="M525" s="69">
        <v>502</v>
      </c>
      <c r="N525" s="69">
        <v>3.49</v>
      </c>
      <c r="O525" s="69">
        <v>524</v>
      </c>
      <c r="P525" s="383" t="str">
        <f t="shared" si="8"/>
        <v/>
      </c>
      <c r="Q525" s="402" t="str">
        <f ca="1">VLOOKUP(EpisodeList[[#This Row],[Season Number]], INDIRECT("'" &amp; EpisodeList[[#This Row],[Show]] &amp; " Season Info'!C2:J15"), 8,1)</f>
        <v>2013-14</v>
      </c>
    </row>
    <row r="526" spans="1:17" x14ac:dyDescent="0.2">
      <c r="A526" s="25" t="s">
        <v>687</v>
      </c>
      <c r="B526" s="69" t="s">
        <v>223</v>
      </c>
      <c r="C526" s="69">
        <v>5</v>
      </c>
      <c r="D526" s="69" t="str">
        <f>A526&amp; " S" &amp;C526</f>
        <v>Community S5</v>
      </c>
      <c r="E526" s="69">
        <v>87</v>
      </c>
      <c r="F526" s="69">
        <v>3</v>
      </c>
      <c r="G526" s="431" t="s">
        <v>646</v>
      </c>
      <c r="H526" s="69" t="s">
        <v>544</v>
      </c>
      <c r="I526" s="69" t="s">
        <v>647</v>
      </c>
      <c r="J526" s="461">
        <v>41648</v>
      </c>
      <c r="K526" s="69" t="str">
        <f>CHOOSE(WEEKDAY(J526),"Sun","Mon","Tue","Wed","Thu","Fri","Sat")</f>
        <v>Thu</v>
      </c>
      <c r="L526" s="70">
        <v>0.83333333333333326</v>
      </c>
      <c r="M526" s="69">
        <v>505</v>
      </c>
      <c r="N526" s="69">
        <v>3.58</v>
      </c>
      <c r="O526" s="69">
        <v>525</v>
      </c>
      <c r="P526" s="383" t="str">
        <f t="shared" si="8"/>
        <v/>
      </c>
      <c r="Q526" s="402" t="str">
        <f ca="1">VLOOKUP(EpisodeList[[#This Row],[Season Number]], INDIRECT("'" &amp; EpisodeList[[#This Row],[Show]] &amp; " Season Info'!C2:J15"), 8,1)</f>
        <v>2013-14</v>
      </c>
    </row>
    <row r="527" spans="1:17" x14ac:dyDescent="0.2">
      <c r="A527" s="21" t="s">
        <v>859</v>
      </c>
      <c r="B527" s="37" t="s">
        <v>224</v>
      </c>
      <c r="C527" s="37">
        <v>6</v>
      </c>
      <c r="D527" s="37" t="str">
        <f>A527&amp; " S" &amp;C527</f>
        <v>Parks and Rec S6</v>
      </c>
      <c r="E527" s="37">
        <v>100</v>
      </c>
      <c r="F527" s="37">
        <v>10</v>
      </c>
      <c r="G527" s="430" t="s">
        <v>841</v>
      </c>
      <c r="H527" s="37" t="s">
        <v>348</v>
      </c>
      <c r="I527" s="37" t="s">
        <v>823</v>
      </c>
      <c r="J527" s="460">
        <v>41648</v>
      </c>
      <c r="K527" s="37" t="str">
        <f>CHOOSE(WEEKDAY(J527),"Sun","Mon","Tue","Wed","Thu","Fri","Sat")</f>
        <v>Thu</v>
      </c>
      <c r="L527" s="68">
        <v>0.85416666666666674</v>
      </c>
      <c r="M527" s="37"/>
      <c r="N527" s="37">
        <v>3.43</v>
      </c>
      <c r="O527" s="37">
        <v>526</v>
      </c>
      <c r="P527" s="382" t="str">
        <f t="shared" si="8"/>
        <v/>
      </c>
      <c r="Q527" s="401" t="str">
        <f ca="1">VLOOKUP(EpisodeList[[#This Row],[Season Number]], INDIRECT("'" &amp; EpisodeList[[#This Row],[Show]] &amp; " Season Info'!C2:J15"), 8,1)</f>
        <v>2013-14</v>
      </c>
    </row>
    <row r="528" spans="1:17" x14ac:dyDescent="0.2">
      <c r="A528" s="25" t="s">
        <v>687</v>
      </c>
      <c r="B528" s="69" t="s">
        <v>223</v>
      </c>
      <c r="C528" s="69">
        <v>5</v>
      </c>
      <c r="D528" s="69" t="str">
        <f>A528&amp; " S" &amp;C528</f>
        <v>Community S5</v>
      </c>
      <c r="E528" s="69">
        <v>88</v>
      </c>
      <c r="F528" s="69">
        <v>4</v>
      </c>
      <c r="G528" s="431" t="s">
        <v>648</v>
      </c>
      <c r="H528" s="69" t="s">
        <v>544</v>
      </c>
      <c r="I528" s="69" t="s">
        <v>649</v>
      </c>
      <c r="J528" s="461">
        <v>41655</v>
      </c>
      <c r="K528" s="69" t="str">
        <f>CHOOSE(WEEKDAY(J528),"Sun","Mon","Tue","Wed","Thu","Fri","Sat")</f>
        <v>Thu</v>
      </c>
      <c r="L528" s="70">
        <v>0.83333333333333326</v>
      </c>
      <c r="M528" s="69">
        <v>503</v>
      </c>
      <c r="N528" s="69">
        <v>3.07</v>
      </c>
      <c r="O528" s="69">
        <v>527</v>
      </c>
      <c r="P528" s="383" t="str">
        <f t="shared" si="8"/>
        <v/>
      </c>
      <c r="Q528" s="402" t="str">
        <f ca="1">VLOOKUP(EpisodeList[[#This Row],[Season Number]], INDIRECT("'" &amp; EpisodeList[[#This Row],[Show]] &amp; " Season Info'!C2:J15"), 8,1)</f>
        <v>2013-14</v>
      </c>
    </row>
    <row r="529" spans="1:17" x14ac:dyDescent="0.2">
      <c r="A529" s="21" t="s">
        <v>859</v>
      </c>
      <c r="B529" s="37" t="s">
        <v>224</v>
      </c>
      <c r="C529" s="37">
        <v>6</v>
      </c>
      <c r="D529" s="37" t="str">
        <f>A529&amp; " S" &amp;C529</f>
        <v>Parks and Rec S6</v>
      </c>
      <c r="E529" s="37">
        <v>101</v>
      </c>
      <c r="F529" s="37">
        <v>11</v>
      </c>
      <c r="G529" s="430" t="s">
        <v>824</v>
      </c>
      <c r="H529" s="37" t="s">
        <v>695</v>
      </c>
      <c r="I529" s="37" t="s">
        <v>185</v>
      </c>
      <c r="J529" s="460">
        <v>41655</v>
      </c>
      <c r="K529" s="37" t="str">
        <f>CHOOSE(WEEKDAY(J529),"Sun","Mon","Tue","Wed","Thu","Fri","Sat")</f>
        <v>Thu</v>
      </c>
      <c r="L529" s="68">
        <v>0.85416666666666674</v>
      </c>
      <c r="M529" s="37"/>
      <c r="N529" s="37">
        <v>3.05</v>
      </c>
      <c r="O529" s="37">
        <v>528</v>
      </c>
      <c r="P529" s="382" t="str">
        <f t="shared" si="8"/>
        <v/>
      </c>
      <c r="Q529" s="401" t="str">
        <f ca="1">VLOOKUP(EpisodeList[[#This Row],[Season Number]], INDIRECT("'" &amp; EpisodeList[[#This Row],[Show]] &amp; " Season Info'!C2:J15"), 8,1)</f>
        <v>2013-14</v>
      </c>
    </row>
    <row r="530" spans="1:17" x14ac:dyDescent="0.2">
      <c r="A530" s="25" t="s">
        <v>687</v>
      </c>
      <c r="B530" s="69" t="s">
        <v>223</v>
      </c>
      <c r="C530" s="69">
        <v>5</v>
      </c>
      <c r="D530" s="69" t="str">
        <f>A530&amp; " S" &amp;C530</f>
        <v>Community S5</v>
      </c>
      <c r="E530" s="69">
        <v>89</v>
      </c>
      <c r="F530" s="69">
        <v>5</v>
      </c>
      <c r="G530" s="431" t="s">
        <v>650</v>
      </c>
      <c r="H530" s="69" t="s">
        <v>510</v>
      </c>
      <c r="I530" s="69" t="s">
        <v>616</v>
      </c>
      <c r="J530" s="461">
        <v>41662</v>
      </c>
      <c r="K530" s="69" t="str">
        <f>CHOOSE(WEEKDAY(J530),"Sun","Mon","Tue","Wed","Thu","Fri","Sat")</f>
        <v>Thu</v>
      </c>
      <c r="L530" s="70">
        <v>0.83333333333333326</v>
      </c>
      <c r="M530" s="69">
        <v>504</v>
      </c>
      <c r="N530" s="69">
        <v>3.02</v>
      </c>
      <c r="O530" s="69">
        <v>529</v>
      </c>
      <c r="P530" s="383" t="str">
        <f t="shared" si="8"/>
        <v/>
      </c>
      <c r="Q530" s="402" t="str">
        <f ca="1">VLOOKUP(EpisodeList[[#This Row],[Season Number]], INDIRECT("'" &amp; EpisodeList[[#This Row],[Show]] &amp; " Season Info'!C2:J15"), 8,1)</f>
        <v>2013-14</v>
      </c>
    </row>
    <row r="531" spans="1:17" x14ac:dyDescent="0.2">
      <c r="A531" s="21" t="s">
        <v>859</v>
      </c>
      <c r="B531" s="37" t="s">
        <v>224</v>
      </c>
      <c r="C531" s="37">
        <v>6</v>
      </c>
      <c r="D531" s="37" t="str">
        <f>A531&amp; " S" &amp;C531</f>
        <v>Parks and Rec S6</v>
      </c>
      <c r="E531" s="37">
        <v>102</v>
      </c>
      <c r="F531" s="37">
        <v>12</v>
      </c>
      <c r="G531" s="430" t="s">
        <v>825</v>
      </c>
      <c r="H531" s="37" t="s">
        <v>826</v>
      </c>
      <c r="I531" s="37" t="s">
        <v>801</v>
      </c>
      <c r="J531" s="460">
        <v>41662</v>
      </c>
      <c r="K531" s="37" t="str">
        <f>CHOOSE(WEEKDAY(J531),"Sun","Mon","Tue","Wed","Thu","Fri","Sat")</f>
        <v>Thu</v>
      </c>
      <c r="L531" s="68">
        <v>0.85416666666666674</v>
      </c>
      <c r="M531" s="37"/>
      <c r="N531" s="37">
        <v>2.98</v>
      </c>
      <c r="O531" s="37">
        <v>530</v>
      </c>
      <c r="P531" s="382" t="str">
        <f t="shared" si="8"/>
        <v/>
      </c>
      <c r="Q531" s="401" t="str">
        <f ca="1">VLOOKUP(EpisodeList[[#This Row],[Season Number]], INDIRECT("'" &amp; EpisodeList[[#This Row],[Show]] &amp; " Season Info'!C2:J15"), 8,1)</f>
        <v>2013-14</v>
      </c>
    </row>
    <row r="532" spans="1:17" x14ac:dyDescent="0.2">
      <c r="A532" s="25" t="s">
        <v>687</v>
      </c>
      <c r="B532" s="69" t="s">
        <v>223</v>
      </c>
      <c r="C532" s="69">
        <v>5</v>
      </c>
      <c r="D532" s="69" t="str">
        <f>A532&amp; " S" &amp;C532</f>
        <v>Community S5</v>
      </c>
      <c r="E532" s="69">
        <v>90</v>
      </c>
      <c r="F532" s="69">
        <v>6</v>
      </c>
      <c r="G532" s="431" t="s">
        <v>651</v>
      </c>
      <c r="H532" s="69" t="s">
        <v>544</v>
      </c>
      <c r="I532" s="69" t="s">
        <v>652</v>
      </c>
      <c r="J532" s="461">
        <v>41669</v>
      </c>
      <c r="K532" s="69" t="str">
        <f>CHOOSE(WEEKDAY(J532),"Sun","Mon","Tue","Wed","Thu","Fri","Sat")</f>
        <v>Thu</v>
      </c>
      <c r="L532" s="70">
        <v>0.83333333333333326</v>
      </c>
      <c r="M532" s="69">
        <v>506</v>
      </c>
      <c r="N532" s="69">
        <v>3.01</v>
      </c>
      <c r="O532" s="69">
        <v>531</v>
      </c>
      <c r="P532" s="383" t="str">
        <f t="shared" si="8"/>
        <v/>
      </c>
      <c r="Q532" s="402" t="str">
        <f ca="1">VLOOKUP(EpisodeList[[#This Row],[Season Number]], INDIRECT("'" &amp; EpisodeList[[#This Row],[Show]] &amp; " Season Info'!C2:J15"), 8,1)</f>
        <v>2013-14</v>
      </c>
    </row>
    <row r="533" spans="1:17" x14ac:dyDescent="0.2">
      <c r="A533" s="21" t="s">
        <v>859</v>
      </c>
      <c r="B533" s="37" t="s">
        <v>224</v>
      </c>
      <c r="C533" s="37">
        <v>6</v>
      </c>
      <c r="D533" s="37" t="str">
        <f>A533&amp; " S" &amp;C533</f>
        <v>Parks and Rec S6</v>
      </c>
      <c r="E533" s="37">
        <v>103</v>
      </c>
      <c r="F533" s="37">
        <v>13</v>
      </c>
      <c r="G533" s="430" t="s">
        <v>827</v>
      </c>
      <c r="H533" s="37" t="s">
        <v>348</v>
      </c>
      <c r="I533" s="37" t="s">
        <v>828</v>
      </c>
      <c r="J533" s="460">
        <v>41669</v>
      </c>
      <c r="K533" s="37" t="str">
        <f>CHOOSE(WEEKDAY(J533),"Sun","Mon","Tue","Wed","Thu","Fri","Sat")</f>
        <v>Thu</v>
      </c>
      <c r="L533" s="68">
        <v>0.85416666666666674</v>
      </c>
      <c r="M533" s="37"/>
      <c r="N533" s="37">
        <v>3.03</v>
      </c>
      <c r="O533" s="37">
        <v>532</v>
      </c>
      <c r="P533" s="382" t="str">
        <f t="shared" si="8"/>
        <v/>
      </c>
      <c r="Q533" s="401" t="str">
        <f ca="1">VLOOKUP(EpisodeList[[#This Row],[Season Number]], INDIRECT("'" &amp; EpisodeList[[#This Row],[Show]] &amp; " Season Info'!C2:J15"), 8,1)</f>
        <v>2013-14</v>
      </c>
    </row>
    <row r="534" spans="1:17" x14ac:dyDescent="0.2">
      <c r="A534" s="25" t="s">
        <v>687</v>
      </c>
      <c r="B534" s="69" t="s">
        <v>223</v>
      </c>
      <c r="C534" s="69">
        <v>5</v>
      </c>
      <c r="D534" s="69" t="str">
        <f>A534&amp; " S" &amp;C534</f>
        <v>Community S5</v>
      </c>
      <c r="E534" s="69">
        <v>91</v>
      </c>
      <c r="F534" s="69">
        <v>7</v>
      </c>
      <c r="G534" s="431" t="s">
        <v>653</v>
      </c>
      <c r="H534" s="69" t="s">
        <v>544</v>
      </c>
      <c r="I534" s="69" t="s">
        <v>654</v>
      </c>
      <c r="J534" s="461">
        <v>41697</v>
      </c>
      <c r="K534" s="69" t="str">
        <f>CHOOSE(WEEKDAY(J534),"Sun","Mon","Tue","Wed","Thu","Fri","Sat")</f>
        <v>Thu</v>
      </c>
      <c r="L534" s="70">
        <v>0.83333333333333326</v>
      </c>
      <c r="M534" s="69">
        <v>507</v>
      </c>
      <c r="N534" s="69">
        <v>2.56</v>
      </c>
      <c r="O534" s="69">
        <v>533</v>
      </c>
      <c r="P534" s="383" t="str">
        <f t="shared" si="8"/>
        <v/>
      </c>
      <c r="Q534" s="402" t="str">
        <f ca="1">VLOOKUP(EpisodeList[[#This Row],[Season Number]], INDIRECT("'" &amp; EpisodeList[[#This Row],[Show]] &amp; " Season Info'!C2:J15"), 8,1)</f>
        <v>2013-14</v>
      </c>
    </row>
    <row r="535" spans="1:17" x14ac:dyDescent="0.2">
      <c r="A535" s="21" t="s">
        <v>859</v>
      </c>
      <c r="B535" s="37" t="s">
        <v>224</v>
      </c>
      <c r="C535" s="37">
        <v>6</v>
      </c>
      <c r="D535" s="37" t="str">
        <f>A535&amp; " S" &amp;C535</f>
        <v>Parks and Rec S6</v>
      </c>
      <c r="E535" s="37">
        <v>104</v>
      </c>
      <c r="F535" s="37">
        <v>14</v>
      </c>
      <c r="G535" s="430" t="s">
        <v>829</v>
      </c>
      <c r="H535" s="37" t="s">
        <v>767</v>
      </c>
      <c r="I535" s="37" t="s">
        <v>804</v>
      </c>
      <c r="J535" s="460">
        <v>41697</v>
      </c>
      <c r="K535" s="37" t="str">
        <f>CHOOSE(WEEKDAY(J535),"Sun","Mon","Tue","Wed","Thu","Fri","Sat")</f>
        <v>Thu</v>
      </c>
      <c r="L535" s="68">
        <v>0.85416666666666674</v>
      </c>
      <c r="M535" s="37"/>
      <c r="N535" s="37">
        <v>2.52</v>
      </c>
      <c r="O535" s="37">
        <v>534</v>
      </c>
      <c r="P535" s="382" t="str">
        <f t="shared" si="8"/>
        <v/>
      </c>
      <c r="Q535" s="401" t="str">
        <f ca="1">VLOOKUP(EpisodeList[[#This Row],[Season Number]], INDIRECT("'" &amp; EpisodeList[[#This Row],[Show]] &amp; " Season Info'!C2:J15"), 8,1)</f>
        <v>2013-14</v>
      </c>
    </row>
    <row r="536" spans="1:17" x14ac:dyDescent="0.2">
      <c r="A536" s="25" t="s">
        <v>687</v>
      </c>
      <c r="B536" s="69" t="s">
        <v>223</v>
      </c>
      <c r="C536" s="69">
        <v>5</v>
      </c>
      <c r="D536" s="69" t="str">
        <f>A536&amp; " S" &amp;C536</f>
        <v>Community S5</v>
      </c>
      <c r="E536" s="69">
        <v>92</v>
      </c>
      <c r="F536" s="69">
        <v>8</v>
      </c>
      <c r="G536" s="431" t="s">
        <v>655</v>
      </c>
      <c r="H536" s="69" t="s">
        <v>614</v>
      </c>
      <c r="I536" s="69" t="s">
        <v>656</v>
      </c>
      <c r="J536" s="461">
        <v>41704</v>
      </c>
      <c r="K536" s="69" t="str">
        <f>CHOOSE(WEEKDAY(J536),"Sun","Mon","Tue","Wed","Thu","Fri","Sat")</f>
        <v>Thu</v>
      </c>
      <c r="L536" s="70">
        <v>0.83333333333333326</v>
      </c>
      <c r="M536" s="69">
        <v>508</v>
      </c>
      <c r="N536" s="69">
        <v>2.79</v>
      </c>
      <c r="O536" s="69">
        <v>535</v>
      </c>
      <c r="P536" s="383" t="str">
        <f t="shared" si="8"/>
        <v/>
      </c>
      <c r="Q536" s="402" t="str">
        <f ca="1">VLOOKUP(EpisodeList[[#This Row],[Season Number]], INDIRECT("'" &amp; EpisodeList[[#This Row],[Show]] &amp; " Season Info'!C2:J15"), 8,1)</f>
        <v>2013-14</v>
      </c>
    </row>
    <row r="537" spans="1:17" x14ac:dyDescent="0.2">
      <c r="A537" s="21" t="s">
        <v>859</v>
      </c>
      <c r="B537" s="37" t="s">
        <v>224</v>
      </c>
      <c r="C537" s="37">
        <v>6</v>
      </c>
      <c r="D537" s="37" t="str">
        <f>A537&amp; " S" &amp;C537</f>
        <v>Parks and Rec S6</v>
      </c>
      <c r="E537" s="37">
        <v>105</v>
      </c>
      <c r="F537" s="37">
        <v>15</v>
      </c>
      <c r="G537" s="430" t="s">
        <v>830</v>
      </c>
      <c r="H537" s="37" t="s">
        <v>90</v>
      </c>
      <c r="I537" s="37" t="s">
        <v>831</v>
      </c>
      <c r="J537" s="460">
        <v>41704</v>
      </c>
      <c r="K537" s="37" t="str">
        <f>CHOOSE(WEEKDAY(J537),"Sun","Mon","Tue","Wed","Thu","Fri","Sat")</f>
        <v>Thu</v>
      </c>
      <c r="L537" s="68">
        <v>0.85416666666666674</v>
      </c>
      <c r="M537" s="37"/>
      <c r="N537" s="37">
        <v>2.95</v>
      </c>
      <c r="O537" s="37">
        <v>536</v>
      </c>
      <c r="P537" s="382" t="str">
        <f t="shared" si="8"/>
        <v/>
      </c>
      <c r="Q537" s="401" t="str">
        <f ca="1">VLOOKUP(EpisodeList[[#This Row],[Season Number]], INDIRECT("'" &amp; EpisodeList[[#This Row],[Show]] &amp; " Season Info'!C2:J15"), 8,1)</f>
        <v>2013-14</v>
      </c>
    </row>
    <row r="538" spans="1:17" x14ac:dyDescent="0.2">
      <c r="A538" s="25" t="s">
        <v>687</v>
      </c>
      <c r="B538" s="69" t="s">
        <v>223</v>
      </c>
      <c r="C538" s="69">
        <v>5</v>
      </c>
      <c r="D538" s="69" t="str">
        <f>A538&amp; " S" &amp;C538</f>
        <v>Community S5</v>
      </c>
      <c r="E538" s="69">
        <v>93</v>
      </c>
      <c r="F538" s="69">
        <v>9</v>
      </c>
      <c r="G538" s="431" t="s">
        <v>657</v>
      </c>
      <c r="H538" s="69" t="s">
        <v>544</v>
      </c>
      <c r="I538" s="69" t="s">
        <v>658</v>
      </c>
      <c r="J538" s="461">
        <v>41711</v>
      </c>
      <c r="K538" s="69" t="str">
        <f>CHOOSE(WEEKDAY(J538),"Sun","Mon","Tue","Wed","Thu","Fri","Sat")</f>
        <v>Thu</v>
      </c>
      <c r="L538" s="70">
        <v>0.83333333333333326</v>
      </c>
      <c r="M538" s="69">
        <v>509</v>
      </c>
      <c r="N538" s="69">
        <v>2.77</v>
      </c>
      <c r="O538" s="69">
        <v>537</v>
      </c>
      <c r="P538" s="383" t="str">
        <f t="shared" si="8"/>
        <v/>
      </c>
      <c r="Q538" s="402" t="str">
        <f ca="1">VLOOKUP(EpisodeList[[#This Row],[Season Number]], INDIRECT("'" &amp; EpisodeList[[#This Row],[Show]] &amp; " Season Info'!C2:J15"), 8,1)</f>
        <v>2013-14</v>
      </c>
    </row>
    <row r="539" spans="1:17" x14ac:dyDescent="0.2">
      <c r="A539" s="21" t="s">
        <v>859</v>
      </c>
      <c r="B539" s="37" t="s">
        <v>224</v>
      </c>
      <c r="C539" s="37">
        <v>6</v>
      </c>
      <c r="D539" s="37" t="str">
        <f>A539&amp; " S" &amp;C539</f>
        <v>Parks and Rec S6</v>
      </c>
      <c r="E539" s="37">
        <v>106</v>
      </c>
      <c r="F539" s="37">
        <v>16</v>
      </c>
      <c r="G539" s="430" t="s">
        <v>832</v>
      </c>
      <c r="H539" s="37" t="s">
        <v>348</v>
      </c>
      <c r="I539" s="37" t="s">
        <v>833</v>
      </c>
      <c r="J539" s="460">
        <v>41711</v>
      </c>
      <c r="K539" s="37" t="str">
        <f>CHOOSE(WEEKDAY(J539),"Sun","Mon","Tue","Wed","Thu","Fri","Sat")</f>
        <v>Thu</v>
      </c>
      <c r="L539" s="68">
        <v>0.85416666666666674</v>
      </c>
      <c r="M539" s="37"/>
      <c r="N539" s="37">
        <v>2.72</v>
      </c>
      <c r="O539" s="37">
        <v>538</v>
      </c>
      <c r="P539" s="382" t="str">
        <f t="shared" si="8"/>
        <v/>
      </c>
      <c r="Q539" s="401" t="str">
        <f ca="1">VLOOKUP(EpisodeList[[#This Row],[Season Number]], INDIRECT("'" &amp; EpisodeList[[#This Row],[Show]] &amp; " Season Info'!C2:J15"), 8,1)</f>
        <v>2013-14</v>
      </c>
    </row>
    <row r="540" spans="1:17" x14ac:dyDescent="0.2">
      <c r="A540" s="25" t="s">
        <v>687</v>
      </c>
      <c r="B540" s="69" t="s">
        <v>223</v>
      </c>
      <c r="C540" s="69">
        <v>5</v>
      </c>
      <c r="D540" s="69" t="str">
        <f>A540&amp; " S" &amp;C540</f>
        <v>Community S5</v>
      </c>
      <c r="E540" s="69">
        <v>94</v>
      </c>
      <c r="F540" s="69">
        <v>10</v>
      </c>
      <c r="G540" s="431" t="s">
        <v>659</v>
      </c>
      <c r="H540" s="69" t="s">
        <v>510</v>
      </c>
      <c r="I540" s="69" t="s">
        <v>660</v>
      </c>
      <c r="J540" s="461">
        <v>41718</v>
      </c>
      <c r="K540" s="69" t="str">
        <f>CHOOSE(WEEKDAY(J540),"Sun","Mon","Tue","Wed","Thu","Fri","Sat")</f>
        <v>Thu</v>
      </c>
      <c r="L540" s="70">
        <v>0.83333333333333326</v>
      </c>
      <c r="M540" s="69">
        <v>510</v>
      </c>
      <c r="N540" s="69">
        <v>3.32</v>
      </c>
      <c r="O540" s="69">
        <v>539</v>
      </c>
      <c r="P540" s="383" t="str">
        <f t="shared" si="8"/>
        <v/>
      </c>
      <c r="Q540" s="402" t="str">
        <f ca="1">VLOOKUP(EpisodeList[[#This Row],[Season Number]], INDIRECT("'" &amp; EpisodeList[[#This Row],[Show]] &amp; " Season Info'!C2:J15"), 8,1)</f>
        <v>2013-14</v>
      </c>
    </row>
    <row r="541" spans="1:17" x14ac:dyDescent="0.2">
      <c r="A541" s="21" t="s">
        <v>859</v>
      </c>
      <c r="B541" s="37" t="s">
        <v>224</v>
      </c>
      <c r="C541" s="37">
        <v>6</v>
      </c>
      <c r="D541" s="37" t="str">
        <f>A541&amp; " S" &amp;C541</f>
        <v>Parks and Rec S6</v>
      </c>
      <c r="E541" s="37">
        <v>107</v>
      </c>
      <c r="F541" s="37">
        <v>17</v>
      </c>
      <c r="G541" s="430" t="s">
        <v>719</v>
      </c>
      <c r="H541" s="37" t="s">
        <v>140</v>
      </c>
      <c r="I541" s="37" t="s">
        <v>834</v>
      </c>
      <c r="J541" s="460">
        <v>41718</v>
      </c>
      <c r="K541" s="37" t="str">
        <f>CHOOSE(WEEKDAY(J541),"Sun","Mon","Tue","Wed","Thu","Fri","Sat")</f>
        <v>Thu</v>
      </c>
      <c r="L541" s="68">
        <v>0.85416666666666674</v>
      </c>
      <c r="M541" s="37"/>
      <c r="N541" s="37">
        <v>3.05</v>
      </c>
      <c r="O541" s="37">
        <v>540</v>
      </c>
      <c r="P541" s="382" t="str">
        <f t="shared" si="8"/>
        <v/>
      </c>
      <c r="Q541" s="401" t="str">
        <f ca="1">VLOOKUP(EpisodeList[[#This Row],[Season Number]], INDIRECT("'" &amp; EpisodeList[[#This Row],[Show]] &amp; " Season Info'!C2:J15"), 8,1)</f>
        <v>2013-14</v>
      </c>
    </row>
    <row r="542" spans="1:17" x14ac:dyDescent="0.2">
      <c r="A542" s="25" t="s">
        <v>687</v>
      </c>
      <c r="B542" s="69" t="s">
        <v>223</v>
      </c>
      <c r="C542" s="69">
        <v>5</v>
      </c>
      <c r="D542" s="69" t="str">
        <f>A542&amp; " S" &amp;C542</f>
        <v>Community S5</v>
      </c>
      <c r="E542" s="69">
        <v>95</v>
      </c>
      <c r="F542" s="69">
        <v>11</v>
      </c>
      <c r="G542" s="431" t="s">
        <v>661</v>
      </c>
      <c r="H542" s="69" t="s">
        <v>614</v>
      </c>
      <c r="I542" s="69" t="s">
        <v>662</v>
      </c>
      <c r="J542" s="461">
        <v>41732</v>
      </c>
      <c r="K542" s="69" t="str">
        <f>CHOOSE(WEEKDAY(J542),"Sun","Mon","Tue","Wed","Thu","Fri","Sat")</f>
        <v>Thu</v>
      </c>
      <c r="L542" s="70">
        <v>0.83333333333333326</v>
      </c>
      <c r="M542" s="69">
        <v>513</v>
      </c>
      <c r="N542" s="69">
        <v>2.5</v>
      </c>
      <c r="O542" s="69">
        <v>541</v>
      </c>
      <c r="P542" s="383" t="str">
        <f t="shared" si="8"/>
        <v/>
      </c>
      <c r="Q542" s="402" t="str">
        <f ca="1">VLOOKUP(EpisodeList[[#This Row],[Season Number]], INDIRECT("'" &amp; EpisodeList[[#This Row],[Show]] &amp; " Season Info'!C2:J15"), 8,1)</f>
        <v>2013-14</v>
      </c>
    </row>
    <row r="543" spans="1:17" x14ac:dyDescent="0.2">
      <c r="A543" s="21" t="s">
        <v>859</v>
      </c>
      <c r="B543" s="37" t="s">
        <v>224</v>
      </c>
      <c r="C543" s="37">
        <v>6</v>
      </c>
      <c r="D543" s="37" t="str">
        <f>A543&amp; " S" &amp;C543</f>
        <v>Parks and Rec S6</v>
      </c>
      <c r="E543" s="37">
        <v>108</v>
      </c>
      <c r="F543" s="37">
        <v>18</v>
      </c>
      <c r="G543" s="430" t="s">
        <v>835</v>
      </c>
      <c r="H543" s="37" t="s">
        <v>90</v>
      </c>
      <c r="I543" s="37" t="s">
        <v>836</v>
      </c>
      <c r="J543" s="460">
        <v>41732</v>
      </c>
      <c r="K543" s="37" t="str">
        <f>CHOOSE(WEEKDAY(J543),"Sun","Mon","Tue","Wed","Thu","Fri","Sat")</f>
        <v>Thu</v>
      </c>
      <c r="L543" s="68">
        <v>0.85416666666666674</v>
      </c>
      <c r="M543" s="37"/>
      <c r="N543" s="37">
        <v>2.67</v>
      </c>
      <c r="O543" s="37">
        <v>542</v>
      </c>
      <c r="P543" s="382" t="str">
        <f t="shared" si="8"/>
        <v/>
      </c>
      <c r="Q543" s="401" t="str">
        <f ca="1">VLOOKUP(EpisodeList[[#This Row],[Season Number]], INDIRECT("'" &amp; EpisodeList[[#This Row],[Show]] &amp; " Season Info'!C2:J15"), 8,1)</f>
        <v>2013-14</v>
      </c>
    </row>
    <row r="544" spans="1:17" x14ac:dyDescent="0.2">
      <c r="A544" s="25" t="s">
        <v>687</v>
      </c>
      <c r="B544" s="69" t="s">
        <v>223</v>
      </c>
      <c r="C544" s="69">
        <v>5</v>
      </c>
      <c r="D544" s="69" t="str">
        <f>A544&amp; " S" &amp;C544</f>
        <v>Community S5</v>
      </c>
      <c r="E544" s="69">
        <v>96</v>
      </c>
      <c r="F544" s="69">
        <v>12</v>
      </c>
      <c r="G544" s="431" t="s">
        <v>663</v>
      </c>
      <c r="H544" s="69" t="s">
        <v>565</v>
      </c>
      <c r="I544" s="69" t="s">
        <v>664</v>
      </c>
      <c r="J544" s="461">
        <v>41739</v>
      </c>
      <c r="K544" s="69" t="str">
        <f>CHOOSE(WEEKDAY(J544),"Sun","Mon","Tue","Wed","Thu","Fri","Sat")</f>
        <v>Thu</v>
      </c>
      <c r="L544" s="70">
        <v>0.83333333333333326</v>
      </c>
      <c r="M544" s="69">
        <v>512</v>
      </c>
      <c r="N544" s="69">
        <v>2.56</v>
      </c>
      <c r="O544" s="69">
        <v>543</v>
      </c>
      <c r="P544" s="383" t="str">
        <f t="shared" si="8"/>
        <v/>
      </c>
      <c r="Q544" s="402" t="str">
        <f ca="1">VLOOKUP(EpisodeList[[#This Row],[Season Number]], INDIRECT("'" &amp; EpisodeList[[#This Row],[Show]] &amp; " Season Info'!C2:J15"), 8,1)</f>
        <v>2013-14</v>
      </c>
    </row>
    <row r="545" spans="1:17" x14ac:dyDescent="0.2">
      <c r="A545" s="21" t="s">
        <v>859</v>
      </c>
      <c r="B545" s="37" t="s">
        <v>224</v>
      </c>
      <c r="C545" s="37">
        <v>6</v>
      </c>
      <c r="D545" s="37" t="str">
        <f>A545&amp; " S" &amp;C545</f>
        <v>Parks and Rec S6</v>
      </c>
      <c r="E545" s="37">
        <v>109</v>
      </c>
      <c r="F545" s="37">
        <v>19</v>
      </c>
      <c r="G545" s="430" t="s">
        <v>842</v>
      </c>
      <c r="H545" s="37" t="s">
        <v>773</v>
      </c>
      <c r="I545" s="37" t="s">
        <v>837</v>
      </c>
      <c r="J545" s="460">
        <v>41739</v>
      </c>
      <c r="K545" s="37" t="str">
        <f>CHOOSE(WEEKDAY(J545),"Sun","Mon","Tue","Wed","Thu","Fri","Sat")</f>
        <v>Thu</v>
      </c>
      <c r="L545" s="68">
        <v>0.85416666666666674</v>
      </c>
      <c r="M545" s="37"/>
      <c r="N545" s="37">
        <v>2.56</v>
      </c>
      <c r="O545" s="37">
        <v>544</v>
      </c>
      <c r="P545" s="382" t="str">
        <f t="shared" si="8"/>
        <v/>
      </c>
      <c r="Q545" s="401" t="str">
        <f ca="1">VLOOKUP(EpisodeList[[#This Row],[Season Number]], INDIRECT("'" &amp; EpisodeList[[#This Row],[Show]] &amp; " Season Info'!C2:J15"), 8,1)</f>
        <v>2013-14</v>
      </c>
    </row>
    <row r="546" spans="1:17" x14ac:dyDescent="0.2">
      <c r="A546" s="25" t="s">
        <v>687</v>
      </c>
      <c r="B546" s="69" t="s">
        <v>223</v>
      </c>
      <c r="C546" s="69">
        <v>5</v>
      </c>
      <c r="D546" s="69" t="str">
        <f>A546&amp; " S" &amp;C546</f>
        <v>Community S5</v>
      </c>
      <c r="E546" s="69">
        <v>97</v>
      </c>
      <c r="F546" s="69">
        <v>13</v>
      </c>
      <c r="G546" s="431" t="s">
        <v>665</v>
      </c>
      <c r="H546" s="69" t="s">
        <v>614</v>
      </c>
      <c r="I546" s="69" t="s">
        <v>666</v>
      </c>
      <c r="J546" s="461">
        <v>41746</v>
      </c>
      <c r="K546" s="69" t="str">
        <f>CHOOSE(WEEKDAY(J546),"Sun","Mon","Tue","Wed","Thu","Fri","Sat")</f>
        <v>Thu</v>
      </c>
      <c r="L546" s="70">
        <v>0.83333333333333326</v>
      </c>
      <c r="M546" s="69">
        <v>511</v>
      </c>
      <c r="N546" s="69">
        <v>2.87</v>
      </c>
      <c r="O546" s="69">
        <v>545</v>
      </c>
      <c r="P546" s="383" t="str">
        <f t="shared" si="8"/>
        <v/>
      </c>
      <c r="Q546" s="402" t="str">
        <f ca="1">VLOOKUP(EpisodeList[[#This Row],[Season Number]], INDIRECT("'" &amp; EpisodeList[[#This Row],[Show]] &amp; " Season Info'!C2:J15"), 8,1)</f>
        <v>2013-14</v>
      </c>
    </row>
    <row r="547" spans="1:17" x14ac:dyDescent="0.2">
      <c r="A547" s="21" t="s">
        <v>859</v>
      </c>
      <c r="B547" s="37" t="s">
        <v>224</v>
      </c>
      <c r="C547" s="37">
        <v>6</v>
      </c>
      <c r="D547" s="37" t="str">
        <f>A547&amp; " S" &amp;C547</f>
        <v>Parks and Rec S6</v>
      </c>
      <c r="E547" s="37">
        <v>110</v>
      </c>
      <c r="F547" s="37">
        <v>20</v>
      </c>
      <c r="G547" s="430" t="s">
        <v>838</v>
      </c>
      <c r="H547" s="37" t="s">
        <v>348</v>
      </c>
      <c r="I547" s="37" t="s">
        <v>839</v>
      </c>
      <c r="J547" s="460">
        <v>41746</v>
      </c>
      <c r="K547" s="37" t="str">
        <f>CHOOSE(WEEKDAY(J547),"Sun","Mon","Tue","Wed","Thu","Fri","Sat")</f>
        <v>Thu</v>
      </c>
      <c r="L547" s="68">
        <v>0.85416666666666674</v>
      </c>
      <c r="M547" s="37"/>
      <c r="N547" s="37">
        <v>2.39</v>
      </c>
      <c r="O547" s="37">
        <v>546</v>
      </c>
      <c r="P547" s="382" t="str">
        <f t="shared" si="8"/>
        <v/>
      </c>
      <c r="Q547" s="401" t="str">
        <f ca="1">VLOOKUP(EpisodeList[[#This Row],[Season Number]], INDIRECT("'" &amp; EpisodeList[[#This Row],[Show]] &amp; " Season Info'!C2:J15"), 8,1)</f>
        <v>2013-14</v>
      </c>
    </row>
    <row r="548" spans="1:17" x14ac:dyDescent="0.2">
      <c r="A548" s="21" t="s">
        <v>859</v>
      </c>
      <c r="B548" s="37" t="s">
        <v>224</v>
      </c>
      <c r="C548" s="37">
        <v>6</v>
      </c>
      <c r="D548" s="37" t="str">
        <f>A548&amp; " S" &amp;C548</f>
        <v>Parks and Rec S6</v>
      </c>
      <c r="E548" s="37">
        <v>111</v>
      </c>
      <c r="F548" s="37">
        <v>21</v>
      </c>
      <c r="G548" s="430" t="s">
        <v>843</v>
      </c>
      <c r="H548" s="37" t="s">
        <v>237</v>
      </c>
      <c r="I548" s="37" t="s">
        <v>776</v>
      </c>
      <c r="J548" s="460">
        <v>41753</v>
      </c>
      <c r="K548" s="37" t="str">
        <f>CHOOSE(WEEKDAY(J548),"Sun","Mon","Tue","Wed","Thu","Fri","Sat")</f>
        <v>Thu</v>
      </c>
      <c r="L548" s="68">
        <v>0.85416666666666674</v>
      </c>
      <c r="M548" s="37"/>
      <c r="N548" s="37">
        <v>2.71</v>
      </c>
      <c r="O548" s="37">
        <v>547</v>
      </c>
      <c r="P548" s="382" t="str">
        <f t="shared" si="8"/>
        <v/>
      </c>
      <c r="Q548" s="401" t="str">
        <f ca="1">VLOOKUP(EpisodeList[[#This Row],[Season Number]], INDIRECT("'" &amp; EpisodeList[[#This Row],[Show]] &amp; " Season Info'!C2:J15"), 8,1)</f>
        <v>2013-14</v>
      </c>
    </row>
    <row r="549" spans="1:17" x14ac:dyDescent="0.2">
      <c r="A549" s="21" t="s">
        <v>859</v>
      </c>
      <c r="B549" s="37" t="s">
        <v>224</v>
      </c>
      <c r="C549" s="37">
        <v>6</v>
      </c>
      <c r="D549" s="37" t="str">
        <f>A549&amp; " S" &amp;C549</f>
        <v>Parks and Rec S6</v>
      </c>
      <c r="E549" s="37">
        <v>112</v>
      </c>
      <c r="F549" s="37">
        <v>22</v>
      </c>
      <c r="G549" s="430" t="s">
        <v>843</v>
      </c>
      <c r="H549" s="37" t="s">
        <v>237</v>
      </c>
      <c r="I549" s="37" t="s">
        <v>776</v>
      </c>
      <c r="J549" s="460">
        <v>41753</v>
      </c>
      <c r="K549" s="37" t="str">
        <f>CHOOSE(WEEKDAY(J549),"Sun","Mon","Tue","Wed","Thu","Fri","Sat")</f>
        <v>Thu</v>
      </c>
      <c r="L549" s="68">
        <v>0.875</v>
      </c>
      <c r="M549" s="37"/>
      <c r="N549" s="37">
        <v>2.71</v>
      </c>
      <c r="O549" s="37">
        <v>548</v>
      </c>
      <c r="P549" s="382" t="str">
        <f t="shared" si="8"/>
        <v/>
      </c>
      <c r="Q549" s="401" t="str">
        <f ca="1">VLOOKUP(EpisodeList[[#This Row],[Season Number]], INDIRECT("'" &amp; EpisodeList[[#This Row],[Show]] &amp; " Season Info'!C2:J15"), 8,1)</f>
        <v>2013-14</v>
      </c>
    </row>
    <row r="550" spans="1:17" x14ac:dyDescent="0.2">
      <c r="A550" s="21" t="s">
        <v>859</v>
      </c>
      <c r="B550" s="38" t="s">
        <v>225</v>
      </c>
      <c r="C550" s="38">
        <v>7</v>
      </c>
      <c r="D550" s="38" t="str">
        <f>A550&amp; " S" &amp;C550</f>
        <v>Parks and Rec S7</v>
      </c>
      <c r="E550" s="38">
        <v>113</v>
      </c>
      <c r="F550" s="38">
        <v>1</v>
      </c>
      <c r="G550" s="432" t="s">
        <v>844</v>
      </c>
      <c r="H550" s="38" t="s">
        <v>348</v>
      </c>
      <c r="I550" s="38" t="s">
        <v>845</v>
      </c>
      <c r="J550" s="462">
        <v>42017</v>
      </c>
      <c r="K550" s="38" t="str">
        <f>CHOOSE(WEEKDAY(J550),"Sun","Mon","Tue","Wed","Thu","Fri","Sat")</f>
        <v>Tue</v>
      </c>
      <c r="L550" s="71">
        <v>0.83333333333333326</v>
      </c>
      <c r="M550" s="38"/>
      <c r="N550" s="38">
        <v>3.75</v>
      </c>
      <c r="O550" s="38">
        <v>549</v>
      </c>
      <c r="P550" s="384" t="str">
        <f t="shared" si="8"/>
        <v/>
      </c>
      <c r="Q550" s="403" t="str">
        <f ca="1">VLOOKUP(EpisodeList[[#This Row],[Season Number]], INDIRECT("'" &amp; EpisodeList[[#This Row],[Show]] &amp; " Season Info'!C2:J15"), 8,1)</f>
        <v>2014-15</v>
      </c>
    </row>
    <row r="551" spans="1:17" x14ac:dyDescent="0.2">
      <c r="A551" s="21" t="s">
        <v>859</v>
      </c>
      <c r="B551" s="38" t="s">
        <v>225</v>
      </c>
      <c r="C551" s="38">
        <v>7</v>
      </c>
      <c r="D551" s="38" t="str">
        <f>A551&amp; " S" &amp;C551</f>
        <v>Parks and Rec S7</v>
      </c>
      <c r="E551" s="38">
        <v>114</v>
      </c>
      <c r="F551" s="38">
        <v>2</v>
      </c>
      <c r="G551" s="432" t="s">
        <v>858</v>
      </c>
      <c r="H551" s="38" t="s">
        <v>348</v>
      </c>
      <c r="I551" s="38" t="s">
        <v>706</v>
      </c>
      <c r="J551" s="462">
        <v>42017</v>
      </c>
      <c r="K551" s="38" t="str">
        <f>CHOOSE(WEEKDAY(J551),"Sun","Mon","Tue","Wed","Thu","Fri","Sat")</f>
        <v>Tue</v>
      </c>
      <c r="L551" s="71">
        <v>0.85416666666666674</v>
      </c>
      <c r="M551" s="38"/>
      <c r="N551" s="38">
        <v>3.25</v>
      </c>
      <c r="O551" s="38">
        <v>550</v>
      </c>
      <c r="P551" s="384" t="str">
        <f t="shared" si="8"/>
        <v/>
      </c>
      <c r="Q551" s="403" t="str">
        <f ca="1">VLOOKUP(EpisodeList[[#This Row],[Season Number]], INDIRECT("'" &amp; EpisodeList[[#This Row],[Show]] &amp; " Season Info'!C2:J15"), 8,1)</f>
        <v>2014-15</v>
      </c>
    </row>
    <row r="552" spans="1:17" x14ac:dyDescent="0.2">
      <c r="A552" s="21" t="s">
        <v>859</v>
      </c>
      <c r="B552" s="38" t="s">
        <v>225</v>
      </c>
      <c r="C552" s="38">
        <v>7</v>
      </c>
      <c r="D552" s="38" t="str">
        <f>A552&amp; " S" &amp;C552</f>
        <v>Parks and Rec S7</v>
      </c>
      <c r="E552" s="38">
        <v>115</v>
      </c>
      <c r="F552" s="38">
        <v>3</v>
      </c>
      <c r="G552" s="432" t="s">
        <v>846</v>
      </c>
      <c r="H552" s="38" t="s">
        <v>847</v>
      </c>
      <c r="I552" s="38" t="s">
        <v>804</v>
      </c>
      <c r="J552" s="462">
        <v>42024</v>
      </c>
      <c r="K552" s="38" t="str">
        <f>CHOOSE(WEEKDAY(J552),"Sun","Mon","Tue","Wed","Thu","Fri","Sat")</f>
        <v>Tue</v>
      </c>
      <c r="L552" s="71">
        <v>0.83333333333333326</v>
      </c>
      <c r="M552" s="38"/>
      <c r="N552" s="38">
        <v>3.87</v>
      </c>
      <c r="O552" s="38">
        <v>551</v>
      </c>
      <c r="P552" s="384" t="str">
        <f t="shared" si="8"/>
        <v/>
      </c>
      <c r="Q552" s="403" t="str">
        <f ca="1">VLOOKUP(EpisodeList[[#This Row],[Season Number]], INDIRECT("'" &amp; EpisodeList[[#This Row],[Show]] &amp; " Season Info'!C2:J15"), 8,1)</f>
        <v>2014-15</v>
      </c>
    </row>
    <row r="553" spans="1:17" x14ac:dyDescent="0.2">
      <c r="A553" s="21" t="s">
        <v>859</v>
      </c>
      <c r="B553" s="38" t="s">
        <v>225</v>
      </c>
      <c r="C553" s="38">
        <v>7</v>
      </c>
      <c r="D553" s="38" t="str">
        <f>A553&amp; " S" &amp;C553</f>
        <v>Parks and Rec S7</v>
      </c>
      <c r="E553" s="38">
        <v>116</v>
      </c>
      <c r="F553" s="38">
        <v>4</v>
      </c>
      <c r="G553" s="432" t="s">
        <v>848</v>
      </c>
      <c r="H553" s="38" t="s">
        <v>140</v>
      </c>
      <c r="I553" s="38" t="s">
        <v>237</v>
      </c>
      <c r="J553" s="462">
        <v>42024</v>
      </c>
      <c r="K553" s="38" t="str">
        <f>CHOOSE(WEEKDAY(J553),"Sun","Mon","Tue","Wed","Thu","Fri","Sat")</f>
        <v>Tue</v>
      </c>
      <c r="L553" s="71">
        <v>0.85416666666666674</v>
      </c>
      <c r="M553" s="38"/>
      <c r="N553" s="38">
        <v>3.3</v>
      </c>
      <c r="O553" s="38">
        <v>552</v>
      </c>
      <c r="P553" s="384" t="str">
        <f t="shared" si="8"/>
        <v/>
      </c>
      <c r="Q553" s="403" t="str">
        <f ca="1">VLOOKUP(EpisodeList[[#This Row],[Season Number]], INDIRECT("'" &amp; EpisodeList[[#This Row],[Show]] &amp; " Season Info'!C2:J15"), 8,1)</f>
        <v>2014-15</v>
      </c>
    </row>
    <row r="554" spans="1:17" x14ac:dyDescent="0.2">
      <c r="A554" s="21" t="s">
        <v>859</v>
      </c>
      <c r="B554" s="38" t="s">
        <v>225</v>
      </c>
      <c r="C554" s="38">
        <v>7</v>
      </c>
      <c r="D554" s="38" t="str">
        <f>A554&amp; " S" &amp;C554</f>
        <v>Parks and Rec S7</v>
      </c>
      <c r="E554" s="38">
        <v>117</v>
      </c>
      <c r="F554" s="38">
        <v>5</v>
      </c>
      <c r="G554" s="432" t="s">
        <v>849</v>
      </c>
      <c r="H554" s="38" t="s">
        <v>727</v>
      </c>
      <c r="I554" s="38" t="s">
        <v>816</v>
      </c>
      <c r="J554" s="462">
        <v>42031</v>
      </c>
      <c r="K554" s="38" t="str">
        <f>CHOOSE(WEEKDAY(J554),"Sun","Mon","Tue","Wed","Thu","Fri","Sat")</f>
        <v>Tue</v>
      </c>
      <c r="L554" s="71">
        <v>0.83333333333333326</v>
      </c>
      <c r="M554" s="38"/>
      <c r="N554" s="38">
        <v>3.48</v>
      </c>
      <c r="O554" s="38">
        <v>553</v>
      </c>
      <c r="P554" s="384" t="str">
        <f t="shared" si="8"/>
        <v/>
      </c>
      <c r="Q554" s="403" t="str">
        <f ca="1">VLOOKUP(EpisodeList[[#This Row],[Season Number]], INDIRECT("'" &amp; EpisodeList[[#This Row],[Show]] &amp; " Season Info'!C2:J15"), 8,1)</f>
        <v>2014-15</v>
      </c>
    </row>
    <row r="555" spans="1:17" x14ac:dyDescent="0.2">
      <c r="A555" s="21" t="s">
        <v>859</v>
      </c>
      <c r="B555" s="38" t="s">
        <v>225</v>
      </c>
      <c r="C555" s="38">
        <v>7</v>
      </c>
      <c r="D555" s="38" t="str">
        <f>A555&amp; " S" &amp;C555</f>
        <v>Parks and Rec S7</v>
      </c>
      <c r="E555" s="38">
        <v>118</v>
      </c>
      <c r="F555" s="38">
        <v>6</v>
      </c>
      <c r="G555" s="432" t="s">
        <v>850</v>
      </c>
      <c r="H555" s="38" t="s">
        <v>90</v>
      </c>
      <c r="I555" s="38" t="s">
        <v>801</v>
      </c>
      <c r="J555" s="462">
        <v>42031</v>
      </c>
      <c r="K555" s="38" t="str">
        <f>CHOOSE(WEEKDAY(J555),"Sun","Mon","Tue","Wed","Thu","Fri","Sat")</f>
        <v>Tue</v>
      </c>
      <c r="L555" s="71">
        <v>0.85416666666666674</v>
      </c>
      <c r="M555" s="38"/>
      <c r="N555" s="38">
        <v>2.97</v>
      </c>
      <c r="O555" s="38">
        <v>554</v>
      </c>
      <c r="P555" s="384" t="str">
        <f t="shared" si="8"/>
        <v/>
      </c>
      <c r="Q555" s="403" t="str">
        <f ca="1">VLOOKUP(EpisodeList[[#This Row],[Season Number]], INDIRECT("'" &amp; EpisodeList[[#This Row],[Show]] &amp; " Season Info'!C2:J15"), 8,1)</f>
        <v>2014-15</v>
      </c>
    </row>
    <row r="556" spans="1:17" x14ac:dyDescent="0.2">
      <c r="A556" s="21" t="s">
        <v>859</v>
      </c>
      <c r="B556" s="38" t="s">
        <v>225</v>
      </c>
      <c r="C556" s="38">
        <v>7</v>
      </c>
      <c r="D556" s="38" t="str">
        <f>A556&amp; " S" &amp;C556</f>
        <v>Parks and Rec S7</v>
      </c>
      <c r="E556" s="38">
        <v>119</v>
      </c>
      <c r="F556" s="38">
        <v>7</v>
      </c>
      <c r="G556" s="432" t="s">
        <v>851</v>
      </c>
      <c r="H556" s="38" t="s">
        <v>90</v>
      </c>
      <c r="I556" s="38" t="s">
        <v>709</v>
      </c>
      <c r="J556" s="462">
        <v>42038</v>
      </c>
      <c r="K556" s="38" t="str">
        <f>CHOOSE(WEEKDAY(J556),"Sun","Mon","Tue","Wed","Thu","Fri","Sat")</f>
        <v>Tue</v>
      </c>
      <c r="L556" s="71">
        <v>0.83333333333333326</v>
      </c>
      <c r="M556" s="38"/>
      <c r="N556" s="38">
        <v>3.45</v>
      </c>
      <c r="O556" s="38">
        <v>555</v>
      </c>
      <c r="P556" s="384" t="str">
        <f t="shared" si="8"/>
        <v/>
      </c>
      <c r="Q556" s="403" t="str">
        <f ca="1">VLOOKUP(EpisodeList[[#This Row],[Season Number]], INDIRECT("'" &amp; EpisodeList[[#This Row],[Show]] &amp; " Season Info'!C2:J15"), 8,1)</f>
        <v>2014-15</v>
      </c>
    </row>
    <row r="557" spans="1:17" x14ac:dyDescent="0.2">
      <c r="A557" s="21" t="s">
        <v>859</v>
      </c>
      <c r="B557" s="38" t="s">
        <v>225</v>
      </c>
      <c r="C557" s="38">
        <v>7</v>
      </c>
      <c r="D557" s="38" t="str">
        <f>A557&amp; " S" &amp;C557</f>
        <v>Parks and Rec S7</v>
      </c>
      <c r="E557" s="38">
        <v>120</v>
      </c>
      <c r="F557" s="38">
        <v>8</v>
      </c>
      <c r="G557" s="432" t="s">
        <v>852</v>
      </c>
      <c r="H557" s="38" t="s">
        <v>767</v>
      </c>
      <c r="I557" s="38" t="s">
        <v>762</v>
      </c>
      <c r="J557" s="462">
        <v>42045</v>
      </c>
      <c r="K557" s="38" t="str">
        <f>CHOOSE(WEEKDAY(J557),"Sun","Mon","Tue","Wed","Thu","Fri","Sat")</f>
        <v>Tue</v>
      </c>
      <c r="L557" s="71">
        <v>0.83333333333333326</v>
      </c>
      <c r="M557" s="38"/>
      <c r="N557" s="38">
        <v>3.06</v>
      </c>
      <c r="O557" s="38">
        <v>556</v>
      </c>
      <c r="P557" s="384" t="str">
        <f t="shared" si="8"/>
        <v/>
      </c>
      <c r="Q557" s="403" t="str">
        <f ca="1">VLOOKUP(EpisodeList[[#This Row],[Season Number]], INDIRECT("'" &amp; EpisodeList[[#This Row],[Show]] &amp; " Season Info'!C2:J15"), 8,1)</f>
        <v>2014-15</v>
      </c>
    </row>
    <row r="558" spans="1:17" x14ac:dyDescent="0.2">
      <c r="A558" s="21" t="s">
        <v>859</v>
      </c>
      <c r="B558" s="38" t="s">
        <v>225</v>
      </c>
      <c r="C558" s="38">
        <v>7</v>
      </c>
      <c r="D558" s="38" t="str">
        <f>A558&amp; " S" &amp;C558</f>
        <v>Parks and Rec S7</v>
      </c>
      <c r="E558" s="38">
        <v>121</v>
      </c>
      <c r="F558" s="38">
        <v>9</v>
      </c>
      <c r="G558" s="432" t="s">
        <v>857</v>
      </c>
      <c r="H558" s="38" t="s">
        <v>239</v>
      </c>
      <c r="I558" s="38" t="s">
        <v>834</v>
      </c>
      <c r="J558" s="462">
        <v>42045</v>
      </c>
      <c r="K558" s="38" t="str">
        <f>CHOOSE(WEEKDAY(J558),"Sun","Mon","Tue","Wed","Thu","Fri","Sat")</f>
        <v>Tue</v>
      </c>
      <c r="L558" s="71">
        <v>0.85416666666666674</v>
      </c>
      <c r="M558" s="38"/>
      <c r="N558" s="38">
        <v>2.4700000000000002</v>
      </c>
      <c r="O558" s="38">
        <v>557</v>
      </c>
      <c r="P558" s="384" t="str">
        <f t="shared" si="8"/>
        <v/>
      </c>
      <c r="Q558" s="403" t="str">
        <f ca="1">VLOOKUP(EpisodeList[[#This Row],[Season Number]], INDIRECT("'" &amp; EpisodeList[[#This Row],[Show]] &amp; " Season Info'!C2:J15"), 8,1)</f>
        <v>2014-15</v>
      </c>
    </row>
    <row r="559" spans="1:17" x14ac:dyDescent="0.2">
      <c r="A559" s="21" t="s">
        <v>859</v>
      </c>
      <c r="B559" s="38" t="s">
        <v>225</v>
      </c>
      <c r="C559" s="38">
        <v>7</v>
      </c>
      <c r="D559" s="38" t="str">
        <f>A559&amp; " S" &amp;C559</f>
        <v>Parks and Rec S7</v>
      </c>
      <c r="E559" s="38">
        <v>122</v>
      </c>
      <c r="F559" s="38">
        <v>10</v>
      </c>
      <c r="G559" s="432" t="s">
        <v>853</v>
      </c>
      <c r="H559" s="38" t="s">
        <v>348</v>
      </c>
      <c r="I559" s="38" t="s">
        <v>29</v>
      </c>
      <c r="J559" s="462">
        <v>42052</v>
      </c>
      <c r="K559" s="38" t="str">
        <f>CHOOSE(WEEKDAY(J559),"Sun","Mon","Tue","Wed","Thu","Fri","Sat")</f>
        <v>Tue</v>
      </c>
      <c r="L559" s="71">
        <v>0.83333333333333326</v>
      </c>
      <c r="M559" s="38"/>
      <c r="N559" s="38">
        <v>2.94</v>
      </c>
      <c r="O559" s="38">
        <v>558</v>
      </c>
      <c r="P559" s="384" t="str">
        <f t="shared" si="8"/>
        <v/>
      </c>
      <c r="Q559" s="403" t="str">
        <f ca="1">VLOOKUP(EpisodeList[[#This Row],[Season Number]], INDIRECT("'" &amp; EpisodeList[[#This Row],[Show]] &amp; " Season Info'!C2:J15"), 8,1)</f>
        <v>2014-15</v>
      </c>
    </row>
    <row r="560" spans="1:17" x14ac:dyDescent="0.2">
      <c r="A560" s="21" t="s">
        <v>859</v>
      </c>
      <c r="B560" s="38" t="s">
        <v>225</v>
      </c>
      <c r="C560" s="38">
        <v>7</v>
      </c>
      <c r="D560" s="38" t="str">
        <f>A560&amp; " S" &amp;C560</f>
        <v>Parks and Rec S7</v>
      </c>
      <c r="E560" s="38">
        <v>123</v>
      </c>
      <c r="F560" s="38">
        <v>11</v>
      </c>
      <c r="G560" s="432" t="s">
        <v>854</v>
      </c>
      <c r="H560" s="38" t="s">
        <v>314</v>
      </c>
      <c r="I560" s="38" t="s">
        <v>831</v>
      </c>
      <c r="J560" s="462">
        <v>42052</v>
      </c>
      <c r="K560" s="38" t="str">
        <f>CHOOSE(WEEKDAY(J560),"Sun","Mon","Tue","Wed","Thu","Fri","Sat")</f>
        <v>Tue</v>
      </c>
      <c r="L560" s="71">
        <v>0.85416666666666674</v>
      </c>
      <c r="M560" s="38"/>
      <c r="N560" s="38">
        <v>2.4700000000000002</v>
      </c>
      <c r="O560" s="38">
        <v>559</v>
      </c>
      <c r="P560" s="384" t="str">
        <f t="shared" si="8"/>
        <v/>
      </c>
      <c r="Q560" s="403" t="str">
        <f ca="1">VLOOKUP(EpisodeList[[#This Row],[Season Number]], INDIRECT("'" &amp; EpisodeList[[#This Row],[Show]] &amp; " Season Info'!C2:J15"), 8,1)</f>
        <v>2014-15</v>
      </c>
    </row>
    <row r="561" spans="1:17" x14ac:dyDescent="0.2">
      <c r="A561" s="21" t="s">
        <v>859</v>
      </c>
      <c r="B561" s="38" t="s">
        <v>225</v>
      </c>
      <c r="C561" s="38">
        <v>7</v>
      </c>
      <c r="D561" s="38" t="str">
        <f>A561&amp; " S" &amp;C561</f>
        <v>Parks and Rec S7</v>
      </c>
      <c r="E561" s="38">
        <v>124</v>
      </c>
      <c r="F561" s="38">
        <v>12</v>
      </c>
      <c r="G561" s="432" t="s">
        <v>856</v>
      </c>
      <c r="H561" s="38" t="s">
        <v>237</v>
      </c>
      <c r="I561" s="38" t="s">
        <v>855</v>
      </c>
      <c r="J561" s="462">
        <v>42059</v>
      </c>
      <c r="K561" s="38" t="str">
        <f>CHOOSE(WEEKDAY(J561),"Sun","Mon","Tue","Wed","Thu","Fri","Sat")</f>
        <v>Tue</v>
      </c>
      <c r="L561" s="71">
        <v>0.83333333333333326</v>
      </c>
      <c r="M561" s="38"/>
      <c r="N561" s="38">
        <v>4.1500000000000004</v>
      </c>
      <c r="O561" s="38">
        <v>560</v>
      </c>
      <c r="P561" s="384" t="str">
        <f t="shared" si="8"/>
        <v/>
      </c>
      <c r="Q561" s="403" t="str">
        <f ca="1">VLOOKUP(EpisodeList[[#This Row],[Season Number]], INDIRECT("'" &amp; EpisodeList[[#This Row],[Show]] &amp; " Season Info'!C2:J15"), 8,1)</f>
        <v>2014-15</v>
      </c>
    </row>
    <row r="562" spans="1:17" x14ac:dyDescent="0.2">
      <c r="A562" s="21" t="s">
        <v>859</v>
      </c>
      <c r="B562" s="38" t="s">
        <v>225</v>
      </c>
      <c r="C562" s="38">
        <v>7</v>
      </c>
      <c r="D562" s="38" t="str">
        <f>A562&amp; " S" &amp;C562</f>
        <v>Parks and Rec S7</v>
      </c>
      <c r="E562" s="38">
        <v>125</v>
      </c>
      <c r="F562" s="38">
        <v>13</v>
      </c>
      <c r="G562" s="432" t="s">
        <v>856</v>
      </c>
      <c r="H562" s="38" t="s">
        <v>237</v>
      </c>
      <c r="I562" s="38" t="s">
        <v>855</v>
      </c>
      <c r="J562" s="462">
        <v>42059</v>
      </c>
      <c r="K562" s="38" t="str">
        <f>CHOOSE(WEEKDAY(J562),"Sun","Mon","Tue","Wed","Thu","Fri","Sat")</f>
        <v>Tue</v>
      </c>
      <c r="L562" s="71">
        <v>0.85416666666666674</v>
      </c>
      <c r="M562" s="38"/>
      <c r="N562" s="38">
        <v>4.1500000000000004</v>
      </c>
      <c r="O562" s="38">
        <v>561</v>
      </c>
      <c r="P562" s="384" t="str">
        <f t="shared" si="8"/>
        <v/>
      </c>
      <c r="Q562" s="403" t="str">
        <f ca="1">VLOOKUP(EpisodeList[[#This Row],[Season Number]], INDIRECT("'" &amp; EpisodeList[[#This Row],[Show]] &amp; " Season Info'!C2:J15"), 8,1)</f>
        <v>2014-15</v>
      </c>
    </row>
    <row r="563" spans="1:17" x14ac:dyDescent="0.2">
      <c r="A563" s="25" t="s">
        <v>687</v>
      </c>
      <c r="B563" s="72" t="s">
        <v>224</v>
      </c>
      <c r="C563" s="72">
        <v>6</v>
      </c>
      <c r="D563" s="72" t="str">
        <f>A563&amp; " S" &amp;C563</f>
        <v>Community S6</v>
      </c>
      <c r="E563" s="72">
        <v>98</v>
      </c>
      <c r="F563" s="72">
        <v>1</v>
      </c>
      <c r="G563" s="433" t="s">
        <v>667</v>
      </c>
      <c r="H563" s="72" t="s">
        <v>614</v>
      </c>
      <c r="I563" s="72" t="s">
        <v>644</v>
      </c>
      <c r="J563" s="463">
        <v>42080</v>
      </c>
      <c r="K563" s="72" t="str">
        <f>CHOOSE(WEEKDAY(J563),"Sun","Mon","Tue","Wed","Thu","Fri","Sat")</f>
        <v>Tue</v>
      </c>
      <c r="L563" s="73" t="e">
        <v>#VALUE!</v>
      </c>
      <c r="M563" s="72">
        <v>602</v>
      </c>
      <c r="N563" s="72"/>
      <c r="O563" s="72">
        <v>562</v>
      </c>
      <c r="P563" s="385" t="str">
        <f t="shared" si="8"/>
        <v/>
      </c>
      <c r="Q563" s="404" t="str">
        <f ca="1">VLOOKUP(EpisodeList[[#This Row],[Season Number]], INDIRECT("'" &amp; EpisodeList[[#This Row],[Show]] &amp; " Season Info'!C2:J15"), 8,1)</f>
        <v>2014-15</v>
      </c>
    </row>
    <row r="564" spans="1:17" x14ac:dyDescent="0.2">
      <c r="A564" s="25" t="s">
        <v>687</v>
      </c>
      <c r="B564" s="72" t="s">
        <v>224</v>
      </c>
      <c r="C564" s="72">
        <v>6</v>
      </c>
      <c r="D564" s="72" t="str">
        <f>A564&amp; " S" &amp;C564</f>
        <v>Community S6</v>
      </c>
      <c r="E564" s="72">
        <v>99</v>
      </c>
      <c r="F564" s="72">
        <v>2</v>
      </c>
      <c r="G564" s="433" t="s">
        <v>668</v>
      </c>
      <c r="H564" s="72" t="s">
        <v>669</v>
      </c>
      <c r="I564" s="72" t="s">
        <v>649</v>
      </c>
      <c r="J564" s="463">
        <v>42080</v>
      </c>
      <c r="K564" s="72" t="str">
        <f>CHOOSE(WEEKDAY(J564),"Sun","Mon","Tue","Wed","Thu","Fri","Sat")</f>
        <v>Tue</v>
      </c>
      <c r="L564" s="73" t="e">
        <v>#VALUE!</v>
      </c>
      <c r="M564" s="72">
        <v>601</v>
      </c>
      <c r="N564" s="72"/>
      <c r="O564" s="72">
        <v>563</v>
      </c>
      <c r="P564" s="385" t="str">
        <f t="shared" si="8"/>
        <v/>
      </c>
      <c r="Q564" s="404" t="str">
        <f ca="1">VLOOKUP(EpisodeList[[#This Row],[Season Number]], INDIRECT("'" &amp; EpisodeList[[#This Row],[Show]] &amp; " Season Info'!C2:J15"), 8,1)</f>
        <v>2014-15</v>
      </c>
    </row>
    <row r="565" spans="1:17" x14ac:dyDescent="0.2">
      <c r="A565" s="25" t="s">
        <v>687</v>
      </c>
      <c r="B565" s="72" t="s">
        <v>224</v>
      </c>
      <c r="C565" s="72">
        <v>6</v>
      </c>
      <c r="D565" s="72" t="str">
        <f>A565&amp; " S" &amp;C565</f>
        <v>Community S6</v>
      </c>
      <c r="E565" s="72">
        <v>100</v>
      </c>
      <c r="F565" s="72">
        <v>3</v>
      </c>
      <c r="G565" s="433" t="s">
        <v>670</v>
      </c>
      <c r="H565" s="72" t="s">
        <v>671</v>
      </c>
      <c r="I565" s="72" t="s">
        <v>652</v>
      </c>
      <c r="J565" s="463">
        <v>42087</v>
      </c>
      <c r="K565" s="72" t="str">
        <f>CHOOSE(WEEKDAY(J565),"Sun","Mon","Tue","Wed","Thu","Fri","Sat")</f>
        <v>Tue</v>
      </c>
      <c r="L565" s="73" t="e">
        <v>#VALUE!</v>
      </c>
      <c r="M565" s="72">
        <v>605</v>
      </c>
      <c r="N565" s="72"/>
      <c r="O565" s="72">
        <v>564</v>
      </c>
      <c r="P565" s="385" t="str">
        <f t="shared" si="8"/>
        <v/>
      </c>
      <c r="Q565" s="404" t="str">
        <f ca="1">VLOOKUP(EpisodeList[[#This Row],[Season Number]], INDIRECT("'" &amp; EpisodeList[[#This Row],[Show]] &amp; " Season Info'!C2:J15"), 8,1)</f>
        <v>2014-15</v>
      </c>
    </row>
    <row r="566" spans="1:17" x14ac:dyDescent="0.2">
      <c r="A566" s="25" t="s">
        <v>687</v>
      </c>
      <c r="B566" s="72" t="s">
        <v>224</v>
      </c>
      <c r="C566" s="72">
        <v>6</v>
      </c>
      <c r="D566" s="72" t="str">
        <f>A566&amp; " S" &amp;C566</f>
        <v>Community S6</v>
      </c>
      <c r="E566" s="72">
        <v>101</v>
      </c>
      <c r="F566" s="72">
        <v>4</v>
      </c>
      <c r="G566" s="433" t="s">
        <v>672</v>
      </c>
      <c r="H566" s="72" t="s">
        <v>669</v>
      </c>
      <c r="I566" s="72" t="s">
        <v>673</v>
      </c>
      <c r="J566" s="463">
        <v>42094</v>
      </c>
      <c r="K566" s="72" t="str">
        <f>CHOOSE(WEEKDAY(J566),"Sun","Mon","Tue","Wed","Thu","Fri","Sat")</f>
        <v>Tue</v>
      </c>
      <c r="L566" s="73" t="e">
        <v>#VALUE!</v>
      </c>
      <c r="M566" s="72">
        <v>603</v>
      </c>
      <c r="N566" s="72"/>
      <c r="O566" s="72">
        <v>565</v>
      </c>
      <c r="P566" s="385" t="str">
        <f t="shared" si="8"/>
        <v/>
      </c>
      <c r="Q566" s="404" t="str">
        <f ca="1">VLOOKUP(EpisodeList[[#This Row],[Season Number]], INDIRECT("'" &amp; EpisodeList[[#This Row],[Show]] &amp; " Season Info'!C2:J15"), 8,1)</f>
        <v>2014-15</v>
      </c>
    </row>
    <row r="567" spans="1:17" x14ac:dyDescent="0.2">
      <c r="A567" s="25" t="s">
        <v>687</v>
      </c>
      <c r="B567" s="72" t="s">
        <v>224</v>
      </c>
      <c r="C567" s="72">
        <v>6</v>
      </c>
      <c r="D567" s="72" t="str">
        <f>A567&amp; " S" &amp;C567</f>
        <v>Community S6</v>
      </c>
      <c r="E567" s="72">
        <v>102</v>
      </c>
      <c r="F567" s="72">
        <v>5</v>
      </c>
      <c r="G567" s="433" t="s">
        <v>674</v>
      </c>
      <c r="H567" s="72" t="s">
        <v>614</v>
      </c>
      <c r="I567" s="72" t="s">
        <v>675</v>
      </c>
      <c r="J567" s="463">
        <v>42101</v>
      </c>
      <c r="K567" s="72" t="str">
        <f>CHOOSE(WEEKDAY(J567),"Sun","Mon","Tue","Wed","Thu","Fri","Sat")</f>
        <v>Tue</v>
      </c>
      <c r="L567" s="73" t="e">
        <v>#VALUE!</v>
      </c>
      <c r="M567" s="72">
        <v>604</v>
      </c>
      <c r="N567" s="72"/>
      <c r="O567" s="72">
        <v>566</v>
      </c>
      <c r="P567" s="385" t="str">
        <f t="shared" si="8"/>
        <v/>
      </c>
      <c r="Q567" s="404" t="str">
        <f ca="1">VLOOKUP(EpisodeList[[#This Row],[Season Number]], INDIRECT("'" &amp; EpisodeList[[#This Row],[Show]] &amp; " Season Info'!C2:J15"), 8,1)</f>
        <v>2014-15</v>
      </c>
    </row>
    <row r="568" spans="1:17" x14ac:dyDescent="0.2">
      <c r="A568" s="25" t="s">
        <v>687</v>
      </c>
      <c r="B568" s="72" t="s">
        <v>224</v>
      </c>
      <c r="C568" s="72">
        <v>6</v>
      </c>
      <c r="D568" s="72" t="str">
        <f>A568&amp; " S" &amp;C568</f>
        <v>Community S6</v>
      </c>
      <c r="E568" s="72">
        <v>103</v>
      </c>
      <c r="F568" s="72">
        <v>6</v>
      </c>
      <c r="G568" s="433" t="s">
        <v>676</v>
      </c>
      <c r="H568" s="72" t="s">
        <v>565</v>
      </c>
      <c r="I568" s="72" t="s">
        <v>660</v>
      </c>
      <c r="J568" s="463">
        <v>42108</v>
      </c>
      <c r="K568" s="72" t="str">
        <f>CHOOSE(WEEKDAY(J568),"Sun","Mon","Tue","Wed","Thu","Fri","Sat")</f>
        <v>Tue</v>
      </c>
      <c r="L568" s="73" t="e">
        <v>#VALUE!</v>
      </c>
      <c r="M568" s="72">
        <v>606</v>
      </c>
      <c r="N568" s="72"/>
      <c r="O568" s="72">
        <v>567</v>
      </c>
      <c r="P568" s="385" t="str">
        <f t="shared" si="8"/>
        <v/>
      </c>
      <c r="Q568" s="404" t="str">
        <f ca="1">VLOOKUP(EpisodeList[[#This Row],[Season Number]], INDIRECT("'" &amp; EpisodeList[[#This Row],[Show]] &amp; " Season Info'!C2:J15"), 8,1)</f>
        <v>2014-15</v>
      </c>
    </row>
    <row r="569" spans="1:17" x14ac:dyDescent="0.2">
      <c r="A569" s="25" t="s">
        <v>687</v>
      </c>
      <c r="B569" s="72" t="s">
        <v>224</v>
      </c>
      <c r="C569" s="72">
        <v>6</v>
      </c>
      <c r="D569" s="72" t="str">
        <f>A569&amp; " S" &amp;C569</f>
        <v>Community S6</v>
      </c>
      <c r="E569" s="72">
        <v>104</v>
      </c>
      <c r="F569" s="72">
        <v>7</v>
      </c>
      <c r="G569" s="433" t="s">
        <v>677</v>
      </c>
      <c r="H569" s="72" t="s">
        <v>614</v>
      </c>
      <c r="I569" s="72" t="s">
        <v>664</v>
      </c>
      <c r="J569" s="463">
        <v>42115</v>
      </c>
      <c r="K569" s="72" t="str">
        <f>CHOOSE(WEEKDAY(J569),"Sun","Mon","Tue","Wed","Thu","Fri","Sat")</f>
        <v>Tue</v>
      </c>
      <c r="L569" s="73" t="e">
        <v>#VALUE!</v>
      </c>
      <c r="M569" s="72">
        <v>607</v>
      </c>
      <c r="N569" s="72"/>
      <c r="O569" s="72">
        <v>568</v>
      </c>
      <c r="P569" s="385" t="str">
        <f t="shared" si="8"/>
        <v/>
      </c>
      <c r="Q569" s="404" t="str">
        <f ca="1">VLOOKUP(EpisodeList[[#This Row],[Season Number]], INDIRECT("'" &amp; EpisodeList[[#This Row],[Show]] &amp; " Season Info'!C2:J15"), 8,1)</f>
        <v>2014-15</v>
      </c>
    </row>
    <row r="570" spans="1:17" x14ac:dyDescent="0.2">
      <c r="A570" s="25" t="s">
        <v>687</v>
      </c>
      <c r="B570" s="72" t="s">
        <v>224</v>
      </c>
      <c r="C570" s="72">
        <v>6</v>
      </c>
      <c r="D570" s="72" t="str">
        <f>A570&amp; " S" &amp;C570</f>
        <v>Community S6</v>
      </c>
      <c r="E570" s="72">
        <v>105</v>
      </c>
      <c r="F570" s="72">
        <v>8</v>
      </c>
      <c r="G570" s="433" t="s">
        <v>678</v>
      </c>
      <c r="H570" s="72" t="s">
        <v>263</v>
      </c>
      <c r="I570" s="72" t="s">
        <v>679</v>
      </c>
      <c r="J570" s="463">
        <v>42122</v>
      </c>
      <c r="K570" s="72" t="str">
        <f>CHOOSE(WEEKDAY(J570),"Sun","Mon","Tue","Wed","Thu","Fri","Sat")</f>
        <v>Tue</v>
      </c>
      <c r="L570" s="73" t="e">
        <v>#VALUE!</v>
      </c>
      <c r="M570" s="72">
        <v>608</v>
      </c>
      <c r="N570" s="72"/>
      <c r="O570" s="72">
        <v>569</v>
      </c>
      <c r="P570" s="385" t="str">
        <f t="shared" si="8"/>
        <v/>
      </c>
      <c r="Q570" s="404" t="str">
        <f ca="1">VLOOKUP(EpisodeList[[#This Row],[Season Number]], INDIRECT("'" &amp; EpisodeList[[#This Row],[Show]] &amp; " Season Info'!C2:J15"), 8,1)</f>
        <v>2014-15</v>
      </c>
    </row>
    <row r="571" spans="1:17" x14ac:dyDescent="0.2">
      <c r="A571" s="25" t="s">
        <v>687</v>
      </c>
      <c r="B571" s="72" t="s">
        <v>224</v>
      </c>
      <c r="C571" s="72">
        <v>6</v>
      </c>
      <c r="D571" s="72" t="str">
        <f>A571&amp; " S" &amp;C571</f>
        <v>Community S6</v>
      </c>
      <c r="E571" s="72">
        <v>106</v>
      </c>
      <c r="F571" s="72">
        <v>9</v>
      </c>
      <c r="G571" s="433" t="s">
        <v>680</v>
      </c>
      <c r="H571" s="72" t="s">
        <v>614</v>
      </c>
      <c r="I571" s="72" t="s">
        <v>666</v>
      </c>
      <c r="J571" s="463">
        <v>42129</v>
      </c>
      <c r="K571" s="72" t="str">
        <f>CHOOSE(WEEKDAY(J571),"Sun","Mon","Tue","Wed","Thu","Fri","Sat")</f>
        <v>Tue</v>
      </c>
      <c r="L571" s="73" t="e">
        <v>#VALUE!</v>
      </c>
      <c r="M571" s="72">
        <v>609</v>
      </c>
      <c r="N571" s="72"/>
      <c r="O571" s="72">
        <v>570</v>
      </c>
      <c r="P571" s="385" t="str">
        <f t="shared" si="8"/>
        <v/>
      </c>
      <c r="Q571" s="404" t="str">
        <f ca="1">VLOOKUP(EpisodeList[[#This Row],[Season Number]], INDIRECT("'" &amp; EpisodeList[[#This Row],[Show]] &amp; " Season Info'!C2:J15"), 8,1)</f>
        <v>2014-15</v>
      </c>
    </row>
    <row r="572" spans="1:17" x14ac:dyDescent="0.2">
      <c r="A572" s="25" t="s">
        <v>687</v>
      </c>
      <c r="B572" s="72" t="s">
        <v>224</v>
      </c>
      <c r="C572" s="72">
        <v>6</v>
      </c>
      <c r="D572" s="72" t="str">
        <f>A572&amp; " S" &amp;C572</f>
        <v>Community S6</v>
      </c>
      <c r="E572" s="72">
        <v>107</v>
      </c>
      <c r="F572" s="72">
        <v>10</v>
      </c>
      <c r="G572" s="433" t="s">
        <v>681</v>
      </c>
      <c r="H572" s="72" t="s">
        <v>565</v>
      </c>
      <c r="I572" s="72" t="s">
        <v>654</v>
      </c>
      <c r="J572" s="463">
        <v>42136</v>
      </c>
      <c r="K572" s="72" t="str">
        <f>CHOOSE(WEEKDAY(J572),"Sun","Mon","Tue","Wed","Thu","Fri","Sat")</f>
        <v>Tue</v>
      </c>
      <c r="L572" s="73" t="e">
        <v>#VALUE!</v>
      </c>
      <c r="M572" s="72">
        <v>610</v>
      </c>
      <c r="N572" s="72"/>
      <c r="O572" s="72">
        <v>571</v>
      </c>
      <c r="P572" s="385" t="str">
        <f t="shared" si="8"/>
        <v/>
      </c>
      <c r="Q572" s="404" t="str">
        <f ca="1">VLOOKUP(EpisodeList[[#This Row],[Season Number]], INDIRECT("'" &amp; EpisodeList[[#This Row],[Show]] &amp; " Season Info'!C2:J15"), 8,1)</f>
        <v>2014-15</v>
      </c>
    </row>
    <row r="573" spans="1:17" x14ac:dyDescent="0.2">
      <c r="A573" s="25" t="s">
        <v>687</v>
      </c>
      <c r="B573" s="72" t="s">
        <v>224</v>
      </c>
      <c r="C573" s="72">
        <v>6</v>
      </c>
      <c r="D573" s="72" t="str">
        <f>A573&amp; " S" &amp;C573</f>
        <v>Community S6</v>
      </c>
      <c r="E573" s="72">
        <v>108</v>
      </c>
      <c r="F573" s="72">
        <v>11</v>
      </c>
      <c r="G573" s="433" t="s">
        <v>682</v>
      </c>
      <c r="H573" s="72" t="s">
        <v>614</v>
      </c>
      <c r="I573" s="72" t="s">
        <v>683</v>
      </c>
      <c r="J573" s="463">
        <v>42143</v>
      </c>
      <c r="K573" s="72" t="str">
        <f>CHOOSE(WEEKDAY(J573),"Sun","Mon","Tue","Wed","Thu","Fri","Sat")</f>
        <v>Tue</v>
      </c>
      <c r="L573" s="73" t="e">
        <v>#VALUE!</v>
      </c>
      <c r="M573" s="72">
        <v>611</v>
      </c>
      <c r="N573" s="72"/>
      <c r="O573" s="72">
        <v>572</v>
      </c>
      <c r="P573" s="385" t="str">
        <f t="shared" si="8"/>
        <v/>
      </c>
      <c r="Q573" s="404" t="str">
        <f ca="1">VLOOKUP(EpisodeList[[#This Row],[Season Number]], INDIRECT("'" &amp; EpisodeList[[#This Row],[Show]] &amp; " Season Info'!C2:J15"), 8,1)</f>
        <v>2014-15</v>
      </c>
    </row>
    <row r="574" spans="1:17" x14ac:dyDescent="0.2">
      <c r="A574" s="25" t="s">
        <v>687</v>
      </c>
      <c r="B574" s="72" t="s">
        <v>224</v>
      </c>
      <c r="C574" s="72">
        <v>6</v>
      </c>
      <c r="D574" s="72" t="str">
        <f>A574&amp; " S" &amp;C574</f>
        <v>Community S6</v>
      </c>
      <c r="E574" s="72">
        <v>109</v>
      </c>
      <c r="F574" s="72">
        <v>12</v>
      </c>
      <c r="G574" s="433" t="s">
        <v>684</v>
      </c>
      <c r="H574" s="72" t="s">
        <v>530</v>
      </c>
      <c r="I574" s="72" t="s">
        <v>685</v>
      </c>
      <c r="J574" s="463">
        <v>42150</v>
      </c>
      <c r="K574" s="72" t="str">
        <f>CHOOSE(WEEKDAY(J574),"Sun","Mon","Tue","Wed","Thu","Fri","Sat")</f>
        <v>Tue</v>
      </c>
      <c r="L574" s="73" t="e">
        <v>#VALUE!</v>
      </c>
      <c r="M574" s="72">
        <v>612</v>
      </c>
      <c r="N574" s="72"/>
      <c r="O574" s="72">
        <v>573</v>
      </c>
      <c r="P574" s="385" t="str">
        <f t="shared" si="8"/>
        <v/>
      </c>
      <c r="Q574" s="404" t="str">
        <f ca="1">VLOOKUP(EpisodeList[[#This Row],[Season Number]], INDIRECT("'" &amp; EpisodeList[[#This Row],[Show]] &amp; " Season Info'!C2:J15"), 8,1)</f>
        <v>2014-15</v>
      </c>
    </row>
    <row r="575" spans="1:17" x14ac:dyDescent="0.2">
      <c r="A575" s="25" t="s">
        <v>687</v>
      </c>
      <c r="B575" s="72" t="s">
        <v>224</v>
      </c>
      <c r="C575" s="72">
        <v>6</v>
      </c>
      <c r="D575" s="72" t="str">
        <f>A575&amp; " S" &amp;C575</f>
        <v>Community S6</v>
      </c>
      <c r="E575" s="72">
        <v>110</v>
      </c>
      <c r="F575" s="72">
        <v>13</v>
      </c>
      <c r="G575" s="433" t="s">
        <v>686</v>
      </c>
      <c r="H575" s="72" t="s">
        <v>614</v>
      </c>
      <c r="I575" s="72" t="s">
        <v>644</v>
      </c>
      <c r="J575" s="463">
        <v>42157</v>
      </c>
      <c r="K575" s="72" t="str">
        <f>CHOOSE(WEEKDAY(J575),"Sun","Mon","Tue","Wed","Thu","Fri","Sat")</f>
        <v>Tue</v>
      </c>
      <c r="L575" s="73" t="e">
        <v>#VALUE!</v>
      </c>
      <c r="M575" s="72">
        <v>613</v>
      </c>
      <c r="N575" s="72"/>
      <c r="O575" s="74">
        <v>574</v>
      </c>
      <c r="P575" s="386" t="str">
        <f t="shared" si="8"/>
        <v/>
      </c>
      <c r="Q575" s="404" t="str">
        <f ca="1">VLOOKUP(EpisodeList[[#This Row],[Season Number]], INDIRECT("'" &amp; EpisodeList[[#This Row],[Show]] &amp; " Season Info'!C2:J15"), 8,1)</f>
        <v>2014-15</v>
      </c>
    </row>
  </sheetData>
  <sortState xmlns:xlrd2="http://schemas.microsoft.com/office/spreadsheetml/2017/richdata2" ref="A2:P575">
    <sortCondition ref="A2:A575"/>
    <sortCondition ref="E2:E575"/>
  </sortState>
  <phoneticPr fontId="1" type="noConversion"/>
  <conditionalFormatting sqref="N1:N1048576">
    <cfRule type="colorScale" priority="12">
      <colorScale>
        <cfvo type="min"/>
        <cfvo type="percentile" val="50"/>
        <cfvo type="max"/>
        <color rgb="FFFF424D"/>
        <color rgb="FFFFEB84"/>
        <color theme="9"/>
      </colorScale>
    </cfRule>
  </conditionalFormatting>
  <conditionalFormatting sqref="L2:L1000">
    <cfRule type="colorScale" priority="11">
      <colorScale>
        <cfvo type="min"/>
        <cfvo type="percentile" val="50"/>
        <cfvo type="max"/>
        <color theme="7"/>
        <color theme="9"/>
        <color theme="8" tint="-0.249977111117893"/>
      </colorScale>
    </cfRule>
  </conditionalFormatting>
  <conditionalFormatting sqref="J2:K1000">
    <cfRule type="expression" dxfId="10" priority="2">
      <formula>AND($K2="Thu", $J2&lt;&gt;$J1)</formula>
    </cfRule>
    <cfRule type="expression" dxfId="9" priority="10">
      <formula>AND($K2="Thu", $J2=$J1)</formula>
    </cfRule>
  </conditionalFormatting>
  <conditionalFormatting sqref="A2:N575 A576:P1000">
    <cfRule type="expression" dxfId="8" priority="9">
      <formula>$J2&lt;&gt;$J1</formula>
    </cfRule>
  </conditionalFormatting>
  <conditionalFormatting sqref="O2:Q575">
    <cfRule type="expression" dxfId="7" priority="5">
      <formula>$J2&lt;&gt;$J1</formula>
    </cfRule>
  </conditionalFormatting>
  <conditionalFormatting sqref="P2:P575">
    <cfRule type="expression" dxfId="6" priority="3">
      <formula>$J2&lt;&gt;$J1</formula>
    </cfRule>
  </conditionalFormatting>
  <conditionalFormatting sqref="O2:P1000">
    <cfRule type="expression" dxfId="5" priority="1">
      <formula>AND($K2="Thu", $J2=$J1)</formula>
    </cfRule>
    <cfRule type="expression" dxfId="4" priority="7">
      <formula>AND($K2="Thu", $J2&lt;&gt;$J1)</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FCEC36-85A4-C743-B58C-18A23A177A06}">
  <sheetPr codeName="Sheet2"/>
  <dimension ref="A1:AE29"/>
  <sheetViews>
    <sheetView zoomScale="61" workbookViewId="0">
      <selection activeCell="AI12" sqref="AI12"/>
    </sheetView>
  </sheetViews>
  <sheetFormatPr baseColWidth="10" defaultRowHeight="16" x14ac:dyDescent="0.2"/>
  <cols>
    <col min="1" max="1" width="17" style="88" customWidth="1"/>
    <col min="2" max="2" width="26.5" style="88" customWidth="1"/>
    <col min="3" max="3" width="17.6640625" style="88" customWidth="1"/>
    <col min="4" max="4" width="19.5" style="88" customWidth="1"/>
    <col min="5" max="5" width="19.5" style="88" hidden="1" customWidth="1"/>
    <col min="6" max="6" width="19" style="88" hidden="1" customWidth="1"/>
    <col min="7" max="7" width="17.6640625" style="88" hidden="1" customWidth="1"/>
    <col min="8" max="8" width="20" style="88" hidden="1" customWidth="1"/>
    <col min="9" max="9" width="22.83203125" style="88" hidden="1" customWidth="1"/>
    <col min="10" max="10" width="19.1640625" style="88" hidden="1" customWidth="1"/>
    <col min="11" max="11" width="21.6640625" style="88" hidden="1" customWidth="1"/>
    <col min="12" max="12" width="20.1640625" style="88" hidden="1" customWidth="1"/>
    <col min="13" max="13" width="17.33203125" style="88" hidden="1" customWidth="1"/>
    <col min="14" max="14" width="7.6640625" style="88" customWidth="1"/>
    <col min="15" max="15" width="14.83203125" style="88" customWidth="1"/>
    <col min="16" max="16" width="12" style="88" customWidth="1"/>
    <col min="17" max="17" width="11.33203125" style="88" customWidth="1"/>
    <col min="18" max="25" width="10.83203125" style="88"/>
    <col min="26" max="26" width="15.1640625" style="88" customWidth="1"/>
    <col min="27" max="16384" width="10.83203125" style="88"/>
  </cols>
  <sheetData>
    <row r="1" spans="1:31" s="152" customFormat="1" ht="57" customHeight="1" thickBot="1" x14ac:dyDescent="0.4">
      <c r="A1" s="213" t="s">
        <v>1014</v>
      </c>
      <c r="B1" s="214"/>
      <c r="C1" s="214"/>
      <c r="D1" s="214"/>
      <c r="E1" s="214"/>
      <c r="F1" s="214"/>
      <c r="G1" s="214"/>
      <c r="H1" s="214"/>
      <c r="I1" s="214"/>
      <c r="J1" s="214"/>
      <c r="K1" s="214"/>
      <c r="L1" s="214"/>
      <c r="M1" s="214"/>
      <c r="N1" s="214"/>
      <c r="O1" s="215" t="s">
        <v>1017</v>
      </c>
      <c r="P1" s="214"/>
      <c r="Q1" s="214"/>
      <c r="R1" s="214"/>
      <c r="S1" s="214"/>
      <c r="T1" s="214"/>
      <c r="U1" s="214"/>
      <c r="V1" s="216" t="s">
        <v>1019</v>
      </c>
      <c r="W1" s="214"/>
      <c r="X1" s="214"/>
      <c r="Y1" s="214"/>
      <c r="Z1" s="214"/>
    </row>
    <row r="2" spans="1:31" ht="111" customHeight="1" thickBot="1" x14ac:dyDescent="0.25">
      <c r="A2" s="212" t="s">
        <v>1015</v>
      </c>
      <c r="B2" s="212"/>
      <c r="C2" s="212"/>
      <c r="D2" s="212"/>
      <c r="E2" s="203"/>
      <c r="F2" s="203"/>
      <c r="G2" s="203"/>
      <c r="H2" s="203"/>
      <c r="I2" s="203"/>
      <c r="J2" s="203"/>
      <c r="K2" s="203"/>
      <c r="L2" s="203"/>
      <c r="M2" s="203"/>
      <c r="N2" s="203"/>
      <c r="O2" s="153" t="s">
        <v>1018</v>
      </c>
      <c r="P2" s="154"/>
      <c r="Q2" s="154"/>
      <c r="R2" s="154"/>
      <c r="S2" s="154"/>
      <c r="T2" s="154"/>
      <c r="U2" s="155"/>
      <c r="V2" s="197" t="s">
        <v>1020</v>
      </c>
      <c r="W2" s="197"/>
      <c r="X2" s="197"/>
      <c r="Y2" s="197"/>
      <c r="Z2" s="198"/>
    </row>
    <row r="3" spans="1:31" ht="20" customHeight="1" x14ac:dyDescent="0.2"/>
    <row r="4" spans="1:31" s="114" customFormat="1" ht="26" customHeight="1" thickBot="1" x14ac:dyDescent="0.3">
      <c r="A4" s="110" t="s">
        <v>965</v>
      </c>
      <c r="B4" s="111"/>
      <c r="C4" s="112"/>
      <c r="D4" s="112"/>
      <c r="E4" s="112"/>
      <c r="F4" s="112"/>
      <c r="G4" s="112"/>
      <c r="H4" s="112"/>
      <c r="I4" s="112"/>
      <c r="J4" s="112"/>
      <c r="K4" s="112"/>
      <c r="L4" s="112"/>
      <c r="M4" s="112"/>
      <c r="N4" s="112"/>
      <c r="O4" s="112"/>
      <c r="P4" s="112"/>
      <c r="Q4" s="112"/>
      <c r="R4" s="112"/>
      <c r="S4" s="112"/>
      <c r="T4" s="112"/>
      <c r="U4" s="112"/>
      <c r="V4" s="112"/>
      <c r="W4" s="112"/>
      <c r="X4" s="112"/>
      <c r="Y4" s="205"/>
      <c r="Z4" s="205"/>
      <c r="AA4" s="205"/>
    </row>
    <row r="5" spans="1:31" s="149" customFormat="1" ht="73" customHeight="1" thickBot="1" x14ac:dyDescent="0.25">
      <c r="A5" s="117" t="s">
        <v>967</v>
      </c>
      <c r="B5" s="118" t="s">
        <v>995</v>
      </c>
      <c r="C5" s="117" t="s">
        <v>968</v>
      </c>
      <c r="D5" s="119" t="s">
        <v>973</v>
      </c>
      <c r="E5" s="106"/>
      <c r="F5" s="106"/>
      <c r="G5" s="106"/>
      <c r="H5" s="106"/>
      <c r="I5" s="106"/>
      <c r="J5" s="106"/>
      <c r="K5" s="106"/>
      <c r="L5" s="106"/>
      <c r="M5" s="106"/>
      <c r="N5" s="106"/>
      <c r="O5" s="116"/>
      <c r="P5" s="117" t="s">
        <v>969</v>
      </c>
      <c r="Q5" s="120" t="s">
        <v>974</v>
      </c>
      <c r="R5" s="120"/>
      <c r="S5" s="121"/>
      <c r="T5" s="116"/>
      <c r="U5" s="117" t="s">
        <v>970</v>
      </c>
      <c r="V5" s="122" t="s">
        <v>971</v>
      </c>
      <c r="W5" s="122"/>
      <c r="X5" s="123"/>
      <c r="Y5" s="210"/>
      <c r="Z5" s="211"/>
      <c r="AA5" s="206"/>
      <c r="AB5" s="148"/>
      <c r="AC5" s="148"/>
      <c r="AD5" s="148"/>
      <c r="AE5" s="148"/>
    </row>
    <row r="6" spans="1:31" s="113" customFormat="1" ht="16" customHeight="1" x14ac:dyDescent="0.2">
      <c r="A6" s="208"/>
      <c r="B6" s="208"/>
      <c r="C6" s="199"/>
      <c r="D6" s="209"/>
      <c r="E6" s="200"/>
      <c r="F6" s="200"/>
      <c r="G6" s="200"/>
      <c r="H6" s="200"/>
      <c r="I6" s="200"/>
      <c r="J6" s="200"/>
      <c r="K6" s="200"/>
      <c r="L6" s="200"/>
      <c r="M6" s="200"/>
      <c r="N6" s="200"/>
      <c r="O6" s="200"/>
      <c r="P6" s="200"/>
      <c r="Q6" s="200"/>
      <c r="R6" s="200"/>
      <c r="S6" s="200"/>
      <c r="T6" s="200"/>
      <c r="U6" s="200"/>
      <c r="V6" s="200"/>
      <c r="W6" s="200"/>
      <c r="X6" s="200"/>
      <c r="Y6" s="200"/>
      <c r="Z6" s="200"/>
      <c r="AA6" s="200"/>
    </row>
    <row r="7" spans="1:31" s="115" customFormat="1" ht="65" customHeight="1" thickBot="1" x14ac:dyDescent="0.3">
      <c r="A7" s="207" t="s">
        <v>976</v>
      </c>
      <c r="B7" s="207"/>
      <c r="C7" s="207"/>
      <c r="D7" s="207"/>
      <c r="E7" s="207"/>
      <c r="F7" s="207"/>
      <c r="G7" s="207"/>
      <c r="H7" s="207"/>
      <c r="I7" s="207"/>
      <c r="J7" s="207"/>
      <c r="K7" s="207"/>
      <c r="L7" s="207"/>
      <c r="M7" s="207"/>
      <c r="N7" s="207"/>
      <c r="O7" s="324" t="s">
        <v>977</v>
      </c>
      <c r="P7" s="207"/>
      <c r="Q7" s="207"/>
      <c r="R7" s="207"/>
      <c r="S7" s="207"/>
      <c r="T7" s="207"/>
      <c r="U7" s="207"/>
      <c r="V7" s="207"/>
      <c r="W7" s="207"/>
      <c r="X7" s="207"/>
      <c r="Y7" s="207"/>
      <c r="Z7" s="207"/>
      <c r="AA7" s="207"/>
    </row>
    <row r="8" spans="1:31" s="87" customFormat="1" ht="50" customHeight="1" thickBot="1" x14ac:dyDescent="0.25">
      <c r="A8" s="100" t="s">
        <v>934</v>
      </c>
      <c r="B8" s="107" t="s">
        <v>975</v>
      </c>
      <c r="C8" s="97" t="s">
        <v>966</v>
      </c>
      <c r="D8" s="98" t="s">
        <v>972</v>
      </c>
      <c r="E8" s="93" t="s">
        <v>935</v>
      </c>
      <c r="F8" s="76" t="s">
        <v>936</v>
      </c>
      <c r="G8" s="77" t="s">
        <v>939</v>
      </c>
      <c r="H8" s="78" t="s">
        <v>937</v>
      </c>
      <c r="I8" s="78" t="s">
        <v>938</v>
      </c>
      <c r="J8" s="79" t="s">
        <v>940</v>
      </c>
      <c r="K8" s="80" t="s">
        <v>941</v>
      </c>
      <c r="L8" s="80" t="s">
        <v>942</v>
      </c>
      <c r="M8" s="80" t="s">
        <v>943</v>
      </c>
      <c r="N8" s="204"/>
      <c r="O8" s="94" t="s">
        <v>964</v>
      </c>
      <c r="P8" s="89">
        <v>1</v>
      </c>
      <c r="Q8" s="92">
        <v>2</v>
      </c>
      <c r="R8" s="92">
        <v>3</v>
      </c>
      <c r="S8" s="92">
        <v>4</v>
      </c>
      <c r="T8" s="92">
        <v>5</v>
      </c>
      <c r="U8" s="92">
        <v>6</v>
      </c>
      <c r="V8" s="92">
        <v>7</v>
      </c>
      <c r="W8" s="89">
        <v>8</v>
      </c>
      <c r="X8" s="91">
        <v>9</v>
      </c>
      <c r="Y8" s="92">
        <v>10</v>
      </c>
      <c r="Z8" s="90">
        <v>11</v>
      </c>
      <c r="AA8" s="204"/>
    </row>
    <row r="9" spans="1:31" ht="69" customHeight="1" x14ac:dyDescent="0.2">
      <c r="A9" s="108" t="s">
        <v>228</v>
      </c>
      <c r="B9" s="95">
        <f ca="1">MAX(INDIRECT("'" &amp; 'Color Values'!A9 &amp; " Season Info'!C:C"))</f>
        <v>7</v>
      </c>
      <c r="C9" s="156" t="s">
        <v>947</v>
      </c>
      <c r="D9" s="157" t="s">
        <v>951</v>
      </c>
      <c r="E9" s="86" t="str">
        <f>TEXT(HEX2DEC(MID(C9,2,2)), "00")</f>
        <v>251</v>
      </c>
      <c r="F9" s="81" t="str">
        <f>TEXT(HEX2DEC(MID(D9,2,2)), "00")</f>
        <v>215</v>
      </c>
      <c r="G9" s="82">
        <f ca="1">ROUND((F9-E9)/B9,0)</f>
        <v>-5</v>
      </c>
      <c r="H9" s="83" t="str">
        <f>TEXT(HEX2DEC(MID(C9,4,2)), "00")</f>
        <v>186</v>
      </c>
      <c r="I9" s="83" t="str">
        <f>TEXT(HEX2DEC(MID(D9,4,2)), "00")</f>
        <v>79</v>
      </c>
      <c r="J9" s="84">
        <f ca="1">ROUND((I9-H9)/B9,0)</f>
        <v>-15</v>
      </c>
      <c r="K9" s="85" t="str">
        <f>TEXT(HEX2DEC(MID(C9,6,2)), "00")</f>
        <v>207</v>
      </c>
      <c r="L9" s="85" t="str">
        <f>TEXT(HEX2DEC(MID(D9,6,2)), "00")</f>
        <v>158</v>
      </c>
      <c r="M9" s="85">
        <f ca="1">ROUND((L9-K9)/B9,0)</f>
        <v>-7</v>
      </c>
      <c r="N9" s="199"/>
      <c r="O9" s="200"/>
      <c r="P9" s="164" t="str">
        <f ca="1">IF( P$8&gt; $B9, "", "#" &amp; IF(ISODD(LEN(DEC2HEX($E9+$G9*(P$8-1)))),"0","")&amp;DEC2HEX($E9+$G9*(P$8-1))&amp;IF(ISODD(LEN(DEC2HEX($H9+$J9*(P$8-1)))),"0","")&amp;DEC2HEX($H9+$J9*(P$8-1))&amp;IF(ISODD(LEN(DEC2HEX($K9+$M9*(P$8-1)))),"0","")&amp;DEC2HEX($K9+$M9*(P$8-1)))</f>
        <v>#FBBACF</v>
      </c>
      <c r="Q9" s="165" t="str">
        <f t="shared" ref="Q9:Z12" ca="1" si="0">IF( Q$8&gt; $B9, "", "#" &amp; IF(ISODD(LEN(DEC2HEX($E9+$G9*(Q$8-1)))),"0","")&amp;DEC2HEX($E9+$G9*(Q$8-1))&amp;IF(ISODD(LEN(DEC2HEX($H9+$J9*(Q$8-1)))),"0","")&amp;DEC2HEX($H9+$J9*(Q$8-1))&amp;IF(ISODD(LEN(DEC2HEX($K9+$M9*(Q$8-1)))),"0","")&amp;DEC2HEX($K9+$M9*(Q$8-1)))</f>
        <v>#F6ABC8</v>
      </c>
      <c r="R9" s="166" t="str">
        <f t="shared" ca="1" si="0"/>
        <v>#F19CC1</v>
      </c>
      <c r="S9" s="167" t="str">
        <f t="shared" ca="1" si="0"/>
        <v>#EC8DBA</v>
      </c>
      <c r="T9" s="168" t="str">
        <f t="shared" ca="1" si="0"/>
        <v>#E77EB3</v>
      </c>
      <c r="U9" s="169" t="str">
        <f t="shared" ca="1" si="0"/>
        <v>#E26FAC</v>
      </c>
      <c r="V9" s="170" t="str">
        <f t="shared" ca="1" si="0"/>
        <v>#DD60A5</v>
      </c>
      <c r="W9" s="101" t="str">
        <f t="shared" ca="1" si="0"/>
        <v/>
      </c>
      <c r="X9" s="101" t="str">
        <f t="shared" ca="1" si="0"/>
        <v/>
      </c>
      <c r="Y9" s="101" t="str">
        <f t="shared" ca="1" si="0"/>
        <v/>
      </c>
      <c r="Z9" s="171" t="str">
        <f t="shared" ca="1" si="0"/>
        <v/>
      </c>
      <c r="AA9" s="203"/>
    </row>
    <row r="10" spans="1:31" ht="65" customHeight="1" x14ac:dyDescent="0.2">
      <c r="A10" s="108" t="s">
        <v>243</v>
      </c>
      <c r="B10" s="99">
        <f ca="1">MAX(INDIRECT("'" &amp; 'Color Values'!A10 &amp; " Season Info'!C:C"))</f>
        <v>9</v>
      </c>
      <c r="C10" s="158" t="s">
        <v>948</v>
      </c>
      <c r="D10" s="159" t="s">
        <v>952</v>
      </c>
      <c r="E10" s="86" t="str">
        <f t="shared" ref="E10:E12" si="1">TEXT(HEX2DEC(MID(C10,2,2)), "00")</f>
        <v>247</v>
      </c>
      <c r="F10" s="81" t="str">
        <f t="shared" ref="F10:F11" si="2">TEXT(HEX2DEC(MID(D10,2,2)), "00")</f>
        <v>181</v>
      </c>
      <c r="G10" s="82">
        <f t="shared" ref="G10:G11" ca="1" si="3">ROUND((F10-E10)/B10,0)</f>
        <v>-7</v>
      </c>
      <c r="H10" s="83" t="str">
        <f t="shared" ref="H10:H12" si="4">TEXT(HEX2DEC(MID(C10,4,2)), "00")</f>
        <v>235</v>
      </c>
      <c r="I10" s="83" t="str">
        <f t="shared" ref="I10:I11" si="5">TEXT(HEX2DEC(MID(D10,4,2)), "00")</f>
        <v>117</v>
      </c>
      <c r="J10" s="84">
        <f t="shared" ref="J10:J11" ca="1" si="6">ROUND((I10-H10)/B10,0)</f>
        <v>-13</v>
      </c>
      <c r="K10" s="85" t="str">
        <f t="shared" ref="K10:K12" si="7">TEXT(HEX2DEC(MID(C10,6,2)), "00")</f>
        <v>221</v>
      </c>
      <c r="L10" s="85" t="str">
        <f t="shared" ref="L10:L11" si="8">TEXT(HEX2DEC(MID(D10,6,2)), "00")</f>
        <v>47</v>
      </c>
      <c r="M10" s="85">
        <f t="shared" ref="M10:M11" ca="1" si="9">ROUND((L10-K10)/B10,0)</f>
        <v>-19</v>
      </c>
      <c r="N10" s="201"/>
      <c r="O10" s="202" t="s">
        <v>991</v>
      </c>
      <c r="P10" s="172" t="str">
        <f t="shared" ref="P10:P12" ca="1" si="10">IF( P$8&gt; $B10, "", "#" &amp; IF(ISODD(LEN(DEC2HEX($E10+$G10*(P$8-1)))),"0","")&amp;DEC2HEX($E10+$G10*(P$8-1))&amp;IF(ISODD(LEN(DEC2HEX($H10+$J10*(P$8-1)))),"0","")&amp;DEC2HEX($H10+$J10*(P$8-1))&amp;IF(ISODD(LEN(DEC2HEX($K10+$M10*(P$8-1)))),"0","")&amp;DEC2HEX($K10+$M10*(P$8-1)))</f>
        <v>#F7EBDD</v>
      </c>
      <c r="Q10" s="173" t="str">
        <f t="shared" ca="1" si="0"/>
        <v>#F0DECA</v>
      </c>
      <c r="R10" s="174" t="str">
        <f t="shared" ca="1" si="0"/>
        <v>#E9D1B7</v>
      </c>
      <c r="S10" s="175" t="str">
        <f t="shared" ca="1" si="0"/>
        <v>#E2C4A4</v>
      </c>
      <c r="T10" s="176" t="str">
        <f t="shared" ca="1" si="0"/>
        <v>#DBB791</v>
      </c>
      <c r="U10" s="177" t="str">
        <f t="shared" ca="1" si="0"/>
        <v>#D4AA7E</v>
      </c>
      <c r="V10" s="178" t="str">
        <f t="shared" ca="1" si="0"/>
        <v>#CD9D6B</v>
      </c>
      <c r="W10" s="179" t="str">
        <f t="shared" ca="1" si="0"/>
        <v>#C69058</v>
      </c>
      <c r="X10" s="180" t="str">
        <f t="shared" ca="1" si="0"/>
        <v>#BF8345</v>
      </c>
      <c r="Y10" s="101" t="str">
        <f t="shared" ca="1" si="0"/>
        <v/>
      </c>
      <c r="Z10" s="171" t="str">
        <f t="shared" ca="1" si="0"/>
        <v/>
      </c>
      <c r="AA10" s="203"/>
    </row>
    <row r="11" spans="1:31" ht="68" customHeight="1" x14ac:dyDescent="0.2">
      <c r="A11" s="108" t="s">
        <v>859</v>
      </c>
      <c r="B11" s="99">
        <f ca="1">MAX(INDIRECT("'" &amp; 'Color Values'!A11 &amp; " Season Info'!C:C"))</f>
        <v>7</v>
      </c>
      <c r="C11" s="160" t="s">
        <v>949</v>
      </c>
      <c r="D11" s="161" t="s">
        <v>953</v>
      </c>
      <c r="E11" s="86" t="str">
        <f t="shared" si="1"/>
        <v>218</v>
      </c>
      <c r="F11" s="81" t="str">
        <f t="shared" si="2"/>
        <v>53</v>
      </c>
      <c r="G11" s="82">
        <f t="shared" ca="1" si="3"/>
        <v>-24</v>
      </c>
      <c r="H11" s="83" t="str">
        <f t="shared" si="4"/>
        <v>239</v>
      </c>
      <c r="I11" s="83" t="str">
        <f t="shared" si="5"/>
        <v>130</v>
      </c>
      <c r="J11" s="84">
        <f t="shared" ca="1" si="6"/>
        <v>-16</v>
      </c>
      <c r="K11" s="85" t="str">
        <f t="shared" si="7"/>
        <v>226</v>
      </c>
      <c r="L11" s="85" t="str">
        <f t="shared" si="8"/>
        <v>84</v>
      </c>
      <c r="M11" s="85">
        <f t="shared" ca="1" si="9"/>
        <v>-20</v>
      </c>
      <c r="N11" s="199"/>
      <c r="O11" s="202"/>
      <c r="P11" s="181" t="str">
        <f t="shared" ca="1" si="10"/>
        <v>#DAEFE2</v>
      </c>
      <c r="Q11" s="182" t="str">
        <f t="shared" ca="1" si="0"/>
        <v>#C2DFCE</v>
      </c>
      <c r="R11" s="183" t="str">
        <f t="shared" ca="1" si="0"/>
        <v>#AACFBA</v>
      </c>
      <c r="S11" s="184" t="str">
        <f t="shared" ca="1" si="0"/>
        <v>#92BFA6</v>
      </c>
      <c r="T11" s="185" t="str">
        <f t="shared" ca="1" si="0"/>
        <v>#7AAF92</v>
      </c>
      <c r="U11" s="186" t="str">
        <f t="shared" ca="1" si="0"/>
        <v>#629F7E</v>
      </c>
      <c r="V11" s="187" t="str">
        <f t="shared" ca="1" si="0"/>
        <v>#4A8F6A</v>
      </c>
      <c r="W11" s="101" t="str">
        <f t="shared" ca="1" si="0"/>
        <v/>
      </c>
      <c r="X11" s="101" t="str">
        <f t="shared" ca="1" si="0"/>
        <v/>
      </c>
      <c r="Y11" s="101" t="str">
        <f t="shared" ca="1" si="0"/>
        <v/>
      </c>
      <c r="Z11" s="171" t="str">
        <f t="shared" ca="1" si="0"/>
        <v/>
      </c>
      <c r="AA11" s="203"/>
    </row>
    <row r="12" spans="1:31" ht="71" customHeight="1" thickBot="1" x14ac:dyDescent="0.25">
      <c r="A12" s="109" t="s">
        <v>687</v>
      </c>
      <c r="B12" s="96">
        <f ca="1">MAX(INDIRECT("'" &amp; 'Color Values'!A12 &amp; " Season Info'!C:C"))</f>
        <v>6</v>
      </c>
      <c r="C12" s="162" t="s">
        <v>950</v>
      </c>
      <c r="D12" s="163" t="s">
        <v>954</v>
      </c>
      <c r="E12" s="86" t="str">
        <f t="shared" si="1"/>
        <v>214</v>
      </c>
      <c r="F12" s="81" t="str">
        <f t="shared" ref="F12" si="11">TEXT(HEX2DEC(MID(D12,2,2)), "00")</f>
        <v>17</v>
      </c>
      <c r="G12" s="82">
        <f t="shared" ref="G12" ca="1" si="12">ROUND((F12-E12)/B12,0)</f>
        <v>-33</v>
      </c>
      <c r="H12" s="83" t="str">
        <f t="shared" si="4"/>
        <v>228</v>
      </c>
      <c r="I12" s="83" t="str">
        <f t="shared" ref="I12" si="13">TEXT(HEX2DEC(MID(D12,4,2)), "00")</f>
        <v>89</v>
      </c>
      <c r="J12" s="84">
        <f t="shared" ref="J12" ca="1" si="14">ROUND((I12-H12)/B12,0)</f>
        <v>-23</v>
      </c>
      <c r="K12" s="85" t="str">
        <f t="shared" si="7"/>
        <v>252</v>
      </c>
      <c r="L12" s="85" t="str">
        <f t="shared" ref="L12" si="15">TEXT(HEX2DEC(MID(D12,6,2)), "00")</f>
        <v>198</v>
      </c>
      <c r="M12" s="85">
        <f t="shared" ref="M12" ca="1" si="16">ROUND((L12-K12)/B12,0)</f>
        <v>-9</v>
      </c>
      <c r="N12" s="203"/>
      <c r="O12" s="203"/>
      <c r="P12" s="188" t="str">
        <f t="shared" ca="1" si="10"/>
        <v>#D6E4FC</v>
      </c>
      <c r="Q12" s="189" t="str">
        <f t="shared" ca="1" si="0"/>
        <v>#B5CDF3</v>
      </c>
      <c r="R12" s="190" t="str">
        <f t="shared" ca="1" si="0"/>
        <v>#94B6EA</v>
      </c>
      <c r="S12" s="191" t="str">
        <f t="shared" ca="1" si="0"/>
        <v>#739FE1</v>
      </c>
      <c r="T12" s="192" t="str">
        <f t="shared" ca="1" si="0"/>
        <v>#5288D8</v>
      </c>
      <c r="U12" s="193" t="str">
        <f t="shared" ca="1" si="0"/>
        <v>#3171CF</v>
      </c>
      <c r="V12" s="194" t="str">
        <f t="shared" ca="1" si="0"/>
        <v/>
      </c>
      <c r="W12" s="194" t="str">
        <f t="shared" ca="1" si="0"/>
        <v/>
      </c>
      <c r="X12" s="194" t="str">
        <f t="shared" ca="1" si="0"/>
        <v/>
      </c>
      <c r="Y12" s="194" t="str">
        <f t="shared" ca="1" si="0"/>
        <v/>
      </c>
      <c r="Z12" s="195" t="str">
        <f t="shared" ca="1" si="0"/>
        <v/>
      </c>
      <c r="AA12" s="203"/>
    </row>
    <row r="13" spans="1:31" ht="67" customHeight="1" x14ac:dyDescent="0.2">
      <c r="A13" s="102"/>
      <c r="B13" s="103"/>
      <c r="C13" s="104"/>
      <c r="D13" s="104"/>
      <c r="E13" s="104"/>
      <c r="F13" s="104"/>
      <c r="G13" s="104"/>
      <c r="H13" s="104"/>
      <c r="I13" s="104"/>
      <c r="J13" s="104"/>
      <c r="K13" s="104"/>
      <c r="L13" s="104"/>
      <c r="M13" s="104"/>
      <c r="N13" s="150"/>
      <c r="P13" s="105"/>
      <c r="Q13" s="105"/>
      <c r="R13" s="105"/>
      <c r="S13" s="105"/>
      <c r="T13" s="105"/>
      <c r="U13" s="105"/>
      <c r="V13" s="105"/>
      <c r="W13" s="105"/>
      <c r="X13" s="105"/>
      <c r="Y13" s="105"/>
      <c r="Z13" s="105"/>
    </row>
    <row r="14" spans="1:31" ht="19" x14ac:dyDescent="0.2">
      <c r="D14" s="141" t="s">
        <v>994</v>
      </c>
      <c r="N14" s="151" t="s">
        <v>1013</v>
      </c>
    </row>
    <row r="15" spans="1:31" ht="32" customHeight="1" thickBot="1" x14ac:dyDescent="0.25">
      <c r="A15" s="126" t="s">
        <v>978</v>
      </c>
      <c r="B15" s="127"/>
      <c r="C15" s="127"/>
      <c r="D15" s="129"/>
      <c r="E15" s="127"/>
      <c r="F15" s="127"/>
      <c r="G15" s="127"/>
      <c r="H15" s="127"/>
      <c r="I15" s="127"/>
      <c r="J15" s="127"/>
      <c r="K15" s="127"/>
      <c r="L15" s="127"/>
      <c r="M15" s="127"/>
      <c r="N15" s="127"/>
      <c r="O15" s="127"/>
      <c r="P15" s="127"/>
      <c r="Q15" s="127"/>
      <c r="R15" s="127"/>
      <c r="S15" s="127"/>
      <c r="T15" s="127"/>
      <c r="U15" s="127"/>
      <c r="V15" s="127"/>
      <c r="W15" s="127"/>
      <c r="X15" s="127"/>
      <c r="Y15" s="127"/>
      <c r="Z15" s="127"/>
    </row>
    <row r="16" spans="1:31" x14ac:dyDescent="0.2">
      <c r="A16" s="130" t="s">
        <v>979</v>
      </c>
      <c r="B16" s="135" t="s">
        <v>980</v>
      </c>
      <c r="C16" s="136" t="s">
        <v>982</v>
      </c>
      <c r="D16" s="137"/>
      <c r="E16" s="136" t="s">
        <v>988</v>
      </c>
      <c r="F16" s="138"/>
      <c r="G16" s="138"/>
      <c r="H16" s="138"/>
      <c r="I16" s="138"/>
      <c r="J16" s="138"/>
      <c r="K16" s="137"/>
      <c r="L16" s="128"/>
      <c r="M16" s="128"/>
      <c r="N16" s="128"/>
      <c r="O16" s="128"/>
      <c r="P16" s="135"/>
      <c r="Q16" s="136" t="s">
        <v>993</v>
      </c>
      <c r="R16" s="138"/>
      <c r="S16" s="138"/>
      <c r="T16" s="137"/>
      <c r="U16" s="136"/>
      <c r="V16" s="137"/>
      <c r="W16" s="136"/>
      <c r="X16" s="138"/>
      <c r="Y16" s="138"/>
      <c r="Z16" s="137"/>
    </row>
    <row r="17" spans="1:26" ht="234" customHeight="1" thickBot="1" x14ac:dyDescent="0.25">
      <c r="A17" s="131"/>
      <c r="B17" s="132" t="s">
        <v>944</v>
      </c>
      <c r="C17" s="133" t="s">
        <v>981</v>
      </c>
      <c r="D17" s="134"/>
      <c r="E17" s="132" t="s">
        <v>983</v>
      </c>
      <c r="F17" s="132" t="s">
        <v>984</v>
      </c>
      <c r="G17" s="132" t="s">
        <v>985</v>
      </c>
      <c r="H17" s="132" t="s">
        <v>986</v>
      </c>
      <c r="I17" s="131"/>
      <c r="J17" s="131"/>
      <c r="K17" s="132" t="s">
        <v>987</v>
      </c>
      <c r="L17" s="131"/>
      <c r="M17" s="131"/>
      <c r="N17" s="131"/>
      <c r="O17" s="131"/>
      <c r="P17" s="139" t="s">
        <v>989</v>
      </c>
      <c r="Q17" s="133" t="s">
        <v>1016</v>
      </c>
      <c r="R17" s="140"/>
      <c r="S17" s="140"/>
      <c r="T17" s="134"/>
      <c r="U17" s="133" t="s">
        <v>990</v>
      </c>
      <c r="V17" s="134"/>
      <c r="W17" s="133" t="s">
        <v>992</v>
      </c>
      <c r="X17" s="140"/>
      <c r="Y17" s="140"/>
      <c r="Z17" s="134"/>
    </row>
    <row r="18" spans="1:26" x14ac:dyDescent="0.2">
      <c r="A18"/>
      <c r="B18"/>
      <c r="C18"/>
      <c r="D18"/>
      <c r="E18"/>
      <c r="F18"/>
      <c r="G18"/>
      <c r="H18"/>
      <c r="I18"/>
      <c r="J18"/>
      <c r="K18"/>
      <c r="L18"/>
      <c r="M18"/>
      <c r="N18"/>
      <c r="O18"/>
      <c r="P18"/>
      <c r="Q18"/>
      <c r="R18"/>
      <c r="S18"/>
      <c r="T18"/>
      <c r="U18"/>
      <c r="V18"/>
      <c r="W18"/>
      <c r="X18"/>
      <c r="Y18"/>
      <c r="Z18"/>
    </row>
    <row r="19" spans="1:26" x14ac:dyDescent="0.2">
      <c r="A19"/>
      <c r="B19"/>
      <c r="C19"/>
      <c r="D19"/>
      <c r="E19"/>
      <c r="F19"/>
      <c r="G19"/>
      <c r="H19"/>
      <c r="I19"/>
      <c r="J19"/>
      <c r="K19"/>
      <c r="L19"/>
      <c r="M19"/>
      <c r="N19"/>
      <c r="O19"/>
      <c r="P19"/>
      <c r="Q19"/>
      <c r="R19"/>
      <c r="S19"/>
      <c r="T19"/>
      <c r="U19"/>
      <c r="V19"/>
      <c r="W19"/>
      <c r="X19"/>
      <c r="Y19"/>
      <c r="Z19"/>
    </row>
    <row r="20" spans="1:26" x14ac:dyDescent="0.2">
      <c r="A20"/>
      <c r="B20"/>
      <c r="C20"/>
      <c r="D20"/>
      <c r="E20"/>
      <c r="F20"/>
      <c r="G20"/>
      <c r="H20"/>
      <c r="I20"/>
      <c r="J20"/>
      <c r="K20"/>
      <c r="L20"/>
      <c r="M20"/>
      <c r="N20"/>
      <c r="O20"/>
      <c r="P20"/>
      <c r="Q20"/>
      <c r="R20"/>
      <c r="S20"/>
      <c r="T20"/>
      <c r="U20"/>
      <c r="V20"/>
      <c r="W20"/>
      <c r="X20"/>
      <c r="Y20"/>
      <c r="Z20"/>
    </row>
    <row r="21" spans="1:26" x14ac:dyDescent="0.2">
      <c r="A21"/>
      <c r="B21"/>
      <c r="C21"/>
      <c r="D21" s="75"/>
      <c r="E21"/>
      <c r="F21"/>
      <c r="G21"/>
      <c r="H21"/>
      <c r="I21"/>
      <c r="J21"/>
      <c r="K21"/>
      <c r="L21"/>
      <c r="M21"/>
      <c r="N21"/>
      <c r="O21"/>
      <c r="P21"/>
      <c r="Q21"/>
      <c r="R21"/>
      <c r="S21"/>
      <c r="T21"/>
      <c r="U21"/>
      <c r="V21"/>
      <c r="W21"/>
      <c r="X21"/>
      <c r="Y21"/>
      <c r="Z21"/>
    </row>
    <row r="22" spans="1:26" x14ac:dyDescent="0.2">
      <c r="A22"/>
      <c r="B22" t="s">
        <v>955</v>
      </c>
      <c r="C22"/>
      <c r="D22" s="75"/>
      <c r="E22"/>
      <c r="F22"/>
      <c r="G22"/>
      <c r="H22"/>
      <c r="I22"/>
      <c r="J22"/>
      <c r="K22"/>
      <c r="L22"/>
      <c r="M22"/>
      <c r="N22"/>
      <c r="O22"/>
      <c r="P22"/>
      <c r="Q22"/>
      <c r="R22"/>
      <c r="S22"/>
      <c r="T22"/>
      <c r="U22"/>
      <c r="V22"/>
      <c r="W22"/>
      <c r="X22"/>
      <c r="Y22"/>
      <c r="Z22"/>
    </row>
    <row r="23" spans="1:26" x14ac:dyDescent="0.2">
      <c r="A23"/>
      <c r="B23"/>
      <c r="C23"/>
      <c r="D23"/>
      <c r="E23"/>
      <c r="F23"/>
      <c r="G23"/>
      <c r="H23"/>
      <c r="I23"/>
      <c r="J23"/>
      <c r="K23"/>
      <c r="L23"/>
      <c r="M23"/>
      <c r="N23"/>
      <c r="O23"/>
      <c r="P23"/>
      <c r="Q23"/>
      <c r="R23"/>
      <c r="S23"/>
      <c r="T23"/>
      <c r="U23"/>
      <c r="V23"/>
      <c r="W23"/>
      <c r="X23"/>
      <c r="Y23"/>
      <c r="Z23"/>
    </row>
    <row r="24" spans="1:26" x14ac:dyDescent="0.2">
      <c r="A24" t="s">
        <v>945</v>
      </c>
      <c r="B24" t="s">
        <v>946</v>
      </c>
      <c r="C24"/>
      <c r="D24"/>
      <c r="E24"/>
      <c r="F24"/>
      <c r="G24"/>
      <c r="H24"/>
      <c r="I24"/>
      <c r="J24"/>
      <c r="K24"/>
      <c r="L24"/>
      <c r="M24"/>
      <c r="N24"/>
      <c r="O24"/>
      <c r="P24"/>
      <c r="Q24"/>
      <c r="R24"/>
      <c r="S24"/>
      <c r="T24"/>
      <c r="U24"/>
      <c r="V24"/>
      <c r="W24"/>
      <c r="X24"/>
      <c r="Y24"/>
      <c r="Z24"/>
    </row>
    <row r="25" spans="1:26" x14ac:dyDescent="0.2">
      <c r="A25"/>
      <c r="B25" t="s">
        <v>957</v>
      </c>
      <c r="C25"/>
      <c r="D25"/>
      <c r="E25"/>
      <c r="F25"/>
      <c r="G25"/>
      <c r="H25"/>
      <c r="I25"/>
      <c r="J25"/>
      <c r="K25"/>
      <c r="L25"/>
      <c r="M25"/>
      <c r="N25"/>
      <c r="O25"/>
      <c r="P25"/>
      <c r="Q25"/>
      <c r="R25"/>
      <c r="S25"/>
      <c r="T25"/>
      <c r="U25"/>
      <c r="V25"/>
      <c r="W25"/>
      <c r="X25"/>
      <c r="Y25"/>
      <c r="Z25"/>
    </row>
    <row r="26" spans="1:26" x14ac:dyDescent="0.2">
      <c r="A26"/>
      <c r="B26" t="s">
        <v>958</v>
      </c>
      <c r="C26"/>
      <c r="D26"/>
      <c r="E26"/>
      <c r="F26"/>
      <c r="G26"/>
      <c r="H26"/>
      <c r="I26"/>
      <c r="J26"/>
      <c r="K26"/>
      <c r="L26"/>
      <c r="M26"/>
      <c r="N26"/>
      <c r="O26"/>
      <c r="P26"/>
      <c r="Q26"/>
      <c r="R26"/>
      <c r="S26"/>
      <c r="T26"/>
      <c r="U26"/>
      <c r="V26"/>
      <c r="W26"/>
      <c r="X26"/>
      <c r="Y26"/>
      <c r="Z26"/>
    </row>
    <row r="27" spans="1:26" x14ac:dyDescent="0.2">
      <c r="A27"/>
      <c r="B27"/>
      <c r="C27"/>
      <c r="D27"/>
      <c r="E27"/>
      <c r="F27"/>
      <c r="G27"/>
      <c r="H27"/>
      <c r="I27"/>
      <c r="J27"/>
      <c r="K27"/>
      <c r="L27"/>
      <c r="M27"/>
      <c r="N27"/>
      <c r="O27"/>
      <c r="P27"/>
      <c r="Q27"/>
      <c r="R27"/>
      <c r="S27"/>
      <c r="T27"/>
      <c r="U27"/>
      <c r="V27"/>
      <c r="W27"/>
      <c r="X27"/>
      <c r="Y27"/>
      <c r="Z27"/>
    </row>
    <row r="28" spans="1:26" x14ac:dyDescent="0.2">
      <c r="A28"/>
      <c r="B28"/>
      <c r="C28"/>
      <c r="D28"/>
      <c r="E28"/>
      <c r="F28"/>
      <c r="G28"/>
      <c r="H28"/>
      <c r="I28"/>
      <c r="J28"/>
      <c r="K28"/>
      <c r="L28"/>
      <c r="M28"/>
      <c r="N28"/>
      <c r="O28"/>
      <c r="P28"/>
      <c r="Q28"/>
      <c r="R28"/>
      <c r="S28"/>
      <c r="T28"/>
      <c r="U28"/>
      <c r="V28"/>
      <c r="W28"/>
      <c r="X28"/>
      <c r="Y28"/>
      <c r="Z28"/>
    </row>
    <row r="29" spans="1:26" ht="119" x14ac:dyDescent="0.2">
      <c r="A29" s="4" t="s">
        <v>956</v>
      </c>
      <c r="B29"/>
      <c r="C29"/>
      <c r="D29"/>
      <c r="E29"/>
      <c r="F29"/>
      <c r="G29"/>
      <c r="H29"/>
      <c r="I29"/>
      <c r="J29"/>
      <c r="K29"/>
      <c r="L29"/>
      <c r="M29"/>
      <c r="N29"/>
      <c r="O29"/>
      <c r="P29"/>
      <c r="Q29"/>
      <c r="R29"/>
      <c r="S29"/>
      <c r="T29"/>
      <c r="U29"/>
      <c r="V29"/>
      <c r="W29"/>
      <c r="X29"/>
      <c r="Y29"/>
      <c r="Z29"/>
    </row>
  </sheetData>
  <mergeCells count="10">
    <mergeCell ref="C17:D17"/>
    <mergeCell ref="Q17:T17"/>
    <mergeCell ref="U17:V17"/>
    <mergeCell ref="W17:Z17"/>
    <mergeCell ref="A2:D2"/>
    <mergeCell ref="O2:U2"/>
    <mergeCell ref="V2:Z2"/>
    <mergeCell ref="O10:O11"/>
    <mergeCell ref="Q5:S5"/>
    <mergeCell ref="V5:X5"/>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5E044E-B0AE-B845-9784-7AF570D4AC18}">
  <sheetPr codeName="Sheet9"/>
  <dimension ref="A4:AN286"/>
  <sheetViews>
    <sheetView zoomScale="59" zoomScaleNormal="83" workbookViewId="0">
      <selection activeCell="AK7" sqref="AK7"/>
    </sheetView>
  </sheetViews>
  <sheetFormatPr baseColWidth="10" defaultRowHeight="16" x14ac:dyDescent="0.2"/>
  <cols>
    <col min="1" max="1" width="28" style="88" bestFit="1" customWidth="1"/>
    <col min="2" max="2" width="18.83203125" style="88" bestFit="1" customWidth="1"/>
    <col min="3" max="3" width="11.5" style="88" bestFit="1" customWidth="1"/>
    <col min="4" max="4" width="13.33203125" style="88" bestFit="1" customWidth="1"/>
    <col min="5" max="5" width="10.33203125" style="88" bestFit="1" customWidth="1"/>
    <col min="6" max="6" width="11" style="88" bestFit="1" customWidth="1"/>
    <col min="7" max="7" width="10.83203125" style="88"/>
    <col min="8" max="8" width="28.33203125" style="88" bestFit="1" customWidth="1"/>
    <col min="9" max="9" width="22.5" style="88" bestFit="1" customWidth="1"/>
    <col min="10" max="10" width="11.6640625" style="88" bestFit="1" customWidth="1"/>
    <col min="11" max="11" width="14.1640625" style="88" bestFit="1" customWidth="1"/>
    <col min="12" max="12" width="11.1640625" style="88" bestFit="1" customWidth="1"/>
    <col min="13" max="13" width="12.1640625" style="88" bestFit="1" customWidth="1"/>
    <col min="14" max="14" width="7" style="88" customWidth="1"/>
    <col min="15" max="15" width="26" style="88" bestFit="1" customWidth="1"/>
    <col min="16" max="16" width="17.83203125" style="88" bestFit="1" customWidth="1"/>
    <col min="17" max="18" width="8.1640625" style="88" bestFit="1" customWidth="1"/>
    <col min="19" max="19" width="10.83203125" style="88" bestFit="1" customWidth="1"/>
    <col min="20" max="22" width="13" style="88" bestFit="1" customWidth="1"/>
    <col min="23" max="23" width="8" style="88" customWidth="1"/>
    <col min="24" max="24" width="11" style="88" bestFit="1" customWidth="1"/>
    <col min="25" max="25" width="28" style="88" bestFit="1" customWidth="1"/>
    <col min="26" max="26" width="18.83203125" style="88" bestFit="1" customWidth="1"/>
    <col min="27" max="28" width="9" style="88" bestFit="1" customWidth="1"/>
    <col min="29" max="30" width="11" style="88" bestFit="1" customWidth="1"/>
    <col min="31" max="33" width="17.33203125" style="88" bestFit="1" customWidth="1"/>
    <col min="34" max="34" width="12.5" style="88" customWidth="1"/>
    <col min="35" max="251" width="17.33203125" style="88" bestFit="1" customWidth="1"/>
    <col min="252" max="253" width="11.33203125" style="88" bestFit="1" customWidth="1"/>
    <col min="254" max="255" width="10.83203125" style="88" bestFit="1" customWidth="1"/>
    <col min="256" max="256" width="13" style="88" bestFit="1" customWidth="1"/>
    <col min="257" max="259" width="10.83203125" style="88" bestFit="1" customWidth="1"/>
    <col min="260" max="260" width="13" style="88" bestFit="1" customWidth="1"/>
    <col min="261" max="264" width="10.83203125" style="88" bestFit="1" customWidth="1"/>
    <col min="265" max="265" width="13" style="88" bestFit="1" customWidth="1"/>
    <col min="266" max="266" width="11" style="88" bestFit="1" customWidth="1"/>
    <col min="267" max="269" width="10.83203125" style="88" bestFit="1" customWidth="1"/>
    <col min="270" max="270" width="14" style="88" bestFit="1" customWidth="1"/>
    <col min="271" max="271" width="11" style="88" bestFit="1" customWidth="1"/>
    <col min="272" max="274" width="10.83203125" style="88" bestFit="1" customWidth="1"/>
    <col min="275" max="275" width="14" style="88" bestFit="1" customWidth="1"/>
    <col min="276" max="276" width="11" style="88" bestFit="1" customWidth="1"/>
    <col min="277" max="279" width="10.83203125" style="88" bestFit="1" customWidth="1"/>
    <col min="280" max="280" width="14" style="88" bestFit="1" customWidth="1"/>
    <col min="281" max="284" width="10.83203125" style="88" bestFit="1" customWidth="1"/>
    <col min="285" max="285" width="13" style="88" bestFit="1" customWidth="1"/>
    <col min="286" max="286" width="11" style="88" bestFit="1" customWidth="1"/>
    <col min="287" max="289" width="10.83203125" style="88" bestFit="1" customWidth="1"/>
    <col min="290" max="290" width="14" style="88" bestFit="1" customWidth="1"/>
    <col min="291" max="291" width="11" style="88" bestFit="1" customWidth="1"/>
    <col min="292" max="294" width="10.83203125" style="88" bestFit="1" customWidth="1"/>
    <col min="295" max="295" width="14" style="88" bestFit="1" customWidth="1"/>
    <col min="296" max="299" width="10.83203125" style="88" bestFit="1" customWidth="1"/>
    <col min="300" max="300" width="13" style="88" bestFit="1" customWidth="1"/>
    <col min="301" max="301" width="11" style="88" bestFit="1" customWidth="1"/>
    <col min="302" max="304" width="10.83203125" style="88" bestFit="1" customWidth="1"/>
    <col min="305" max="305" width="14" style="88" bestFit="1" customWidth="1"/>
    <col min="306" max="309" width="10.83203125" style="88" bestFit="1" customWidth="1"/>
    <col min="310" max="310" width="13" style="88" bestFit="1" customWidth="1"/>
    <col min="311" max="314" width="10.83203125" style="88" bestFit="1" customWidth="1"/>
    <col min="315" max="315" width="13" style="88" bestFit="1" customWidth="1"/>
    <col min="316" max="319" width="10.83203125" style="88" bestFit="1" customWidth="1"/>
    <col min="320" max="320" width="11.83203125" style="88" bestFit="1" customWidth="1"/>
    <col min="321" max="324" width="10.83203125" style="88" bestFit="1" customWidth="1"/>
    <col min="325" max="325" width="13" style="88" bestFit="1" customWidth="1"/>
    <col min="326" max="329" width="10.83203125" style="88" bestFit="1" customWidth="1"/>
    <col min="330" max="330" width="11.83203125" style="88" bestFit="1" customWidth="1"/>
    <col min="331" max="334" width="10.83203125" style="88" bestFit="1" customWidth="1"/>
    <col min="335" max="335" width="13" style="88" bestFit="1" customWidth="1"/>
    <col min="336" max="339" width="10.83203125" style="88" bestFit="1" customWidth="1"/>
    <col min="340" max="340" width="13" style="88" bestFit="1" customWidth="1"/>
    <col min="341" max="344" width="10.83203125" style="88" bestFit="1" customWidth="1"/>
    <col min="345" max="345" width="13" style="88" bestFit="1" customWidth="1"/>
    <col min="346" max="348" width="10.83203125" style="88" bestFit="1" customWidth="1"/>
    <col min="349" max="349" width="13" style="88" bestFit="1" customWidth="1"/>
    <col min="350" max="353" width="10.83203125" style="88" bestFit="1" customWidth="1"/>
    <col min="354" max="354" width="13" style="88" bestFit="1" customWidth="1"/>
    <col min="355" max="358" width="10.83203125" style="88" bestFit="1" customWidth="1"/>
    <col min="359" max="359" width="11.83203125" style="88" bestFit="1" customWidth="1"/>
    <col min="360" max="363" width="10.83203125" style="88" bestFit="1" customWidth="1"/>
    <col min="364" max="364" width="13" style="88" bestFit="1" customWidth="1"/>
    <col min="365" max="368" width="10.83203125" style="88" bestFit="1" customWidth="1"/>
    <col min="369" max="369" width="13" style="88" bestFit="1" customWidth="1"/>
    <col min="370" max="372" width="10.83203125" style="88" bestFit="1" customWidth="1"/>
    <col min="373" max="373" width="13" style="88" bestFit="1" customWidth="1"/>
    <col min="374" max="376" width="10.83203125" style="88" bestFit="1" customWidth="1"/>
    <col min="377" max="377" width="13" style="88" bestFit="1" customWidth="1"/>
    <col min="378" max="380" width="10.83203125" style="88" bestFit="1" customWidth="1"/>
    <col min="381" max="381" width="13" style="88" bestFit="1" customWidth="1"/>
    <col min="382" max="382" width="11" style="88" bestFit="1" customWidth="1"/>
    <col min="383" max="384" width="10.83203125" style="88" bestFit="1" customWidth="1"/>
    <col min="385" max="385" width="14" style="88" bestFit="1" customWidth="1"/>
    <col min="386" max="386" width="11" style="88" bestFit="1" customWidth="1"/>
    <col min="387" max="388" width="10.83203125" style="88" bestFit="1" customWidth="1"/>
    <col min="389" max="389" width="14" style="88" bestFit="1" customWidth="1"/>
    <col min="390" max="390" width="11" style="88" bestFit="1" customWidth="1"/>
    <col min="391" max="391" width="10.83203125" style="88" bestFit="1" customWidth="1"/>
    <col min="392" max="392" width="14" style="88" bestFit="1" customWidth="1"/>
    <col min="393" max="395" width="10.83203125" style="88" bestFit="1" customWidth="1"/>
    <col min="396" max="396" width="13" style="88" bestFit="1" customWidth="1"/>
    <col min="397" max="397" width="11" style="88" bestFit="1" customWidth="1"/>
    <col min="398" max="399" width="10.83203125" style="88" bestFit="1" customWidth="1"/>
    <col min="400" max="400" width="14" style="88" bestFit="1" customWidth="1"/>
    <col min="401" max="401" width="11" style="88" bestFit="1" customWidth="1"/>
    <col min="402" max="403" width="10.83203125" style="88" bestFit="1" customWidth="1"/>
    <col min="404" max="404" width="14" style="88" bestFit="1" customWidth="1"/>
    <col min="405" max="407" width="10.83203125" style="88" bestFit="1" customWidth="1"/>
    <col min="408" max="408" width="13" style="88" bestFit="1" customWidth="1"/>
    <col min="409" max="412" width="10.83203125" style="88" bestFit="1" customWidth="1"/>
    <col min="413" max="413" width="13" style="88" bestFit="1" customWidth="1"/>
    <col min="414" max="416" width="10.83203125" style="88" bestFit="1" customWidth="1"/>
    <col min="417" max="417" width="11.83203125" style="88" bestFit="1" customWidth="1"/>
    <col min="418" max="418" width="13" style="88" bestFit="1" customWidth="1"/>
    <col min="419" max="421" width="10.83203125" style="88" bestFit="1" customWidth="1"/>
    <col min="422" max="422" width="11.83203125" style="88" bestFit="1" customWidth="1"/>
    <col min="423" max="423" width="13" style="88" bestFit="1" customWidth="1"/>
    <col min="424" max="426" width="10.83203125" style="88" bestFit="1" customWidth="1"/>
    <col min="427" max="428" width="11.83203125" style="88" bestFit="1" customWidth="1"/>
    <col min="429" max="431" width="10.83203125" style="88" bestFit="1" customWidth="1"/>
    <col min="432" max="432" width="11.83203125" style="88" bestFit="1" customWidth="1"/>
    <col min="433" max="433" width="13" style="88" bestFit="1" customWidth="1"/>
    <col min="434" max="436" width="10.83203125" style="88" bestFit="1" customWidth="1"/>
    <col min="437" max="437" width="11.83203125" style="88" bestFit="1" customWidth="1"/>
    <col min="438" max="438" width="13" style="88" bestFit="1" customWidth="1"/>
    <col min="439" max="441" width="10.83203125" style="88" bestFit="1" customWidth="1"/>
    <col min="442" max="442" width="11.83203125" style="88" bestFit="1" customWidth="1"/>
    <col min="443" max="443" width="13" style="88" bestFit="1" customWidth="1"/>
    <col min="444" max="445" width="10.83203125" style="88" bestFit="1" customWidth="1"/>
    <col min="446" max="446" width="11.83203125" style="88" bestFit="1" customWidth="1"/>
    <col min="447" max="447" width="13" style="88" bestFit="1" customWidth="1"/>
    <col min="448" max="450" width="10.83203125" style="88" bestFit="1" customWidth="1"/>
    <col min="451" max="451" width="11.83203125" style="88" bestFit="1" customWidth="1"/>
    <col min="452" max="452" width="13" style="88" bestFit="1" customWidth="1"/>
    <col min="453" max="455" width="10.83203125" style="88" bestFit="1" customWidth="1"/>
    <col min="456" max="456" width="11.83203125" style="88" bestFit="1" customWidth="1"/>
    <col min="457" max="457" width="13" style="88" bestFit="1" customWidth="1"/>
    <col min="458" max="460" width="10.83203125" style="88" bestFit="1" customWidth="1"/>
    <col min="461" max="461" width="11.83203125" style="88" bestFit="1" customWidth="1"/>
    <col min="462" max="462" width="13" style="88" bestFit="1" customWidth="1"/>
    <col min="463" max="465" width="10.83203125" style="88" bestFit="1" customWidth="1"/>
    <col min="466" max="467" width="11.83203125" style="88" bestFit="1" customWidth="1"/>
    <col min="468" max="468" width="13" style="88" bestFit="1" customWidth="1"/>
    <col min="469" max="471" width="10.83203125" style="88" bestFit="1" customWidth="1"/>
    <col min="472" max="473" width="11.83203125" style="88" bestFit="1" customWidth="1"/>
    <col min="474" max="476" width="10.83203125" style="88" bestFit="1" customWidth="1"/>
    <col min="477" max="477" width="13" style="88" bestFit="1" customWidth="1"/>
    <col min="478" max="479" width="10.83203125" style="88" bestFit="1" customWidth="1"/>
    <col min="480" max="480" width="13" style="88" bestFit="1" customWidth="1"/>
    <col min="481" max="483" width="10.83203125" style="88" bestFit="1" customWidth="1"/>
    <col min="484" max="484" width="13" style="88" bestFit="1" customWidth="1"/>
    <col min="485" max="487" width="10.83203125" style="88" bestFit="1" customWidth="1"/>
    <col min="488" max="488" width="13" style="88" bestFit="1" customWidth="1"/>
    <col min="489" max="491" width="10.83203125" style="88" bestFit="1" customWidth="1"/>
    <col min="492" max="492" width="13" style="88" bestFit="1" customWidth="1"/>
    <col min="493" max="493" width="11" style="88" bestFit="1" customWidth="1"/>
    <col min="494" max="495" width="10.83203125" style="88" bestFit="1" customWidth="1"/>
    <col min="496" max="496" width="14" style="88" bestFit="1" customWidth="1"/>
    <col min="497" max="497" width="11" style="88" bestFit="1" customWidth="1"/>
    <col min="498" max="499" width="10.83203125" style="88" bestFit="1" customWidth="1"/>
    <col min="500" max="500" width="14" style="88" bestFit="1" customWidth="1"/>
    <col min="501" max="503" width="10.83203125" style="88" bestFit="1" customWidth="1"/>
    <col min="504" max="504" width="13" style="88" bestFit="1" customWidth="1"/>
    <col min="505" max="505" width="11" style="88" bestFit="1" customWidth="1"/>
    <col min="506" max="507" width="10.83203125" style="88" bestFit="1" customWidth="1"/>
    <col min="508" max="508" width="14" style="88" bestFit="1" customWidth="1"/>
    <col min="509" max="509" width="11" style="88" bestFit="1" customWidth="1"/>
    <col min="510" max="511" width="10.83203125" style="88" bestFit="1" customWidth="1"/>
    <col min="512" max="512" width="14" style="88" bestFit="1" customWidth="1"/>
    <col min="513" max="515" width="10.83203125" style="88" bestFit="1" customWidth="1"/>
    <col min="516" max="516" width="13" style="88" bestFit="1" customWidth="1"/>
    <col min="517" max="518" width="10.83203125" style="88"/>
    <col min="519" max="519" width="10.83203125" style="88" bestFit="1" customWidth="1"/>
    <col min="520" max="520" width="13" style="88" bestFit="1" customWidth="1"/>
    <col min="521" max="522" width="10.83203125" style="88"/>
    <col min="523" max="523" width="10.83203125" style="88" bestFit="1" customWidth="1"/>
    <col min="524" max="524" width="13" style="88" bestFit="1" customWidth="1"/>
    <col min="525" max="526" width="10.83203125" style="88"/>
    <col min="527" max="527" width="10.83203125" style="88" bestFit="1" customWidth="1"/>
    <col min="528" max="528" width="13" style="88" bestFit="1" customWidth="1"/>
    <col min="529" max="529" width="10.83203125" style="88"/>
    <col min="530" max="530" width="10.83203125" style="88" bestFit="1" customWidth="1"/>
    <col min="531" max="531" width="13" style="88" bestFit="1" customWidth="1"/>
    <col min="532" max="532" width="10.83203125" style="88"/>
    <col min="533" max="533" width="10.83203125" style="88" bestFit="1" customWidth="1"/>
    <col min="534" max="534" width="10.83203125" style="88"/>
    <col min="535" max="535" width="11.83203125" style="88" bestFit="1" customWidth="1"/>
    <col min="536" max="536" width="10.83203125" style="88" bestFit="1" customWidth="1"/>
    <col min="537" max="537" width="10.83203125" style="88"/>
    <col min="538" max="538" width="11.83203125" style="88" bestFit="1" customWidth="1"/>
    <col min="539" max="539" width="10.83203125" style="88"/>
    <col min="540" max="540" width="10.83203125" style="88" bestFit="1" customWidth="1"/>
    <col min="541" max="541" width="10.83203125" style="88"/>
    <col min="542" max="542" width="13" style="88" bestFit="1" customWidth="1"/>
    <col min="543" max="544" width="10.83203125" style="88"/>
    <col min="545" max="545" width="10.83203125" style="88" bestFit="1" customWidth="1"/>
    <col min="546" max="546" width="13" style="88" bestFit="1" customWidth="1"/>
    <col min="547" max="549" width="10.83203125" style="88"/>
    <col min="550" max="550" width="11.83203125" style="88" bestFit="1" customWidth="1"/>
    <col min="551" max="553" width="10.83203125" style="88"/>
    <col min="554" max="554" width="11.83203125" style="88" bestFit="1" customWidth="1"/>
    <col min="555" max="555" width="10.83203125" style="88" bestFit="1" customWidth="1"/>
    <col min="556" max="557" width="10.83203125" style="88"/>
    <col min="558" max="558" width="13" style="88" bestFit="1" customWidth="1"/>
    <col min="559" max="559" width="10.83203125" style="88"/>
    <col min="560" max="560" width="10.83203125" style="88" bestFit="1" customWidth="1"/>
    <col min="561" max="561" width="13" style="88" bestFit="1" customWidth="1"/>
    <col min="562" max="563" width="10.83203125" style="88"/>
    <col min="564" max="564" width="13" style="88" bestFit="1" customWidth="1"/>
    <col min="565" max="565" width="10.83203125" style="88" bestFit="1" customWidth="1"/>
    <col min="566" max="566" width="10.83203125" style="88"/>
    <col min="567" max="567" width="11.83203125" style="88" bestFit="1" customWidth="1"/>
    <col min="568" max="568" width="10.83203125" style="88" bestFit="1" customWidth="1"/>
    <col min="569" max="570" width="10.83203125" style="88"/>
    <col min="571" max="571" width="13" style="88" bestFit="1" customWidth="1"/>
    <col min="572" max="574" width="10.83203125" style="88"/>
    <col min="575" max="575" width="10.83203125" style="88" bestFit="1" customWidth="1"/>
    <col min="576" max="576" width="13" style="88" bestFit="1" customWidth="1"/>
    <col min="577" max="578" width="10.83203125" style="88" bestFit="1" customWidth="1"/>
    <col min="579" max="580" width="10.83203125" style="88"/>
    <col min="581" max="581" width="13" style="88" bestFit="1" customWidth="1"/>
    <col min="582" max="582" width="10.83203125" style="88" bestFit="1" customWidth="1"/>
    <col min="583" max="584" width="10.83203125" style="88"/>
    <col min="585" max="585" width="10.83203125" style="88" bestFit="1" customWidth="1"/>
    <col min="586" max="586" width="11.83203125" style="88" bestFit="1" customWidth="1"/>
    <col min="587" max="587" width="10.83203125" style="88" bestFit="1" customWidth="1"/>
    <col min="588" max="589" width="10.83203125" style="88"/>
    <col min="590" max="590" width="10.83203125" style="88" bestFit="1" customWidth="1"/>
    <col min="591" max="591" width="13" style="88" bestFit="1" customWidth="1"/>
    <col min="592" max="593" width="10.83203125" style="88"/>
    <col min="594" max="595" width="10.83203125" style="88" bestFit="1" customWidth="1"/>
    <col min="596" max="596" width="13" style="88" bestFit="1" customWidth="1"/>
    <col min="597" max="597" width="10.83203125" style="88"/>
    <col min="598" max="598" width="10.83203125" style="88" bestFit="1" customWidth="1"/>
    <col min="599" max="599" width="13" style="88" bestFit="1" customWidth="1"/>
    <col min="600" max="601" width="10.83203125" style="88"/>
    <col min="602" max="602" width="13" style="88" bestFit="1" customWidth="1"/>
    <col min="603" max="604" width="10.83203125" style="88"/>
    <col min="605" max="605" width="10.83203125" style="88" bestFit="1" customWidth="1"/>
    <col min="606" max="606" width="13" style="88" bestFit="1" customWidth="1"/>
    <col min="607" max="607" width="11" style="88" bestFit="1" customWidth="1"/>
    <col min="608" max="608" width="14" style="88" bestFit="1" customWidth="1"/>
    <col min="609" max="609" width="11" style="88" bestFit="1" customWidth="1"/>
    <col min="610" max="611" width="10.83203125" style="88"/>
    <col min="612" max="612" width="14" style="88" bestFit="1" customWidth="1"/>
    <col min="613" max="613" width="11" style="88" bestFit="1" customWidth="1"/>
    <col min="614" max="615" width="10.83203125" style="88"/>
    <col min="616" max="616" width="14" style="88" bestFit="1" customWidth="1"/>
    <col min="617" max="617" width="11" style="88" bestFit="1" customWidth="1"/>
    <col min="618" max="618" width="14" style="88" bestFit="1" customWidth="1"/>
    <col min="619" max="619" width="10.83203125" style="88"/>
    <col min="620" max="620" width="10.83203125" style="88" bestFit="1" customWidth="1"/>
    <col min="621" max="621" width="13" style="88" bestFit="1" customWidth="1"/>
    <col min="622" max="622" width="11" style="88" bestFit="1" customWidth="1"/>
    <col min="623" max="623" width="10.83203125" style="88"/>
    <col min="624" max="624" width="10.83203125" style="88" bestFit="1" customWidth="1"/>
    <col min="625" max="625" width="14" style="88" bestFit="1" customWidth="1"/>
    <col min="626" max="626" width="11" style="88" bestFit="1" customWidth="1"/>
    <col min="627" max="627" width="10.83203125" style="88" bestFit="1" customWidth="1"/>
    <col min="628" max="628" width="10.83203125" style="88"/>
    <col min="629" max="629" width="14" style="88" bestFit="1" customWidth="1"/>
    <col min="630" max="630" width="10.83203125" style="88"/>
    <col min="631" max="631" width="10.83203125" style="88" bestFit="1" customWidth="1"/>
    <col min="632" max="632" width="10.83203125" style="88"/>
    <col min="633" max="633" width="13" style="88" bestFit="1" customWidth="1"/>
    <col min="634" max="634" width="10.83203125" style="88"/>
    <col min="635" max="635" width="10.83203125" style="88" bestFit="1" customWidth="1"/>
    <col min="636" max="636" width="13" style="88" bestFit="1" customWidth="1"/>
    <col min="637" max="637" width="10.83203125" style="88" bestFit="1" customWidth="1"/>
    <col min="638" max="639" width="10.83203125" style="88"/>
    <col min="640" max="640" width="13" style="88" bestFit="1" customWidth="1"/>
    <col min="641" max="641" width="10.83203125" style="88" bestFit="1" customWidth="1"/>
    <col min="642" max="643" width="10.83203125" style="88"/>
    <col min="644" max="644" width="13" style="88" bestFit="1" customWidth="1"/>
    <col min="645" max="645" width="10.83203125" style="88" bestFit="1" customWidth="1"/>
    <col min="646" max="646" width="10.83203125" style="88"/>
    <col min="647" max="647" width="13" style="88" bestFit="1" customWidth="1"/>
    <col min="648" max="648" width="10.83203125" style="88" bestFit="1" customWidth="1"/>
    <col min="649" max="650" width="10.83203125" style="88"/>
    <col min="651" max="651" width="11.83203125" style="88" bestFit="1" customWidth="1"/>
    <col min="652" max="652" width="10.83203125" style="88" bestFit="1" customWidth="1"/>
    <col min="653" max="654" width="10.83203125" style="88"/>
    <col min="655" max="655" width="13" style="88" bestFit="1" customWidth="1"/>
    <col min="656" max="656" width="10.83203125" style="88" bestFit="1" customWidth="1"/>
    <col min="657" max="657" width="10.83203125" style="88"/>
    <col min="658" max="658" width="13" style="88" bestFit="1" customWidth="1"/>
    <col min="659" max="659" width="10.83203125" style="88"/>
    <col min="660" max="660" width="13" style="88" bestFit="1" customWidth="1"/>
    <col min="661" max="661" width="10.83203125" style="88"/>
    <col min="662" max="662" width="11.83203125" style="88" bestFit="1" customWidth="1"/>
    <col min="663" max="663" width="10.83203125" style="88" bestFit="1" customWidth="1"/>
    <col min="664" max="664" width="10.83203125" style="88"/>
    <col min="665" max="665" width="10.83203125" style="88" bestFit="1" customWidth="1"/>
    <col min="666" max="666" width="13" style="88" bestFit="1" customWidth="1"/>
    <col min="667" max="667" width="10.83203125" style="88" bestFit="1" customWidth="1"/>
    <col min="668" max="668" width="13" style="88" bestFit="1" customWidth="1"/>
    <col min="669" max="671" width="10.83203125" style="88" bestFit="1" customWidth="1"/>
    <col min="672" max="672" width="11.83203125" style="88" bestFit="1" customWidth="1"/>
    <col min="673" max="675" width="10.83203125" style="88" bestFit="1" customWidth="1"/>
    <col min="676" max="676" width="13" style="88" bestFit="1" customWidth="1"/>
    <col min="677" max="677" width="10.83203125" style="88" bestFit="1" customWidth="1"/>
    <col min="678" max="678" width="10.83203125" style="88"/>
    <col min="679" max="679" width="13" style="88" bestFit="1" customWidth="1"/>
    <col min="680" max="680" width="10.83203125" style="88" bestFit="1" customWidth="1"/>
    <col min="681" max="682" width="10.83203125" style="88"/>
    <col min="683" max="683" width="13" style="88" bestFit="1" customWidth="1"/>
    <col min="684" max="685" width="10.83203125" style="88"/>
    <col min="686" max="686" width="10.83203125" style="88" bestFit="1" customWidth="1"/>
    <col min="687" max="687" width="11.83203125" style="88" bestFit="1" customWidth="1"/>
    <col min="688" max="688" width="10.83203125" style="88"/>
    <col min="689" max="689" width="10.83203125" style="88" bestFit="1" customWidth="1"/>
    <col min="690" max="690" width="10.83203125" style="88"/>
    <col min="691" max="691" width="11.83203125" style="88" bestFit="1" customWidth="1"/>
    <col min="692" max="692" width="10.83203125" style="88" bestFit="1" customWidth="1"/>
    <col min="693" max="693" width="10.83203125" style="88"/>
    <col min="694" max="694" width="13" style="88" bestFit="1" customWidth="1"/>
    <col min="695" max="695" width="10.83203125" style="88" bestFit="1" customWidth="1"/>
    <col min="696" max="696" width="13" style="88" bestFit="1" customWidth="1"/>
    <col min="697" max="697" width="10.83203125" style="88"/>
    <col min="698" max="698" width="13" style="88" bestFit="1" customWidth="1"/>
    <col min="699" max="699" width="11" style="88" bestFit="1" customWidth="1"/>
    <col min="700" max="700" width="14" style="88" bestFit="1" customWidth="1"/>
    <col min="701" max="701" width="11" style="88" bestFit="1" customWidth="1"/>
    <col min="702" max="702" width="14" style="88" bestFit="1" customWidth="1"/>
    <col min="703" max="703" width="11" style="88" bestFit="1" customWidth="1"/>
    <col min="704" max="704" width="14" style="88" bestFit="1" customWidth="1"/>
    <col min="705" max="705" width="11" style="88" bestFit="1" customWidth="1"/>
    <col min="706" max="706" width="14" style="88" bestFit="1" customWidth="1"/>
    <col min="707" max="707" width="10.83203125" style="88" bestFit="1" customWidth="1"/>
    <col min="708" max="708" width="11.83203125" style="88" bestFit="1" customWidth="1"/>
    <col min="709" max="709" width="10.83203125" style="88"/>
    <col min="710" max="710" width="10.83203125" style="88" bestFit="1" customWidth="1"/>
    <col min="711" max="711" width="11.83203125" style="88" bestFit="1" customWidth="1"/>
    <col min="712" max="712" width="10.83203125" style="88" bestFit="1" customWidth="1"/>
    <col min="713" max="713" width="10.83203125" style="88"/>
    <col min="714" max="714" width="13" style="88" bestFit="1" customWidth="1"/>
    <col min="715" max="715" width="10.83203125" style="88" bestFit="1" customWidth="1"/>
    <col min="716" max="716" width="10.83203125" style="88"/>
    <col min="717" max="717" width="13" style="88" bestFit="1" customWidth="1"/>
    <col min="718" max="718" width="10.83203125" style="88" bestFit="1" customWidth="1"/>
    <col min="719" max="719" width="10.83203125" style="88"/>
    <col min="720" max="720" width="13" style="88" bestFit="1" customWidth="1"/>
    <col min="721" max="721" width="10.83203125" style="88" bestFit="1" customWidth="1"/>
    <col min="722" max="722" width="10.83203125" style="88"/>
    <col min="723" max="723" width="13" style="88" bestFit="1" customWidth="1"/>
    <col min="724" max="725" width="10.83203125" style="88"/>
    <col min="726" max="726" width="11.83203125" style="88" bestFit="1" customWidth="1"/>
    <col min="727" max="728" width="10.83203125" style="88"/>
    <col min="729" max="729" width="13" style="88" bestFit="1" customWidth="1"/>
    <col min="730" max="731" width="10.83203125" style="88"/>
    <col min="732" max="732" width="13" style="88" bestFit="1" customWidth="1"/>
    <col min="733" max="734" width="10.83203125" style="88" bestFit="1" customWidth="1"/>
    <col min="735" max="735" width="11.83203125" style="88" bestFit="1" customWidth="1"/>
    <col min="736" max="737" width="10.83203125" style="88" bestFit="1" customWidth="1"/>
    <col min="738" max="738" width="13" style="88" bestFit="1" customWidth="1"/>
    <col min="739" max="740" width="10.83203125" style="88" bestFit="1" customWidth="1"/>
    <col min="741" max="741" width="13" style="88" bestFit="1" customWidth="1"/>
    <col min="742" max="742" width="10.83203125" style="88" bestFit="1" customWidth="1"/>
    <col min="743" max="743" width="13" style="88" bestFit="1" customWidth="1"/>
    <col min="744" max="745" width="10.83203125" style="88" bestFit="1" customWidth="1"/>
    <col min="746" max="746" width="13" style="88" bestFit="1" customWidth="1"/>
    <col min="747" max="748" width="10.83203125" style="88" bestFit="1" customWidth="1"/>
    <col min="749" max="749" width="13" style="88" bestFit="1" customWidth="1"/>
    <col min="750" max="751" width="10.83203125" style="88" bestFit="1" customWidth="1"/>
    <col min="752" max="752" width="13" style="88" bestFit="1" customWidth="1"/>
    <col min="753" max="753" width="10.83203125" style="88" bestFit="1" customWidth="1"/>
    <col min="754" max="754" width="11.83203125" style="88" bestFit="1" customWidth="1"/>
    <col min="755" max="756" width="10.83203125" style="88" bestFit="1" customWidth="1"/>
    <col min="757" max="757" width="13" style="88" bestFit="1" customWidth="1"/>
    <col min="758" max="759" width="10.83203125" style="88"/>
    <col min="760" max="760" width="13" style="88" bestFit="1" customWidth="1"/>
    <col min="761" max="762" width="10.83203125" style="88"/>
    <col min="763" max="763" width="13" style="88" bestFit="1" customWidth="1"/>
    <col min="764" max="764" width="10" style="88" bestFit="1" customWidth="1"/>
    <col min="765" max="765" width="13" style="88" bestFit="1" customWidth="1"/>
    <col min="766" max="766" width="10" style="88" bestFit="1" customWidth="1"/>
    <col min="767" max="767" width="13" style="88" bestFit="1" customWidth="1"/>
    <col min="768" max="768" width="10" style="88" bestFit="1" customWidth="1"/>
    <col min="769" max="769" width="13" style="88" bestFit="1" customWidth="1"/>
    <col min="770" max="770" width="9" style="88" bestFit="1" customWidth="1"/>
    <col min="771" max="771" width="11.83203125" style="88" bestFit="1" customWidth="1"/>
    <col min="772" max="772" width="10" style="88" bestFit="1" customWidth="1"/>
    <col min="773" max="773" width="13" style="88" bestFit="1" customWidth="1"/>
    <col min="774" max="774" width="10" style="88" bestFit="1" customWidth="1"/>
    <col min="775" max="775" width="13" style="88" bestFit="1" customWidth="1"/>
    <col min="776" max="776" width="10" style="88" bestFit="1" customWidth="1"/>
    <col min="777" max="777" width="13" style="88" bestFit="1" customWidth="1"/>
    <col min="778" max="778" width="9" style="88" bestFit="1" customWidth="1"/>
    <col min="779" max="779" width="11.83203125" style="88" bestFit="1" customWidth="1"/>
    <col min="780" max="780" width="10" style="88" bestFit="1" customWidth="1"/>
    <col min="781" max="781" width="13" style="88" bestFit="1" customWidth="1"/>
    <col min="782" max="782" width="10" style="88" bestFit="1" customWidth="1"/>
    <col min="783" max="783" width="13" style="88" bestFit="1" customWidth="1"/>
    <col min="784" max="784" width="10" style="88" bestFit="1" customWidth="1"/>
    <col min="785" max="785" width="13" style="88" bestFit="1" customWidth="1"/>
    <col min="786" max="786" width="9" style="88" bestFit="1" customWidth="1"/>
    <col min="787" max="787" width="11.83203125" style="88" bestFit="1" customWidth="1"/>
    <col min="788" max="788" width="11.33203125" style="88" bestFit="1" customWidth="1"/>
    <col min="789" max="16384" width="10.83203125" style="88"/>
  </cols>
  <sheetData>
    <row r="4" spans="1:40" ht="409" customHeight="1" x14ac:dyDescent="0.2">
      <c r="A4" s="367"/>
      <c r="B4" s="367"/>
      <c r="C4" s="367"/>
      <c r="D4" s="367"/>
      <c r="E4" s="367"/>
      <c r="F4" s="367"/>
      <c r="G4" s="367"/>
      <c r="H4" s="5"/>
      <c r="I4" s="5"/>
      <c r="J4" s="5"/>
      <c r="K4" s="5"/>
      <c r="L4" s="5"/>
      <c r="M4" s="5"/>
      <c r="O4" s="368" t="s">
        <v>1109</v>
      </c>
      <c r="P4" s="368"/>
      <c r="Q4" s="368"/>
      <c r="R4" s="368"/>
      <c r="S4" s="368"/>
      <c r="T4" s="368"/>
      <c r="U4" s="368"/>
      <c r="V4" s="368"/>
      <c r="W4" s="368"/>
      <c r="X4" s="6"/>
      <c r="Y4" s="6"/>
      <c r="AA4" s="326"/>
      <c r="AB4" s="326"/>
      <c r="AC4" s="326"/>
      <c r="AD4" s="326"/>
      <c r="AE4" s="326"/>
      <c r="AF4" s="326"/>
      <c r="AG4" s="326"/>
      <c r="AH4" s="326"/>
    </row>
    <row r="5" spans="1:40" x14ac:dyDescent="0.2">
      <c r="AA5" s="326"/>
      <c r="AB5" s="326"/>
      <c r="AC5" s="326"/>
      <c r="AD5" s="326"/>
      <c r="AE5" s="326"/>
      <c r="AF5" s="326"/>
      <c r="AG5" s="326"/>
      <c r="AH5" s="326"/>
    </row>
    <row r="6" spans="1:40" x14ac:dyDescent="0.2">
      <c r="AA6" s="326"/>
      <c r="AB6" s="326"/>
      <c r="AC6" s="326"/>
      <c r="AD6" s="326"/>
      <c r="AE6" s="326"/>
      <c r="AF6" s="326"/>
      <c r="AG6" s="326"/>
      <c r="AH6" s="326"/>
    </row>
    <row r="7" spans="1:40" ht="409" customHeight="1" x14ac:dyDescent="0.2">
      <c r="A7" s="7"/>
      <c r="B7" s="7"/>
      <c r="C7" s="7"/>
      <c r="D7" s="7"/>
      <c r="E7" s="7"/>
      <c r="F7" s="7"/>
      <c r="G7" s="7"/>
      <c r="H7" s="7"/>
      <c r="I7" s="7"/>
      <c r="J7" s="7"/>
      <c r="K7" s="7"/>
      <c r="L7" s="7"/>
      <c r="M7" s="7"/>
      <c r="O7" s="326"/>
      <c r="P7" s="326"/>
      <c r="Q7" s="326"/>
      <c r="R7" s="326"/>
      <c r="S7" s="326"/>
      <c r="T7" s="326"/>
      <c r="U7" s="326"/>
      <c r="V7" s="326"/>
      <c r="W7" s="326"/>
      <c r="AA7" s="326"/>
      <c r="AB7" s="326"/>
      <c r="AC7" s="326"/>
      <c r="AD7" s="326"/>
      <c r="AE7" s="326"/>
      <c r="AF7" s="326"/>
      <c r="AG7" s="326"/>
      <c r="AH7" s="326"/>
    </row>
    <row r="8" spans="1:40" x14ac:dyDescent="0.2">
      <c r="D8" s="335"/>
      <c r="G8" s="335"/>
    </row>
    <row r="9" spans="1:40" ht="31" x14ac:dyDescent="0.35">
      <c r="A9" s="336"/>
      <c r="D9" s="335"/>
      <c r="G9" s="335"/>
    </row>
    <row r="10" spans="1:40" ht="27" customHeight="1" x14ac:dyDescent="0.35">
      <c r="A10" s="336" t="s">
        <v>1097</v>
      </c>
      <c r="B10" s="88" t="s">
        <v>1115</v>
      </c>
      <c r="D10" s="335"/>
      <c r="G10" s="335"/>
      <c r="U10" s="336" t="s">
        <v>1101</v>
      </c>
    </row>
    <row r="11" spans="1:40" ht="27" customHeight="1" x14ac:dyDescent="0.3">
      <c r="D11" s="335"/>
      <c r="G11" s="335"/>
      <c r="AM11" s="329"/>
    </row>
    <row r="12" spans="1:40" s="329" customFormat="1" ht="21" customHeight="1" x14ac:dyDescent="0.3">
      <c r="A12" s="363" t="s">
        <v>1098</v>
      </c>
      <c r="B12" s="364"/>
      <c r="C12" s="364"/>
      <c r="D12" s="365"/>
      <c r="E12" s="364"/>
      <c r="F12" s="364"/>
      <c r="G12" s="337"/>
      <c r="H12" s="331" t="s">
        <v>1100</v>
      </c>
      <c r="I12" s="332"/>
      <c r="J12" s="332"/>
      <c r="K12" s="332"/>
      <c r="L12" s="332"/>
      <c r="M12" s="332"/>
      <c r="O12" s="330" t="s">
        <v>1110</v>
      </c>
      <c r="P12" s="125"/>
      <c r="Q12" s="125"/>
      <c r="R12" s="125"/>
      <c r="S12" s="125"/>
      <c r="T12" s="325"/>
      <c r="U12" s="327"/>
      <c r="V12" s="328" t="s">
        <v>1036</v>
      </c>
      <c r="W12" s="327"/>
      <c r="X12" s="327"/>
      <c r="Y12" s="327"/>
      <c r="Z12" s="327"/>
      <c r="AA12" s="327"/>
      <c r="AB12" s="327"/>
      <c r="AC12" s="327"/>
      <c r="AD12" s="327"/>
      <c r="AE12" s="327"/>
      <c r="AF12" s="327"/>
      <c r="AG12" s="327"/>
      <c r="AH12" s="327"/>
      <c r="AI12" s="327"/>
      <c r="AJ12" s="327"/>
      <c r="AM12" s="88"/>
    </row>
    <row r="13" spans="1:40" x14ac:dyDescent="0.2">
      <c r="A13" s="124"/>
      <c r="B13" s="124"/>
      <c r="C13" s="124"/>
      <c r="D13" s="366"/>
      <c r="E13" s="124"/>
      <c r="F13" s="124"/>
      <c r="G13" s="335"/>
      <c r="H13" s="219"/>
      <c r="I13" s="219"/>
      <c r="J13" s="219"/>
      <c r="K13" s="219"/>
      <c r="L13" s="219"/>
      <c r="M13" s="219"/>
      <c r="O13" s="125"/>
      <c r="P13" s="125"/>
      <c r="Q13" s="125"/>
      <c r="R13" s="125"/>
      <c r="S13" s="125"/>
      <c r="U13" s="326"/>
      <c r="V13" s="326"/>
      <c r="W13" s="326"/>
      <c r="X13" s="326"/>
      <c r="Y13" s="326"/>
      <c r="Z13" s="326"/>
      <c r="AA13" s="326"/>
      <c r="AB13" s="326"/>
      <c r="AC13" s="326"/>
      <c r="AD13" s="326"/>
      <c r="AE13" s="326"/>
      <c r="AF13" s="326"/>
      <c r="AG13" s="326"/>
      <c r="AH13" s="326"/>
      <c r="AI13" s="326"/>
      <c r="AJ13" s="326"/>
    </row>
    <row r="14" spans="1:40" ht="24" x14ac:dyDescent="0.3">
      <c r="A14" s="124"/>
      <c r="B14" s="124"/>
      <c r="C14" s="124"/>
      <c r="D14" s="124"/>
      <c r="E14" s="124"/>
      <c r="F14" s="124"/>
      <c r="G14" s="335"/>
      <c r="H14" s="219"/>
      <c r="I14" s="219"/>
      <c r="J14" s="219"/>
      <c r="K14" s="219"/>
      <c r="L14" s="219"/>
      <c r="M14" s="219"/>
      <c r="O14" s="142" t="s">
        <v>1105</v>
      </c>
      <c r="P14" t="s">
        <v>1107</v>
      </c>
      <c r="Q14" s="125"/>
      <c r="R14" s="125"/>
      <c r="S14" s="125"/>
      <c r="T14" s="325"/>
      <c r="U14" s="326"/>
      <c r="V14" s="326"/>
      <c r="W14" s="221" t="s">
        <v>228</v>
      </c>
      <c r="X14" s="221"/>
      <c r="Y14" s="224"/>
      <c r="Z14" s="227" t="s">
        <v>243</v>
      </c>
      <c r="AA14" s="227"/>
      <c r="AB14" s="230"/>
      <c r="AC14" s="233" t="s">
        <v>859</v>
      </c>
      <c r="AD14" s="233"/>
      <c r="AE14" s="236"/>
      <c r="AF14" s="239" t="s">
        <v>687</v>
      </c>
      <c r="AG14" s="239"/>
      <c r="AH14" s="239"/>
      <c r="AI14" s="326"/>
      <c r="AJ14" s="326"/>
      <c r="AN14" s="329"/>
    </row>
    <row r="15" spans="1:40" x14ac:dyDescent="0.2">
      <c r="A15" s="124"/>
      <c r="B15" s="124"/>
      <c r="C15" s="124"/>
      <c r="D15" s="124"/>
      <c r="E15" s="124"/>
      <c r="F15" s="124"/>
      <c r="G15" s="335"/>
      <c r="H15" s="219"/>
      <c r="I15" s="219"/>
      <c r="J15" s="219"/>
      <c r="K15" s="219"/>
      <c r="L15" s="219"/>
      <c r="M15" s="219"/>
      <c r="O15" s="125"/>
      <c r="P15" s="125"/>
      <c r="Q15" s="125"/>
      <c r="R15" s="125"/>
      <c r="S15" s="125"/>
      <c r="U15" s="326"/>
      <c r="V15" s="244" t="s">
        <v>867</v>
      </c>
      <c r="W15" s="242" t="s">
        <v>504</v>
      </c>
      <c r="X15" s="222" t="s">
        <v>1041</v>
      </c>
      <c r="Y15" s="225" t="s">
        <v>868</v>
      </c>
      <c r="Z15" s="228" t="s">
        <v>504</v>
      </c>
      <c r="AA15" s="228" t="s">
        <v>1041</v>
      </c>
      <c r="AB15" s="231" t="s">
        <v>868</v>
      </c>
      <c r="AC15" s="234" t="s">
        <v>504</v>
      </c>
      <c r="AD15" s="234" t="s">
        <v>1041</v>
      </c>
      <c r="AE15" s="237" t="s">
        <v>868</v>
      </c>
      <c r="AF15" s="240" t="s">
        <v>504</v>
      </c>
      <c r="AG15" s="240" t="s">
        <v>1041</v>
      </c>
      <c r="AH15" s="247" t="s">
        <v>868</v>
      </c>
      <c r="AI15" s="250" t="s">
        <v>1042</v>
      </c>
      <c r="AJ15" s="326"/>
    </row>
    <row r="16" spans="1:40" x14ac:dyDescent="0.2">
      <c r="A16" s="142" t="s">
        <v>1011</v>
      </c>
      <c r="B16" s="142" t="s">
        <v>998</v>
      </c>
      <c r="C16"/>
      <c r="D16"/>
      <c r="E16"/>
      <c r="F16"/>
      <c r="H16" s="142" t="s">
        <v>1011</v>
      </c>
      <c r="I16" s="142" t="s">
        <v>998</v>
      </c>
      <c r="J16"/>
      <c r="K16"/>
      <c r="L16"/>
      <c r="M16"/>
      <c r="O16" s="142" t="s">
        <v>1011</v>
      </c>
      <c r="P16" s="142" t="s">
        <v>998</v>
      </c>
      <c r="Q16"/>
      <c r="R16"/>
      <c r="S16"/>
      <c r="U16" s="326"/>
      <c r="V16" s="245" t="s">
        <v>1037</v>
      </c>
      <c r="W16" s="243" t="str" cm="1">
        <f t="array" aca="1" ref="W16" ca="1">_xlfn.XLOOKUP($V16, INDIRECT("'" &amp; W$14 &amp; " Season Info'!J2:J15"), INDIRECT("'" &amp; W$14 &amp; " Season Info'!C2:C15"), "",  0, 1)</f>
        <v/>
      </c>
      <c r="X16" s="223" t="str" cm="1">
        <f t="array" aca="1" ref="X16" ca="1">_xlfn.XLOOKUP($V16, INDIRECT("'" &amp; W$14 &amp; " Season Info'!J2:J15"), INDIRECT("'" &amp; W$14 &amp; " Season Info'!L2:L15"), "",  0, 1)</f>
        <v/>
      </c>
      <c r="Y16" s="226" t="e" cm="1">
        <f t="array" aca="1" ref="Y16" ca="1">IF(_xlfn.XLOOKUP($V16, INDIRECT("'" &amp; W$14 &amp; " Season Info'!J2:J15"), INDIRECT("'" &amp; W$14 &amp; " Season Info'!K2:K15"), "",  0, 1)="", NA(), _xlfn.XLOOKUP($V16, INDIRECT("'" &amp; W$14 &amp; " Season Info'!J2:J15"), INDIRECT("'" &amp; W$14 &amp; " Season Info'!K2:K15"), "",  0, 1))</f>
        <v>#N/A</v>
      </c>
      <c r="Z16" s="229" cm="1">
        <f t="array" aca="1" ref="Z16" ca="1">_xlfn.XLOOKUP($V16, INDIRECT("'" &amp; Z$14 &amp; " Season Info'!J2:J15"), INDIRECT("'" &amp; Z$14 &amp; " Season Info'!C2:C15"), "",  0, 1)</f>
        <v>1</v>
      </c>
      <c r="AA16" s="229" cm="1">
        <f t="array" aca="1" ref="AA16" ca="1">_xlfn.XLOOKUP($V16, INDIRECT("'" &amp; Z$14 &amp; " Season Info'!J2:J15"), INDIRECT("'" &amp; Z$14 &amp; " Season Info'!L2:L15"), "",  0, 1)</f>
        <v>5.4</v>
      </c>
      <c r="AB16" s="232" cm="1">
        <f t="array" aca="1" ref="AB16" ca="1">IF(_xlfn.XLOOKUP($V16, INDIRECT("'" &amp; Z$14 &amp; " Season Info'!J2:J15"), INDIRECT("'" &amp; Z$14 &amp; " Season Info'!K2:K15"), "",  0, 1)="", NA(), _xlfn.XLOOKUP($V16, INDIRECT("'" &amp; Z$14 &amp; " Season Info'!J2:J15"), INDIRECT("'" &amp; Z$14 &amp; " Season Info'!K2:K15"), "",  0, 1))</f>
        <v>102</v>
      </c>
      <c r="AC16" s="235" t="str" cm="1">
        <f t="array" aca="1" ref="AC16" ca="1">_xlfn.XLOOKUP($V16, INDIRECT("'" &amp; AC$14 &amp; " Season Info'!J2:J15"), INDIRECT("'" &amp; AC$14 &amp; " Season Info'!C2:C15"), "",  0, 1)</f>
        <v/>
      </c>
      <c r="AD16" s="235" t="str" cm="1">
        <f t="array" aca="1" ref="AD16" ca="1">_xlfn.XLOOKUP($V16, INDIRECT("'" &amp; AC$14 &amp; " Season Info'!J2:J15"), INDIRECT("'" &amp; AC$14 &amp; " Season Info'!L2:L15"), "",  0, 1)</f>
        <v/>
      </c>
      <c r="AE16" s="238" t="e" cm="1">
        <f t="array" aca="1" ref="AE16" ca="1">IF(_xlfn.XLOOKUP($V16, INDIRECT("'" &amp; AC$14 &amp; " Season Info'!J2:J15"), INDIRECT("'" &amp; AC$14 &amp; " Season Info'!K2:K15"), "",  0, 1)="", NA(), _xlfn.XLOOKUP($V16, INDIRECT("'" &amp; AC$14 &amp; " Season Info'!J2:J15"), INDIRECT("'" &amp; AC$14 &amp; " Season Info'!K2:K15"), "",  0, 1))</f>
        <v>#N/A</v>
      </c>
      <c r="AF16" s="241" t="str" cm="1">
        <f t="array" aca="1" ref="AF16" ca="1">_xlfn.XLOOKUP($V16, INDIRECT("'" &amp; AF$14 &amp; " Season Info'!J2:J15"), INDIRECT("'" &amp; AF$14 &amp; " Season Info'!C2:C15"), "",  0, 1)</f>
        <v/>
      </c>
      <c r="AG16" s="241" t="str" cm="1">
        <f t="array" aca="1" ref="AG16" ca="1">_xlfn.XLOOKUP($V16, INDIRECT("'" &amp; AF$14 &amp; " Season Info'!J2:J15"), INDIRECT("'" &amp; AF$14 &amp; " Season Info'!L2:L15"), "",  0, 1)</f>
        <v/>
      </c>
      <c r="AH16" s="248" t="e" cm="1">
        <f t="array" aca="1" ref="AH16" ca="1">IF(_xlfn.XLOOKUP($V16, INDIRECT("'" &amp; AF$14 &amp; " Season Info'!J2:J15"), INDIRECT("'" &amp; AF$14 &amp; " Season Info'!K2:K15"), "",  0, 1)="", NA(), _xlfn.XLOOKUP($V16, INDIRECT("'" &amp; AF$14 &amp; " Season Info'!J2:J15"), INDIRECT("'" &amp; AF$14 &amp; " Season Info'!K2:K15"), "",  0, 1))</f>
        <v>#N/A</v>
      </c>
      <c r="AI16" s="249">
        <f ca="1">SUM(X16,AA16,AD16,AG16)</f>
        <v>5.4</v>
      </c>
      <c r="AJ16" s="326"/>
    </row>
    <row r="17" spans="1:36" x14ac:dyDescent="0.2">
      <c r="A17" s="142" t="s">
        <v>996</v>
      </c>
      <c r="B17" t="s">
        <v>228</v>
      </c>
      <c r="C17" t="s">
        <v>687</v>
      </c>
      <c r="D17" t="s">
        <v>859</v>
      </c>
      <c r="E17" t="s">
        <v>243</v>
      </c>
      <c r="F17" t="s">
        <v>997</v>
      </c>
      <c r="H17" s="142" t="s">
        <v>996</v>
      </c>
      <c r="I17" t="s">
        <v>228</v>
      </c>
      <c r="J17" t="s">
        <v>687</v>
      </c>
      <c r="K17" t="s">
        <v>859</v>
      </c>
      <c r="L17" t="s">
        <v>243</v>
      </c>
      <c r="M17" t="s">
        <v>997</v>
      </c>
      <c r="O17" s="142" t="s">
        <v>996</v>
      </c>
      <c r="P17" t="s">
        <v>887</v>
      </c>
      <c r="Q17" t="s">
        <v>888</v>
      </c>
      <c r="R17" t="s">
        <v>889</v>
      </c>
      <c r="S17" t="s">
        <v>997</v>
      </c>
      <c r="U17" s="326"/>
      <c r="V17" s="245" t="s">
        <v>1038</v>
      </c>
      <c r="W17" s="243" t="str" cm="1">
        <f t="array" aca="1" ref="W17" ca="1">_xlfn.XLOOKUP($V17, INDIRECT("'" &amp; W$14 &amp; " Season Info'!J2:J15"), INDIRECT("'" &amp; W$14 &amp; " Season Info'!C2:C15"), "",  0, 1)</f>
        <v/>
      </c>
      <c r="X17" s="223" t="str" cm="1">
        <f t="array" aca="1" ref="X17" ca="1">_xlfn.XLOOKUP($V17, INDIRECT("'" &amp; W$14 &amp; " Season Info'!J2:J15"), INDIRECT("'" &amp; W$14 &amp; " Season Info'!L2:L15"), "",  0, 1)</f>
        <v/>
      </c>
      <c r="Y17" s="226" t="e" cm="1">
        <f t="array" aca="1" ref="Y17" ca="1">IF(_xlfn.XLOOKUP($V17, INDIRECT("'" &amp; W$14 &amp; " Season Info'!J2:J15"), INDIRECT("'" &amp; W$14 &amp; " Season Info'!K2:K15"), "",  0, 1)="", NA(), _xlfn.XLOOKUP($V17, INDIRECT("'" &amp; W$14 &amp; " Season Info'!J2:J15"), INDIRECT("'" &amp; W$14 &amp; " Season Info'!K2:K15"), "",  0, 1))</f>
        <v>#N/A</v>
      </c>
      <c r="Z17" s="229" cm="1">
        <f t="array" aca="1" ref="Z17" ca="1">_xlfn.XLOOKUP($V17, INDIRECT("'" &amp; Z$14 &amp; " Season Info'!J2:J15"), INDIRECT("'" &amp; Z$14 &amp; " Season Info'!C2:C15"), "",  0, 1)</f>
        <v>2</v>
      </c>
      <c r="AA17" s="229" cm="1">
        <f t="array" aca="1" ref="AA17" ca="1">_xlfn.XLOOKUP($V17, INDIRECT("'" &amp; Z$14 &amp; " Season Info'!J2:J15"), INDIRECT("'" &amp; Z$14 &amp; " Season Info'!L2:L15"), "",  0, 1)</f>
        <v>8</v>
      </c>
      <c r="AB17" s="232" cm="1">
        <f t="array" aca="1" ref="AB17" ca="1">IF(_xlfn.XLOOKUP($V17, INDIRECT("'" &amp; Z$14 &amp; " Season Info'!J2:J15"), INDIRECT("'" &amp; Z$14 &amp; " Season Info'!K2:K15"), "",  0, 1)="", NA(), _xlfn.XLOOKUP($V17, INDIRECT("'" &amp; Z$14 &amp; " Season Info'!J2:J15"), INDIRECT("'" &amp; Z$14 &amp; " Season Info'!K2:K15"), "",  0, 1))</f>
        <v>67</v>
      </c>
      <c r="AC17" s="235" t="str" cm="1">
        <f t="array" aca="1" ref="AC17" ca="1">_xlfn.XLOOKUP($V17, INDIRECT("'" &amp; AC$14 &amp; " Season Info'!J2:J15"), INDIRECT("'" &amp; AC$14 &amp; " Season Info'!C2:C15"), "",  0, 1)</f>
        <v/>
      </c>
      <c r="AD17" s="235" t="str" cm="1">
        <f t="array" aca="1" ref="AD17" ca="1">_xlfn.XLOOKUP($V17, INDIRECT("'" &amp; AC$14 &amp; " Season Info'!J2:J15"), INDIRECT("'" &amp; AC$14 &amp; " Season Info'!L2:L15"), "",  0, 1)</f>
        <v/>
      </c>
      <c r="AE17" s="238" t="e" cm="1">
        <f t="array" aca="1" ref="AE17" ca="1">IF(_xlfn.XLOOKUP($V17, INDIRECT("'" &amp; AC$14 &amp; " Season Info'!J2:J15"), INDIRECT("'" &amp; AC$14 &amp; " Season Info'!K2:K15"), "",  0, 1)="", NA(), _xlfn.XLOOKUP($V17, INDIRECT("'" &amp; AC$14 &amp; " Season Info'!J2:J15"), INDIRECT("'" &amp; AC$14 &amp; " Season Info'!K2:K15"), "",  0, 1))</f>
        <v>#N/A</v>
      </c>
      <c r="AF17" s="241" t="str" cm="1">
        <f t="array" aca="1" ref="AF17" ca="1">_xlfn.XLOOKUP($V17, INDIRECT("'" &amp; AF$14 &amp; " Season Info'!J2:J15"), INDIRECT("'" &amp; AF$14 &amp; " Season Info'!C2:C15"), "",  0, 1)</f>
        <v/>
      </c>
      <c r="AG17" s="241" t="str" cm="1">
        <f t="array" aca="1" ref="AG17" ca="1">_xlfn.XLOOKUP($V17, INDIRECT("'" &amp; AF$14 &amp; " Season Info'!J2:J15"), INDIRECT("'" &amp; AF$14 &amp; " Season Info'!L2:L15"), "",  0, 1)</f>
        <v/>
      </c>
      <c r="AH17" s="248" t="e" cm="1">
        <f t="array" aca="1" ref="AH17" ca="1">IF(_xlfn.XLOOKUP($V17, INDIRECT("'" &amp; AF$14 &amp; " Season Info'!J2:J15"), INDIRECT("'" &amp; AF$14 &amp; " Season Info'!K2:K15"), "",  0, 1)="", NA(), _xlfn.XLOOKUP($V17, INDIRECT("'" &amp; AF$14 &amp; " Season Info'!J2:J15"), INDIRECT("'" &amp; AF$14 &amp; " Season Info'!K2:K15"), "",  0, 1))</f>
        <v>#N/A</v>
      </c>
      <c r="AI17" s="249">
        <f t="shared" ref="AI17:AI26" ca="1" si="0">SUM(X17,AA17,AD17,AG17)</f>
        <v>8</v>
      </c>
      <c r="AJ17" s="326"/>
    </row>
    <row r="18" spans="1:36" x14ac:dyDescent="0.2">
      <c r="A18" s="143" t="s">
        <v>999</v>
      </c>
      <c r="B18" s="144"/>
      <c r="C18" s="144"/>
      <c r="D18" s="144"/>
      <c r="E18" s="144">
        <v>119.42999999999999</v>
      </c>
      <c r="F18" s="144">
        <v>119.42999999999999</v>
      </c>
      <c r="H18" s="143" t="s">
        <v>219</v>
      </c>
      <c r="I18" s="144">
        <v>117.1</v>
      </c>
      <c r="J18" s="144">
        <v>127.7</v>
      </c>
      <c r="K18" s="144">
        <v>32.11</v>
      </c>
      <c r="L18" s="144">
        <v>38.199999999999996</v>
      </c>
      <c r="M18" s="144">
        <v>315.11000000000007</v>
      </c>
      <c r="O18" s="143" t="s">
        <v>228</v>
      </c>
      <c r="P18" s="144">
        <v>107.3</v>
      </c>
      <c r="Q18" s="144">
        <v>45.81</v>
      </c>
      <c r="R18" s="144">
        <v>12.49</v>
      </c>
      <c r="S18" s="144">
        <v>165.60000000000002</v>
      </c>
      <c r="U18" s="326"/>
      <c r="V18" s="245" t="s">
        <v>1039</v>
      </c>
      <c r="W18" s="243" cm="1">
        <f t="array" aca="1" ref="W18" ca="1">_xlfn.XLOOKUP($V18, INDIRECT("'" &amp; W$14 &amp; " Season Info'!J2:J15"), INDIRECT("'" &amp; W$14 &amp; " Season Info'!C2:C15"), "",  0, 1)</f>
        <v>1</v>
      </c>
      <c r="X18" s="223" cm="1">
        <f t="array" aca="1" ref="X18" ca="1">_xlfn.XLOOKUP($V18, INDIRECT("'" &amp; W$14 &amp; " Season Info'!J2:J15"), INDIRECT("'" &amp; W$14 &amp; " Season Info'!L2:L15"), "",  0, 1)</f>
        <v>5.8</v>
      </c>
      <c r="Y18" s="226" cm="1">
        <f t="array" aca="1" ref="Y18" ca="1">IF(_xlfn.XLOOKUP($V18, INDIRECT("'" &amp; W$14 &amp; " Season Info'!J2:J15"), INDIRECT("'" &amp; W$14 &amp; " Season Info'!K2:K15"), "",  0, 1)="", NA(), _xlfn.XLOOKUP($V18, INDIRECT("'" &amp; W$14 &amp; " Season Info'!J2:J15"), INDIRECT("'" &amp; W$14 &amp; " Season Info'!K2:K15"), "",  0, 1))</f>
        <v>102</v>
      </c>
      <c r="Z18" s="229" cm="1">
        <f t="array" aca="1" ref="Z18" ca="1">_xlfn.XLOOKUP($V18, INDIRECT("'" &amp; Z$14 &amp; " Season Info'!J2:J15"), INDIRECT("'" &amp; Z$14 &amp; " Season Info'!C2:C15"), "",  0, 1)</f>
        <v>3</v>
      </c>
      <c r="AA18" s="229" cm="1">
        <f t="array" aca="1" ref="AA18" ca="1">_xlfn.XLOOKUP($V18, INDIRECT("'" &amp; Z$14 &amp; " Season Info'!J2:J15"), INDIRECT("'" &amp; Z$14 &amp; " Season Info'!L2:L15"), "",  0, 1)</f>
        <v>8.3000000000000007</v>
      </c>
      <c r="AB18" s="232" cm="1">
        <f t="array" aca="1" ref="AB18" ca="1">IF(_xlfn.XLOOKUP($V18, INDIRECT("'" &amp; Z$14 &amp; " Season Info'!J2:J15"), INDIRECT("'" &amp; Z$14 &amp; " Season Info'!K2:K15"), "",  0, 1)="", NA(), _xlfn.XLOOKUP($V18, INDIRECT("'" &amp; Z$14 &amp; " Season Info'!J2:J15"), INDIRECT("'" &amp; Z$14 &amp; " Season Info'!K2:K15"), "",  0, 1))</f>
        <v>68</v>
      </c>
      <c r="AC18" s="235" t="str" cm="1">
        <f t="array" aca="1" ref="AC18" ca="1">_xlfn.XLOOKUP($V18, INDIRECT("'" &amp; AC$14 &amp; " Season Info'!J2:J15"), INDIRECT("'" &amp; AC$14 &amp; " Season Info'!C2:C15"), "",  0, 1)</f>
        <v/>
      </c>
      <c r="AD18" s="235" t="str" cm="1">
        <f t="array" aca="1" ref="AD18" ca="1">_xlfn.XLOOKUP($V18, INDIRECT("'" &amp; AC$14 &amp; " Season Info'!J2:J15"), INDIRECT("'" &amp; AC$14 &amp; " Season Info'!L2:L15"), "",  0, 1)</f>
        <v/>
      </c>
      <c r="AE18" s="238" t="e" cm="1">
        <f t="array" aca="1" ref="AE18" ca="1">IF(_xlfn.XLOOKUP($V18, INDIRECT("'" &amp; AC$14 &amp; " Season Info'!J2:J15"), INDIRECT("'" &amp; AC$14 &amp; " Season Info'!K2:K15"), "",  0, 1)="", NA(), _xlfn.XLOOKUP($V18, INDIRECT("'" &amp; AC$14 &amp; " Season Info'!J2:J15"), INDIRECT("'" &amp; AC$14 &amp; " Season Info'!K2:K15"), "",  0, 1))</f>
        <v>#N/A</v>
      </c>
      <c r="AF18" s="241" t="str" cm="1">
        <f t="array" aca="1" ref="AF18" ca="1">_xlfn.XLOOKUP($V18, INDIRECT("'" &amp; AF$14 &amp; " Season Info'!J2:J15"), INDIRECT("'" &amp; AF$14 &amp; " Season Info'!C2:C15"), "",  0, 1)</f>
        <v/>
      </c>
      <c r="AG18" s="241" t="str" cm="1">
        <f t="array" aca="1" ref="AG18" ca="1">_xlfn.XLOOKUP($V18, INDIRECT("'" &amp; AF$14 &amp; " Season Info'!J2:J15"), INDIRECT("'" &amp; AF$14 &amp; " Season Info'!L2:L15"), "",  0, 1)</f>
        <v/>
      </c>
      <c r="AH18" s="248" t="e" cm="1">
        <f t="array" aca="1" ref="AH18" ca="1">IF(_xlfn.XLOOKUP($V18, INDIRECT("'" &amp; AF$14 &amp; " Season Info'!J2:J15"), INDIRECT("'" &amp; AF$14 &amp; " Season Info'!K2:K15"), "",  0, 1)="", NA(), _xlfn.XLOOKUP($V18, INDIRECT("'" &amp; AF$14 &amp; " Season Info'!J2:J15"), INDIRECT("'" &amp; AF$14 &amp; " Season Info'!K2:K15"), "",  0, 1))</f>
        <v>#N/A</v>
      </c>
      <c r="AI18" s="249">
        <f t="shared" ca="1" si="0"/>
        <v>14.100000000000001</v>
      </c>
      <c r="AJ18" s="326"/>
    </row>
    <row r="19" spans="1:36" x14ac:dyDescent="0.2">
      <c r="A19" s="145">
        <v>38435</v>
      </c>
      <c r="B19" s="144"/>
      <c r="C19" s="144"/>
      <c r="D19" s="144"/>
      <c r="E19" s="144">
        <v>11.2</v>
      </c>
      <c r="F19" s="144">
        <v>11.2</v>
      </c>
      <c r="H19" s="146">
        <v>1</v>
      </c>
      <c r="I19" s="144">
        <v>8.1</v>
      </c>
      <c r="J19" s="144">
        <v>7.89</v>
      </c>
      <c r="K19" s="144">
        <v>6.77</v>
      </c>
      <c r="L19" s="144">
        <v>11.2</v>
      </c>
      <c r="M19" s="144">
        <v>33.959999999999994</v>
      </c>
      <c r="O19" s="143" t="s">
        <v>687</v>
      </c>
      <c r="P19" s="144">
        <v>89.54</v>
      </c>
      <c r="Q19" s="144">
        <v>40.010000000000005</v>
      </c>
      <c r="R19" s="144">
        <v>12.17</v>
      </c>
      <c r="S19" s="144">
        <v>141.72</v>
      </c>
      <c r="U19" s="326"/>
      <c r="V19" s="245" t="s">
        <v>1040</v>
      </c>
      <c r="W19" s="243" cm="1">
        <f t="array" aca="1" ref="W19" ca="1">_xlfn.XLOOKUP($V19, INDIRECT("'" &amp; W$14 &amp; " Season Info'!J2:J15"), INDIRECT("'" &amp; W$14 &amp; " Season Info'!C2:C15"), "",  0, 1)</f>
        <v>2</v>
      </c>
      <c r="X19" s="223" cm="1">
        <f t="array" aca="1" ref="X19" ca="1">_xlfn.XLOOKUP($V19, INDIRECT("'" &amp; W$14 &amp; " Season Info'!J2:J15"), INDIRECT("'" &amp; W$14 &amp; " Season Info'!L2:L15"), "",  0, 1)</f>
        <v>6.5</v>
      </c>
      <c r="Y19" s="226" cm="1">
        <f t="array" aca="1" ref="Y19" ca="1">IF(_xlfn.XLOOKUP($V19, INDIRECT("'" &amp; W$14 &amp; " Season Info'!J2:J15"), INDIRECT("'" &amp; W$14 &amp; " Season Info'!K2:K15"), "",  0, 1)="", NA(), _xlfn.XLOOKUP($V19, INDIRECT("'" &amp; W$14 &amp; " Season Info'!J2:J15"), INDIRECT("'" &amp; W$14 &amp; " Season Info'!K2:K15"), "",  0, 1))</f>
        <v>111</v>
      </c>
      <c r="Z19" s="229" cm="1">
        <f t="array" aca="1" ref="Z19" ca="1">_xlfn.XLOOKUP($V19, INDIRECT("'" &amp; Z$14 &amp; " Season Info'!J2:J15"), INDIRECT("'" &amp; Z$14 &amp; " Season Info'!C2:C15"), "",  0, 1)</f>
        <v>4</v>
      </c>
      <c r="AA19" s="229" cm="1">
        <f t="array" aca="1" ref="AA19" ca="1">_xlfn.XLOOKUP($V19, INDIRECT("'" &amp; Z$14 &amp; " Season Info'!J2:J15"), INDIRECT("'" &amp; Z$14 &amp; " Season Info'!L2:L15"), "",  0, 1)</f>
        <v>8.0399999999999991</v>
      </c>
      <c r="AB19" s="232" cm="1">
        <f t="array" aca="1" ref="AB19" ca="1">IF(_xlfn.XLOOKUP($V19, INDIRECT("'" &amp; Z$14 &amp; " Season Info'!J2:J15"), INDIRECT("'" &amp; Z$14 &amp; " Season Info'!K2:K15"), "",  0, 1)="", NA(), _xlfn.XLOOKUP($V19, INDIRECT("'" &amp; Z$14 &amp; " Season Info'!J2:J15"), INDIRECT("'" &amp; Z$14 &amp; " Season Info'!K2:K15"), "",  0, 1))</f>
        <v>77</v>
      </c>
      <c r="AC19" s="235" t="str" cm="1">
        <f t="array" aca="1" ref="AC19" ca="1">_xlfn.XLOOKUP($V19, INDIRECT("'" &amp; AC$14 &amp; " Season Info'!J2:J15"), INDIRECT("'" &amp; AC$14 &amp; " Season Info'!C2:C15"), "",  0, 1)</f>
        <v/>
      </c>
      <c r="AD19" s="235" t="str" cm="1">
        <f t="array" aca="1" ref="AD19" ca="1">_xlfn.XLOOKUP($V19, INDIRECT("'" &amp; AC$14 &amp; " Season Info'!J2:J15"), INDIRECT("'" &amp; AC$14 &amp; " Season Info'!L2:L15"), "",  0, 1)</f>
        <v/>
      </c>
      <c r="AE19" s="238" t="e" cm="1">
        <f t="array" aca="1" ref="AE19" ca="1">IF(_xlfn.XLOOKUP($V19, INDIRECT("'" &amp; AC$14 &amp; " Season Info'!J2:J15"), INDIRECT("'" &amp; AC$14 &amp; " Season Info'!K2:K15"), "",  0, 1)="", NA(), _xlfn.XLOOKUP($V19, INDIRECT("'" &amp; AC$14 &amp; " Season Info'!J2:J15"), INDIRECT("'" &amp; AC$14 &amp; " Season Info'!K2:K15"), "",  0, 1))</f>
        <v>#N/A</v>
      </c>
      <c r="AF19" s="241" t="str" cm="1">
        <f t="array" aca="1" ref="AF19" ca="1">_xlfn.XLOOKUP($V19, INDIRECT("'" &amp; AF$14 &amp; " Season Info'!J2:J15"), INDIRECT("'" &amp; AF$14 &amp; " Season Info'!C2:C15"), "",  0, 1)</f>
        <v/>
      </c>
      <c r="AG19" s="241" t="str" cm="1">
        <f t="array" aca="1" ref="AG19" ca="1">_xlfn.XLOOKUP($V19, INDIRECT("'" &amp; AF$14 &amp; " Season Info'!J2:J15"), INDIRECT("'" &amp; AF$14 &amp; " Season Info'!L2:L15"), "",  0, 1)</f>
        <v/>
      </c>
      <c r="AH19" s="248" t="e" cm="1">
        <f t="array" aca="1" ref="AH19" ca="1">IF(_xlfn.XLOOKUP($V19, INDIRECT("'" &amp; AF$14 &amp; " Season Info'!J2:J15"), INDIRECT("'" &amp; AF$14 &amp; " Season Info'!K2:K15"), "",  0, 1)="", NA(), _xlfn.XLOOKUP($V19, INDIRECT("'" &amp; AF$14 &amp; " Season Info'!J2:J15"), INDIRECT("'" &amp; AF$14 &amp; " Season Info'!K2:K15"), "",  0, 1))</f>
        <v>#N/A</v>
      </c>
      <c r="AI19" s="249">
        <f t="shared" ca="1" si="0"/>
        <v>14.54</v>
      </c>
      <c r="AJ19" s="326"/>
    </row>
    <row r="20" spans="1:36" x14ac:dyDescent="0.2">
      <c r="A20" s="145">
        <v>38440</v>
      </c>
      <c r="B20" s="144"/>
      <c r="C20" s="144"/>
      <c r="D20" s="144"/>
      <c r="E20" s="144">
        <v>6</v>
      </c>
      <c r="F20" s="144">
        <v>6</v>
      </c>
      <c r="H20" s="146">
        <v>2</v>
      </c>
      <c r="I20" s="144">
        <v>5.7</v>
      </c>
      <c r="J20" s="144">
        <v>5.39</v>
      </c>
      <c r="K20" s="144">
        <v>5.92</v>
      </c>
      <c r="L20" s="144">
        <v>6</v>
      </c>
      <c r="M20" s="144">
        <v>23.009999999999998</v>
      </c>
      <c r="O20" s="143" t="s">
        <v>859</v>
      </c>
      <c r="P20" s="144">
        <v>83.47</v>
      </c>
      <c r="Q20" s="144">
        <v>51.120000000000005</v>
      </c>
      <c r="R20" s="144">
        <v>13.309999999999999</v>
      </c>
      <c r="S20" s="144">
        <v>147.9</v>
      </c>
      <c r="U20" s="326"/>
      <c r="V20" s="245" t="s">
        <v>886</v>
      </c>
      <c r="W20" s="243" cm="1">
        <f t="array" aca="1" ref="W20" ca="1">_xlfn.XLOOKUP($V20, INDIRECT("'" &amp; W$14 &amp; " Season Info'!J2:J15"), INDIRECT("'" &amp; W$14 &amp; " Season Info'!C2:C15"), "",  0, 1)</f>
        <v>3</v>
      </c>
      <c r="X20" s="223" cm="1">
        <f t="array" aca="1" ref="X20" ca="1">_xlfn.XLOOKUP($V20, INDIRECT("'" &amp; W$14 &amp; " Season Info'!J2:J15"), INDIRECT("'" &amp; W$14 &amp; " Season Info'!L2:L15"), "",  0, 1)</f>
        <v>7.5</v>
      </c>
      <c r="Y20" s="226" cm="1">
        <f t="array" aca="1" ref="Y20" ca="1">IF(_xlfn.XLOOKUP($V20, INDIRECT("'" &amp; W$14 &amp; " Season Info'!J2:J15"), INDIRECT("'" &amp; W$14 &amp; " Season Info'!K2:K15"), "",  0, 1)="", NA(), _xlfn.XLOOKUP($V20, INDIRECT("'" &amp; W$14 &amp; " Season Info'!J2:J15"), INDIRECT("'" &amp; W$14 &amp; " Season Info'!K2:K15"), "",  0, 1))</f>
        <v>69</v>
      </c>
      <c r="Z20" s="229" cm="1">
        <f t="array" aca="1" ref="Z20" ca="1">_xlfn.XLOOKUP($V20, INDIRECT("'" &amp; Z$14 &amp; " Season Info'!J2:J15"), INDIRECT("'" &amp; Z$14 &amp; " Season Info'!C2:C15"), "",  0, 1)</f>
        <v>5</v>
      </c>
      <c r="AA20" s="229" cm="1">
        <f t="array" aca="1" ref="AA20" ca="1">_xlfn.XLOOKUP($V20, INDIRECT("'" &amp; Z$14 &amp; " Season Info'!J2:J15"), INDIRECT("'" &amp; Z$14 &amp; " Season Info'!L2:L15"), "",  0, 1)</f>
        <v>9.0399999999999991</v>
      </c>
      <c r="AB20" s="232" cm="1">
        <f t="array" aca="1" ref="AB20" ca="1">IF(_xlfn.XLOOKUP($V20, INDIRECT("'" &amp; Z$14 &amp; " Season Info'!J2:J15"), INDIRECT("'" &amp; Z$14 &amp; " Season Info'!K2:K15"), "",  0, 1)="", NA(), _xlfn.XLOOKUP($V20, INDIRECT("'" &amp; Z$14 &amp; " Season Info'!J2:J15"), INDIRECT("'" &amp; Z$14 &amp; " Season Info'!K2:K15"), "",  0, 1))</f>
        <v>52</v>
      </c>
      <c r="AC20" s="235" cm="1">
        <f t="array" aca="1" ref="AC20" ca="1">_xlfn.XLOOKUP($V20, INDIRECT("'" &amp; AC$14 &amp; " Season Info'!J2:J15"), INDIRECT("'" &amp; AC$14 &amp; " Season Info'!C2:C15"), "",  0, 1)</f>
        <v>1</v>
      </c>
      <c r="AD20" s="235" cm="1">
        <f t="array" aca="1" ref="AD20" ca="1">_xlfn.XLOOKUP($V20, INDIRECT("'" &amp; AC$14 &amp; " Season Info'!J2:J15"), INDIRECT("'" &amp; AC$14 &amp; " Season Info'!L2:L15"), "",  0, 1)</f>
        <v>6</v>
      </c>
      <c r="AE20" s="238" cm="1">
        <f t="array" aca="1" ref="AE20" ca="1">IF(_xlfn.XLOOKUP($V20, INDIRECT("'" &amp; AC$14 &amp; " Season Info'!J2:J15"), INDIRECT("'" &amp; AC$14 &amp; " Season Info'!K2:K15"), "",  0, 1)="", NA(), _xlfn.XLOOKUP($V20, INDIRECT("'" &amp; AC$14 &amp; " Season Info'!J2:J15"), INDIRECT("'" &amp; AC$14 &amp; " Season Info'!K2:K15"), "",  0, 1))</f>
        <v>96</v>
      </c>
      <c r="AF20" s="241" t="str" cm="1">
        <f t="array" aca="1" ref="AF20" ca="1">_xlfn.XLOOKUP($V20, INDIRECT("'" &amp; AF$14 &amp; " Season Info'!J2:J15"), INDIRECT("'" &amp; AF$14 &amp; " Season Info'!C2:C15"), "",  0, 1)</f>
        <v/>
      </c>
      <c r="AG20" s="241" t="str" cm="1">
        <f t="array" aca="1" ref="AG20" ca="1">_xlfn.XLOOKUP($V20, INDIRECT("'" &amp; AF$14 &amp; " Season Info'!J2:J15"), INDIRECT("'" &amp; AF$14 &amp; " Season Info'!L2:L15"), "",  0, 1)</f>
        <v/>
      </c>
      <c r="AH20" s="248" t="e" cm="1">
        <f t="array" aca="1" ref="AH20" ca="1">IF(_xlfn.XLOOKUP($V20, INDIRECT("'" &amp; AF$14 &amp; " Season Info'!J2:J15"), INDIRECT("'" &amp; AF$14 &amp; " Season Info'!K2:K15"), "",  0, 1)="", NA(), _xlfn.XLOOKUP($V20, INDIRECT("'" &amp; AF$14 &amp; " Season Info'!J2:J15"), INDIRECT("'" &amp; AF$14 &amp; " Season Info'!K2:K15"), "",  0, 1))</f>
        <v>#N/A</v>
      </c>
      <c r="AI20" s="249">
        <f t="shared" ca="1" si="0"/>
        <v>22.54</v>
      </c>
      <c r="AJ20" s="326"/>
    </row>
    <row r="21" spans="1:36" x14ac:dyDescent="0.2">
      <c r="A21" s="145">
        <v>38447</v>
      </c>
      <c r="B21" s="144"/>
      <c r="C21" s="144"/>
      <c r="D21" s="144"/>
      <c r="E21" s="144">
        <v>5.8</v>
      </c>
      <c r="F21" s="144">
        <v>5.8</v>
      </c>
      <c r="H21" s="146">
        <v>3</v>
      </c>
      <c r="I21" s="144">
        <v>6</v>
      </c>
      <c r="J21" s="144">
        <v>5.86</v>
      </c>
      <c r="K21" s="144">
        <v>5.24</v>
      </c>
      <c r="L21" s="144">
        <v>5.8</v>
      </c>
      <c r="M21" s="144">
        <v>22.900000000000002</v>
      </c>
      <c r="O21" s="143" t="s">
        <v>243</v>
      </c>
      <c r="P21" s="144">
        <v>135.97000000000003</v>
      </c>
      <c r="Q21" s="144">
        <v>71.599999999999994</v>
      </c>
      <c r="R21" s="144">
        <v>17.45</v>
      </c>
      <c r="S21" s="144">
        <v>225.02</v>
      </c>
      <c r="U21" s="326"/>
      <c r="V21" s="245" t="s">
        <v>887</v>
      </c>
      <c r="W21" s="243" cm="1">
        <f t="array" aca="1" ref="W21" ca="1">_xlfn.XLOOKUP($V21, INDIRECT("'" &amp; W$14 &amp; " Season Info'!J2:J15"), INDIRECT("'" &amp; W$14 &amp; " Season Info'!C2:C15"), "",  0, 1)</f>
        <v>4</v>
      </c>
      <c r="X21" s="223" cm="1">
        <f t="array" aca="1" ref="X21" ca="1">_xlfn.XLOOKUP($V21, INDIRECT("'" &amp; W$14 &amp; " Season Info'!J2:J15"), INDIRECT("'" &amp; W$14 &amp; " Season Info'!L2:L15"), "",  0, 1)</f>
        <v>5.9</v>
      </c>
      <c r="Y21" s="226" cm="1">
        <f t="array" aca="1" ref="Y21" ca="1">IF(_xlfn.XLOOKUP($V21, INDIRECT("'" &amp; W$14 &amp; " Season Info'!J2:J15"), INDIRECT("'" &amp; W$14 &amp; " Season Info'!K2:K15"), "",  0, 1)="", NA(), _xlfn.XLOOKUP($V21, INDIRECT("'" &amp; W$14 &amp; " Season Info'!J2:J15"), INDIRECT("'" &amp; W$14 &amp; " Season Info'!K2:K15"), "",  0, 1))</f>
        <v>86</v>
      </c>
      <c r="Z21" s="229" cm="1">
        <f t="array" aca="1" ref="Z21" ca="1">_xlfn.XLOOKUP($V21, INDIRECT("'" &amp; Z$14 &amp; " Season Info'!J2:J15"), INDIRECT("'" &amp; Z$14 &amp; " Season Info'!C2:C15"), "",  0, 1)</f>
        <v>6</v>
      </c>
      <c r="AA21" s="229" cm="1">
        <f t="array" aca="1" ref="AA21" ca="1">_xlfn.XLOOKUP($V21, INDIRECT("'" &amp; Z$14 &amp; " Season Info'!J2:J15"), INDIRECT("'" &amp; Z$14 &amp; " Season Info'!L2:L15"), "",  0, 1)</f>
        <v>8.73</v>
      </c>
      <c r="AB21" s="232" cm="1">
        <f t="array" aca="1" ref="AB21" ca="1">IF(_xlfn.XLOOKUP($V21, INDIRECT("'" &amp; Z$14 &amp; " Season Info'!J2:J15"), INDIRECT("'" &amp; Z$14 &amp; " Season Info'!K2:K15"), "",  0, 1)="", NA(), _xlfn.XLOOKUP($V21, INDIRECT("'" &amp; Z$14 &amp; " Season Info'!J2:J15"), INDIRECT("'" &amp; Z$14 &amp; " Season Info'!K2:K15"), "",  0, 1))</f>
        <v>41</v>
      </c>
      <c r="AC21" s="235" cm="1">
        <f t="array" aca="1" ref="AC21" ca="1">_xlfn.XLOOKUP($V21, INDIRECT("'" &amp; AC$14 &amp; " Season Info'!J2:J15"), INDIRECT("'" &amp; AC$14 &amp; " Season Info'!C2:C15"), "",  0, 1)</f>
        <v>2</v>
      </c>
      <c r="AD21" s="235" cm="1">
        <f t="array" aca="1" ref="AD21" ca="1">_xlfn.XLOOKUP($V21, INDIRECT("'" &amp; AC$14 &amp; " Season Info'!J2:J15"), INDIRECT("'" &amp; AC$14 &amp; " Season Info'!L2:L15"), "",  0, 1)</f>
        <v>4.5999999999999996</v>
      </c>
      <c r="AE21" s="238" cm="1">
        <f t="array" aca="1" ref="AE21" ca="1">IF(_xlfn.XLOOKUP($V21, INDIRECT("'" &amp; AC$14 &amp; " Season Info'!J2:J15"), INDIRECT("'" &amp; AC$14 &amp; " Season Info'!K2:K15"), "",  0, 1)="", NA(), _xlfn.XLOOKUP($V21, INDIRECT("'" &amp; AC$14 &amp; " Season Info'!J2:J15"), INDIRECT("'" &amp; AC$14 &amp; " Season Info'!K2:K15"), "",  0, 1))</f>
        <v>108</v>
      </c>
      <c r="AF21" s="241" cm="1">
        <f t="array" aca="1" ref="AF21" ca="1">_xlfn.XLOOKUP($V21, INDIRECT("'" &amp; AF$14 &amp; " Season Info'!J2:J15"), INDIRECT("'" &amp; AF$14 &amp; " Season Info'!C2:C15"), "",  0, 1)</f>
        <v>1</v>
      </c>
      <c r="AG21" s="241" cm="1">
        <f t="array" aca="1" ref="AG21" ca="1">_xlfn.XLOOKUP($V21, INDIRECT("'" &amp; AF$14 &amp; " Season Info'!J2:J15"), INDIRECT("'" &amp; AF$14 &amp; " Season Info'!L2:L15"), "",  0, 1)</f>
        <v>5</v>
      </c>
      <c r="AH21" s="248" cm="1">
        <f t="array" aca="1" ref="AH21" ca="1">IF(_xlfn.XLOOKUP($V21, INDIRECT("'" &amp; AF$14 &amp; " Season Info'!J2:J15"), INDIRECT("'" &amp; AF$14 &amp; " Season Info'!K2:K15"), "",  0, 1)="", NA(), _xlfn.XLOOKUP($V21, INDIRECT("'" &amp; AF$14 &amp; " Season Info'!J2:J15"), INDIRECT("'" &amp; AF$14 &amp; " Season Info'!K2:K15"), "",  0, 1))</f>
        <v>97</v>
      </c>
      <c r="AI21" s="249">
        <f t="shared" ca="1" si="0"/>
        <v>24.23</v>
      </c>
      <c r="AJ21" s="326"/>
    </row>
    <row r="22" spans="1:36" x14ac:dyDescent="0.2">
      <c r="A22" s="145">
        <v>38454</v>
      </c>
      <c r="B22" s="144"/>
      <c r="C22" s="144"/>
      <c r="D22" s="144"/>
      <c r="E22" s="144">
        <v>5.4</v>
      </c>
      <c r="F22" s="144">
        <v>5.4</v>
      </c>
      <c r="H22" s="146">
        <v>4</v>
      </c>
      <c r="I22" s="144">
        <v>4.5999999999999996</v>
      </c>
      <c r="J22" s="144">
        <v>4.87</v>
      </c>
      <c r="K22" s="144">
        <v>5.29</v>
      </c>
      <c r="L22" s="144">
        <v>5.4</v>
      </c>
      <c r="M22" s="144">
        <v>20.159999999999997</v>
      </c>
      <c r="O22" s="143" t="s">
        <v>997</v>
      </c>
      <c r="P22" s="144">
        <v>416.28000000000003</v>
      </c>
      <c r="Q22" s="144">
        <v>208.54</v>
      </c>
      <c r="R22" s="144">
        <v>55.42</v>
      </c>
      <c r="S22" s="144">
        <v>680.24</v>
      </c>
      <c r="U22" s="326"/>
      <c r="V22" s="245" t="s">
        <v>888</v>
      </c>
      <c r="W22" s="243" cm="1">
        <f t="array" aca="1" ref="W22" ca="1">_xlfn.XLOOKUP($V22, INDIRECT("'" &amp; W$14 &amp; " Season Info'!J2:J15"), INDIRECT("'" &amp; W$14 &amp; " Season Info'!C2:C15"), "",  0, 1)</f>
        <v>5</v>
      </c>
      <c r="X22" s="223" cm="1">
        <f t="array" aca="1" ref="X22" ca="1">_xlfn.XLOOKUP($V22, INDIRECT("'" &amp; W$14 &amp; " Season Info'!J2:J15"), INDIRECT("'" &amp; W$14 &amp; " Season Info'!L2:L15"), "",  0, 1)</f>
        <v>5.3</v>
      </c>
      <c r="Y22" s="226" cm="1">
        <f t="array" aca="1" ref="Y22" ca="1">IF(_xlfn.XLOOKUP($V22, INDIRECT("'" &amp; W$14 &amp; " Season Info'!J2:J15"), INDIRECT("'" &amp; W$14 &amp; " Season Info'!K2:K15"), "",  0, 1)="", NA(), _xlfn.XLOOKUP($V22, INDIRECT("'" &amp; W$14 &amp; " Season Info'!J2:J15"), INDIRECT("'" &amp; W$14 &amp; " Season Info'!K2:K15"), "",  0, 1))</f>
        <v>106</v>
      </c>
      <c r="Z22" s="229" cm="1">
        <f t="array" aca="1" ref="Z22" ca="1">_xlfn.XLOOKUP($V22, INDIRECT("'" &amp; Z$14 &amp; " Season Info'!J2:J15"), INDIRECT("'" &amp; Z$14 &amp; " Season Info'!C2:C15"), "",  0, 1)</f>
        <v>7</v>
      </c>
      <c r="AA22" s="229" cm="1">
        <f t="array" aca="1" ref="AA22" ca="1">_xlfn.XLOOKUP($V22, INDIRECT("'" &amp; Z$14 &amp; " Season Info'!J2:J15"), INDIRECT("'" &amp; Z$14 &amp; " Season Info'!L2:L15"), "",  0, 1)</f>
        <v>7.73</v>
      </c>
      <c r="AB22" s="232" cm="1">
        <f t="array" aca="1" ref="AB22" ca="1">IF(_xlfn.XLOOKUP($V22, INDIRECT("'" &amp; Z$14 &amp; " Season Info'!J2:J15"), INDIRECT("'" &amp; Z$14 &amp; " Season Info'!K2:K15"), "",  0, 1)="", NA(), _xlfn.XLOOKUP($V22, INDIRECT("'" &amp; Z$14 &amp; " Season Info'!J2:J15"), INDIRECT("'" &amp; Z$14 &amp; " Season Info'!K2:K15"), "",  0, 1))</f>
        <v>53</v>
      </c>
      <c r="AC22" s="235" cm="1">
        <f t="array" aca="1" ref="AC22" ca="1">_xlfn.XLOOKUP($V22, INDIRECT("'" &amp; AC$14 &amp; " Season Info'!J2:J15"), INDIRECT("'" &amp; AC$14 &amp; " Season Info'!C2:C15"), "",  0, 1)</f>
        <v>3</v>
      </c>
      <c r="AD22" s="235" cm="1">
        <f t="array" aca="1" ref="AD22" ca="1">_xlfn.XLOOKUP($V22, INDIRECT("'" &amp; AC$14 &amp; " Season Info'!J2:J15"), INDIRECT("'" &amp; AC$14 &amp; " Season Info'!L2:L15"), "",  0, 1)</f>
        <v>5.0999999999999996</v>
      </c>
      <c r="AE22" s="238" cm="1">
        <f t="array" aca="1" ref="AE22" ca="1">IF(_xlfn.XLOOKUP($V22, INDIRECT("'" &amp; AC$14 &amp; " Season Info'!J2:J15"), INDIRECT("'" &amp; AC$14 &amp; " Season Info'!K2:K15"), "",  0, 1)="", NA(), _xlfn.XLOOKUP($V22, INDIRECT("'" &amp; AC$14 &amp; " Season Info'!J2:J15"), INDIRECT("'" &amp; AC$14 &amp; " Season Info'!K2:K15"), "",  0, 1))</f>
        <v>116</v>
      </c>
      <c r="AF22" s="241" cm="1">
        <f t="array" aca="1" ref="AF22" ca="1">_xlfn.XLOOKUP($V22, INDIRECT("'" &amp; AF$14 &amp; " Season Info'!J2:J15"), INDIRECT("'" &amp; AF$14 &amp; " Season Info'!C2:C15"), "",  0, 1)</f>
        <v>2</v>
      </c>
      <c r="AG22" s="241" cm="1">
        <f t="array" aca="1" ref="AG22" ca="1">_xlfn.XLOOKUP($V22, INDIRECT("'" &amp; AF$14 &amp; " Season Info'!J2:J15"), INDIRECT("'" &amp; AF$14 &amp; " Season Info'!L2:L15"), "",  0, 1)</f>
        <v>4.4400000000000004</v>
      </c>
      <c r="AH22" s="248" cm="1">
        <f t="array" aca="1" ref="AH22" ca="1">IF(_xlfn.XLOOKUP($V22, INDIRECT("'" &amp; AF$14 &amp; " Season Info'!J2:J15"), INDIRECT("'" &amp; AF$14 &amp; " Season Info'!K2:K15"), "",  0, 1)="", NA(), _xlfn.XLOOKUP($V22, INDIRECT("'" &amp; AF$14 &amp; " Season Info'!J2:J15"), INDIRECT("'" &amp; AF$14 &amp; " Season Info'!K2:K15"), "",  0, 1))</f>
        <v>138</v>
      </c>
      <c r="AI22" s="249">
        <f t="shared" ca="1" si="0"/>
        <v>22.570000000000004</v>
      </c>
      <c r="AJ22" s="326"/>
    </row>
    <row r="23" spans="1:36" x14ac:dyDescent="0.2">
      <c r="A23" s="145">
        <v>38461</v>
      </c>
      <c r="B23" s="144"/>
      <c r="C23" s="144"/>
      <c r="D23" s="144"/>
      <c r="E23" s="144">
        <v>5</v>
      </c>
      <c r="F23" s="144">
        <v>5</v>
      </c>
      <c r="H23" s="146">
        <v>5</v>
      </c>
      <c r="I23" s="144">
        <v>5.2</v>
      </c>
      <c r="J23" s="144">
        <v>5.01</v>
      </c>
      <c r="K23" s="144">
        <v>4.6399999999999997</v>
      </c>
      <c r="L23" s="144">
        <v>5</v>
      </c>
      <c r="M23" s="144">
        <v>19.850000000000001</v>
      </c>
      <c r="O23" s="125"/>
      <c r="P23" s="125"/>
      <c r="Q23" s="125"/>
      <c r="R23" s="125"/>
      <c r="S23" s="125"/>
      <c r="U23" s="326"/>
      <c r="V23" s="245" t="s">
        <v>889</v>
      </c>
      <c r="W23" s="243" cm="1">
        <f t="array" aca="1" ref="W23" ca="1">_xlfn.XLOOKUP($V23, INDIRECT("'" &amp; W$14 &amp; " Season Info'!J2:J15"), INDIRECT("'" &amp; W$14 &amp; " Season Info'!C2:C15"), "",  0, 1)</f>
        <v>6</v>
      </c>
      <c r="X23" s="223" cm="1">
        <f t="array" aca="1" ref="X23" ca="1">_xlfn.XLOOKUP($V23, INDIRECT("'" &amp; W$14 &amp; " Season Info'!J2:J15"), INDIRECT("'" &amp; W$14 &amp; " Season Info'!L2:L15"), "",  0, 1)</f>
        <v>4.5999999999999996</v>
      </c>
      <c r="Y23" s="226" cm="1">
        <f t="array" aca="1" ref="Y23" ca="1">IF(_xlfn.XLOOKUP($V23, INDIRECT("'" &amp; W$14 &amp; " Season Info'!J2:J15"), INDIRECT("'" &amp; W$14 &amp; " Season Info'!K2:K15"), "",  0, 1)="", NA(), _xlfn.XLOOKUP($V23, INDIRECT("'" &amp; W$14 &amp; " Season Info'!J2:J15"), INDIRECT("'" &amp; W$14 &amp; " Season Info'!K2:K15"), "",  0, 1))</f>
        <v>130</v>
      </c>
      <c r="Z23" s="229" cm="1">
        <f t="array" aca="1" ref="Z23" ca="1">_xlfn.XLOOKUP($V23, INDIRECT("'" &amp; Z$14 &amp; " Season Info'!J2:J15"), INDIRECT("'" &amp; Z$14 &amp; " Season Info'!C2:C15"), "",  0, 1)</f>
        <v>8</v>
      </c>
      <c r="AA23" s="229" cm="1">
        <f t="array" aca="1" ref="AA23" ca="1">_xlfn.XLOOKUP($V23, INDIRECT("'" &amp; Z$14 &amp; " Season Info'!J2:J15"), INDIRECT("'" &amp; Z$14 &amp; " Season Info'!L2:L15"), "",  0, 1)</f>
        <v>6.51</v>
      </c>
      <c r="AB23" s="232" cm="1">
        <f t="array" aca="1" ref="AB23" ca="1">IF(_xlfn.XLOOKUP($V23, INDIRECT("'" &amp; Z$14 &amp; " Season Info'!J2:J15"), INDIRECT("'" &amp; Z$14 &amp; " Season Info'!K2:K15"), "",  0, 1)="", NA(), _xlfn.XLOOKUP($V23, INDIRECT("'" &amp; Z$14 &amp; " Season Info'!J2:J15"), INDIRECT("'" &amp; Z$14 &amp; " Season Info'!K2:K15"), "",  0, 1))</f>
        <v>78</v>
      </c>
      <c r="AC23" s="235" cm="1">
        <f t="array" aca="1" ref="AC23" ca="1">_xlfn.XLOOKUP($V23, INDIRECT("'" &amp; AC$14 &amp; " Season Info'!J2:J15"), INDIRECT("'" &amp; AC$14 &amp; " Season Info'!C2:C15"), "",  0, 1)</f>
        <v>4</v>
      </c>
      <c r="AD23" s="235" cm="1">
        <f t="array" aca="1" ref="AD23" ca="1">_xlfn.XLOOKUP($V23, INDIRECT("'" &amp; AC$14 &amp; " Season Info'!J2:J15"), INDIRECT("'" &amp; AC$14 &amp; " Season Info'!L2:L15"), "",  0, 1)</f>
        <v>4.4000000000000004</v>
      </c>
      <c r="AE23" s="238" cm="1">
        <f t="array" aca="1" ref="AE23" ca="1">IF(_xlfn.XLOOKUP($V23, INDIRECT("'" &amp; AC$14 &amp; " Season Info'!J2:J15"), INDIRECT("'" &amp; AC$14 &amp; " Season Info'!K2:K15"), "",  0, 1)="", NA(), _xlfn.XLOOKUP($V23, INDIRECT("'" &amp; AC$14 &amp; " Season Info'!J2:J15"), INDIRECT("'" &amp; AC$14 &amp; " Season Info'!K2:K15"), "",  0, 1))</f>
        <v>134</v>
      </c>
      <c r="AF23" s="241" cm="1">
        <f t="array" aca="1" ref="AF23" ca="1">_xlfn.XLOOKUP($V23, INDIRECT("'" &amp; AF$14 &amp; " Season Info'!J2:J15"), INDIRECT("'" &amp; AF$14 &amp; " Season Info'!C2:C15"), "",  0, 1)</f>
        <v>3</v>
      </c>
      <c r="AG23" s="241" cm="1">
        <f t="array" aca="1" ref="AG23" ca="1">_xlfn.XLOOKUP($V23, INDIRECT("'" &amp; AF$14 &amp; " Season Info'!J2:J15"), INDIRECT("'" &amp; AF$14 &amp; " Season Info'!L2:L15"), "",  0, 1)</f>
        <v>4.03</v>
      </c>
      <c r="AH23" s="248" cm="1">
        <f t="array" aca="1" ref="AH23" ca="1">IF(_xlfn.XLOOKUP($V23, INDIRECT("'" &amp; AF$14 &amp; " Season Info'!J2:J15"), INDIRECT("'" &amp; AF$14 &amp; " Season Info'!K2:K15"), "",  0, 1)="", NA(), _xlfn.XLOOKUP($V23, INDIRECT("'" &amp; AF$14 &amp; " Season Info'!J2:J15"), INDIRECT("'" &amp; AF$14 &amp; " Season Info'!K2:K15"), "",  0, 1))</f>
        <v>144</v>
      </c>
      <c r="AI23" s="249">
        <f t="shared" ca="1" si="0"/>
        <v>19.54</v>
      </c>
      <c r="AJ23" s="326"/>
    </row>
    <row r="24" spans="1:36" x14ac:dyDescent="0.2">
      <c r="A24" s="145">
        <v>38468</v>
      </c>
      <c r="B24" s="144"/>
      <c r="C24" s="144"/>
      <c r="D24" s="144"/>
      <c r="E24" s="144">
        <v>4.8</v>
      </c>
      <c r="F24" s="144">
        <v>4.8</v>
      </c>
      <c r="H24" s="146">
        <v>6</v>
      </c>
      <c r="I24" s="144">
        <v>6</v>
      </c>
      <c r="J24" s="144">
        <v>5.18</v>
      </c>
      <c r="K24" s="144">
        <v>4.25</v>
      </c>
      <c r="L24" s="144">
        <v>4.8</v>
      </c>
      <c r="M24" s="144">
        <v>20.23</v>
      </c>
      <c r="O24" s="125"/>
      <c r="P24" s="125"/>
      <c r="Q24" s="125"/>
      <c r="R24" s="125"/>
      <c r="S24" s="125"/>
      <c r="U24" s="326"/>
      <c r="V24" s="245" t="s">
        <v>890</v>
      </c>
      <c r="W24" s="243" cm="1">
        <f t="array" aca="1" ref="W24" ca="1">_xlfn.XLOOKUP($V24, INDIRECT("'" &amp; W$14 &amp; " Season Info'!J2:J15"), INDIRECT("'" &amp; W$14 &amp; " Season Info'!C2:C15"), "",  0, 1)</f>
        <v>7</v>
      </c>
      <c r="X24" s="223" cm="1">
        <f t="array" aca="1" ref="X24" ca="1">_xlfn.XLOOKUP($V24, INDIRECT("'" &amp; W$14 &amp; " Season Info'!J2:J15"), INDIRECT("'" &amp; W$14 &amp; " Season Info'!L2:L15"), "",  0, 1)</f>
        <v>4.5999999999999996</v>
      </c>
      <c r="Y24" s="226" cm="1">
        <f t="array" aca="1" ref="Y24" ca="1">IF(_xlfn.XLOOKUP($V24, INDIRECT("'" &amp; W$14 &amp; " Season Info'!J2:J15"), INDIRECT("'" &amp; W$14 &amp; " Season Info'!K2:K15"), "",  0, 1)="", NA(), _xlfn.XLOOKUP($V24, INDIRECT("'" &amp; W$14 &amp; " Season Info'!J2:J15"), INDIRECT("'" &amp; W$14 &amp; " Season Info'!K2:K15"), "",  0, 1))</f>
        <v>99</v>
      </c>
      <c r="Z24" s="229" cm="1">
        <f t="array" aca="1" ref="Z24" ca="1">_xlfn.XLOOKUP($V24, INDIRECT("'" &amp; Z$14 &amp; " Season Info'!J2:J15"), INDIRECT("'" &amp; Z$14 &amp; " Season Info'!C2:C15"), "",  0, 1)</f>
        <v>9</v>
      </c>
      <c r="AA24" s="229" cm="1">
        <f t="array" aca="1" ref="AA24" ca="1">_xlfn.XLOOKUP($V24, INDIRECT("'" &amp; Z$14 &amp; " Season Info'!J2:J15"), INDIRECT("'" &amp; Z$14 &amp; " Season Info'!L2:L15"), "",  0, 1)</f>
        <v>5.0599999999999996</v>
      </c>
      <c r="AB24" s="232" cm="1">
        <f t="array" aca="1" ref="AB24" ca="1">IF(_xlfn.XLOOKUP($V24, INDIRECT("'" &amp; Z$14 &amp; " Season Info'!J2:J15"), INDIRECT("'" &amp; Z$14 &amp; " Season Info'!K2:K15"), "",  0, 1)="", NA(), _xlfn.XLOOKUP($V24, INDIRECT("'" &amp; Z$14 &amp; " Season Info'!J2:J15"), INDIRECT("'" &amp; Z$14 &amp; " Season Info'!K2:K15"), "",  0, 1))</f>
        <v>88</v>
      </c>
      <c r="AC24" s="235" cm="1">
        <f t="array" aca="1" ref="AC24" ca="1">_xlfn.XLOOKUP($V24, INDIRECT("'" &amp; AC$14 &amp; " Season Info'!J2:J15"), INDIRECT("'" &amp; AC$14 &amp; " Season Info'!C2:C15"), "",  0, 1)</f>
        <v>5</v>
      </c>
      <c r="AD24" s="235" cm="1">
        <f t="array" aca="1" ref="AD24" ca="1">_xlfn.XLOOKUP($V24, INDIRECT("'" &amp; AC$14 &amp; " Season Info'!J2:J15"), INDIRECT("'" &amp; AC$14 &amp; " Season Info'!L2:L15"), "",  0, 1)</f>
        <v>4.0599999999999996</v>
      </c>
      <c r="AE24" s="238" cm="1">
        <f t="array" aca="1" ref="AE24" ca="1">IF(_xlfn.XLOOKUP($V24, INDIRECT("'" &amp; AC$14 &amp; " Season Info'!J2:J15"), INDIRECT("'" &amp; AC$14 &amp; " Season Info'!K2:K15"), "",  0, 1)="", NA(), _xlfn.XLOOKUP($V24, INDIRECT("'" &amp; AC$14 &amp; " Season Info'!J2:J15"), INDIRECT("'" &amp; AC$14 &amp; " Season Info'!K2:K15"), "",  0, 1))</f>
        <v>111</v>
      </c>
      <c r="AF24" s="241" cm="1">
        <f t="array" aca="1" ref="AF24" ca="1">_xlfn.XLOOKUP($V24, INDIRECT("'" &amp; AF$14 &amp; " Season Info'!J2:J15"), INDIRECT("'" &amp; AF$14 &amp; " Season Info'!C2:C15"), "",  0, 1)</f>
        <v>4</v>
      </c>
      <c r="AG24" s="241" cm="1">
        <f t="array" aca="1" ref="AG24" ca="1">_xlfn.XLOOKUP($V24, INDIRECT("'" &amp; AF$14 &amp; " Season Info'!J2:J15"), INDIRECT("'" &amp; AF$14 &amp; " Season Info'!L2:L15"), "",  0, 1)</f>
        <v>3.58</v>
      </c>
      <c r="AH24" s="248" cm="1">
        <f t="array" aca="1" ref="AH24" ca="1">IF(_xlfn.XLOOKUP($V24, INDIRECT("'" &amp; AF$14 &amp; " Season Info'!J2:J15"), INDIRECT("'" &amp; AF$14 &amp; " Season Info'!K2:K15"), "",  0, 1)="", NA(), _xlfn.XLOOKUP($V24, INDIRECT("'" &amp; AF$14 &amp; " Season Info'!J2:J15"), INDIRECT("'" &amp; AF$14 &amp; " Season Info'!K2:K15"), "",  0, 1))</f>
        <v>133</v>
      </c>
      <c r="AI24" s="249">
        <f t="shared" ca="1" si="0"/>
        <v>17.299999999999997</v>
      </c>
      <c r="AJ24" s="326"/>
    </row>
    <row r="25" spans="1:36" x14ac:dyDescent="0.2">
      <c r="A25" s="145">
        <v>38615</v>
      </c>
      <c r="B25" s="144"/>
      <c r="C25" s="144"/>
      <c r="D25" s="144"/>
      <c r="E25" s="144">
        <v>9</v>
      </c>
      <c r="F25" s="144">
        <v>9</v>
      </c>
      <c r="H25" s="146">
        <v>7</v>
      </c>
      <c r="I25" s="144">
        <v>6.8</v>
      </c>
      <c r="J25" s="144">
        <v>5.32</v>
      </c>
      <c r="K25" s="144"/>
      <c r="L25" s="144"/>
      <c r="M25" s="144">
        <v>12.120000000000001</v>
      </c>
      <c r="O25" s="142" t="s">
        <v>1105</v>
      </c>
      <c r="P25" t="s">
        <v>1107</v>
      </c>
      <c r="Q25" s="125"/>
      <c r="R25" s="125"/>
      <c r="S25" s="125"/>
      <c r="U25" s="326"/>
      <c r="V25" s="245" t="s">
        <v>891</v>
      </c>
      <c r="W25" s="243" t="str" cm="1">
        <f t="array" aca="1" ref="W25" ca="1">_xlfn.XLOOKUP($V25, INDIRECT("'" &amp; W$14 &amp; " Season Info'!J2:J15"), INDIRECT("'" &amp; W$14 &amp; " Season Info'!C2:C15"), "",  0, 1)</f>
        <v/>
      </c>
      <c r="X25" s="223" t="str" cm="1">
        <f t="array" aca="1" ref="X25" ca="1">_xlfn.XLOOKUP($V25, INDIRECT("'" &amp; W$14 &amp; " Season Info'!J2:J15"), INDIRECT("'" &amp; W$14 &amp; " Season Info'!L2:L15"), "",  0, 1)</f>
        <v/>
      </c>
      <c r="Y25" s="226" t="e" cm="1">
        <f t="array" aca="1" ref="Y25" ca="1">IF(_xlfn.XLOOKUP($V25, INDIRECT("'" &amp; W$14 &amp; " Season Info'!J2:J15"), INDIRECT("'" &amp; W$14 &amp; " Season Info'!K2:K15"), "",  0, 1)="", NA(), _xlfn.XLOOKUP($V25, INDIRECT("'" &amp; W$14 &amp; " Season Info'!J2:J15"), INDIRECT("'" &amp; W$14 &amp; " Season Info'!K2:K15"), "",  0, 1))</f>
        <v>#N/A</v>
      </c>
      <c r="Z25" s="229" t="str" cm="1">
        <f t="array" aca="1" ref="Z25" ca="1">_xlfn.XLOOKUP($V25, INDIRECT("'" &amp; Z$14 &amp; " Season Info'!J2:J15"), INDIRECT("'" &amp; Z$14 &amp; " Season Info'!C2:C15"), "",  0, 1)</f>
        <v/>
      </c>
      <c r="AA25" s="229" t="str" cm="1">
        <f t="array" aca="1" ref="AA25" ca="1">_xlfn.XLOOKUP($V25, INDIRECT("'" &amp; Z$14 &amp; " Season Info'!J2:J15"), INDIRECT("'" &amp; Z$14 &amp; " Season Info'!L2:L15"), "",  0, 1)</f>
        <v/>
      </c>
      <c r="AB25" s="232" t="e" cm="1">
        <f t="array" aca="1" ref="AB25" ca="1">IF(_xlfn.XLOOKUP($V25, INDIRECT("'" &amp; Z$14 &amp; " Season Info'!J2:J15"), INDIRECT("'" &amp; Z$14 &amp; " Season Info'!K2:K15"), "",  0, 1)="", NA(), _xlfn.XLOOKUP($V25, INDIRECT("'" &amp; Z$14 &amp; " Season Info'!J2:J15"), INDIRECT("'" &amp; Z$14 &amp; " Season Info'!K2:K15"), "",  0, 1))</f>
        <v>#N/A</v>
      </c>
      <c r="AC25" s="235" cm="1">
        <f t="array" aca="1" ref="AC25" ca="1">_xlfn.XLOOKUP($V25, INDIRECT("'" &amp; AC$14 &amp; " Season Info'!J2:J15"), INDIRECT("'" &amp; AC$14 &amp; " Season Info'!C2:C15"), "",  0, 1)</f>
        <v>6</v>
      </c>
      <c r="AD25" s="235" cm="1">
        <f t="array" aca="1" ref="AD25" ca="1">_xlfn.XLOOKUP($V25, INDIRECT("'" &amp; AC$14 &amp; " Season Info'!J2:J15"), INDIRECT("'" &amp; AC$14 &amp; " Season Info'!L2:L15"), "",  0, 1)</f>
        <v>3.76</v>
      </c>
      <c r="AE25" s="238" cm="1">
        <f t="array" aca="1" ref="AE25" ca="1">IF(_xlfn.XLOOKUP($V25, INDIRECT("'" &amp; AC$14 &amp; " Season Info'!J2:J15"), INDIRECT("'" &amp; AC$14 &amp; " Season Info'!K2:K15"), "",  0, 1)="", NA(), _xlfn.XLOOKUP($V25, INDIRECT("'" &amp; AC$14 &amp; " Season Info'!J2:J15"), INDIRECT("'" &amp; AC$14 &amp; " Season Info'!K2:K15"), "",  0, 1))</f>
        <v>115</v>
      </c>
      <c r="AF25" s="241" cm="1">
        <f t="array" aca="1" ref="AF25" ca="1">_xlfn.XLOOKUP($V25, INDIRECT("'" &amp; AF$14 &amp; " Season Info'!J2:J15"), INDIRECT("'" &amp; AF$14 &amp; " Season Info'!C2:C15"), "",  0, 1)</f>
        <v>5</v>
      </c>
      <c r="AG25" s="241" cm="1">
        <f t="array" aca="1" ref="AG25" ca="1">_xlfn.XLOOKUP($V25, INDIRECT("'" &amp; AF$14 &amp; " Season Info'!J2:J15"), INDIRECT("'" &amp; AF$14 &amp; " Season Info'!L2:L15"), "",  0, 1)</f>
        <v>3</v>
      </c>
      <c r="AH25" s="248" cm="1">
        <f t="array" aca="1" ref="AH25" ca="1">IF(_xlfn.XLOOKUP($V25, INDIRECT("'" &amp; AF$14 &amp; " Season Info'!J2:J15"), INDIRECT("'" &amp; AF$14 &amp; " Season Info'!K2:K15"), "",  0, 1)="", NA(), _xlfn.XLOOKUP($V25, INDIRECT("'" &amp; AF$14 &amp; " Season Info'!J2:J15"), INDIRECT("'" &amp; AF$14 &amp; " Season Info'!K2:K15"), "",  0, 1))</f>
        <v>96</v>
      </c>
      <c r="AI25" s="249">
        <f t="shared" ca="1" si="0"/>
        <v>6.76</v>
      </c>
      <c r="AJ25" s="326"/>
    </row>
    <row r="26" spans="1:36" x14ac:dyDescent="0.2">
      <c r="A26" s="145">
        <v>38622</v>
      </c>
      <c r="B26" s="144"/>
      <c r="C26" s="144"/>
      <c r="D26" s="144"/>
      <c r="E26" s="144">
        <v>7.13</v>
      </c>
      <c r="F26" s="144">
        <v>7.13</v>
      </c>
      <c r="H26" s="146">
        <v>8</v>
      </c>
      <c r="I26" s="144">
        <v>5.9</v>
      </c>
      <c r="J26" s="144">
        <v>5.45</v>
      </c>
      <c r="K26" s="144"/>
      <c r="L26" s="144"/>
      <c r="M26" s="144">
        <v>11.350000000000001</v>
      </c>
      <c r="O26" s="125"/>
      <c r="P26" s="125"/>
      <c r="Q26" s="125"/>
      <c r="R26" s="125"/>
      <c r="S26" s="125"/>
      <c r="U26" s="326"/>
      <c r="V26" s="245" t="s">
        <v>892</v>
      </c>
      <c r="W26" s="243" t="str" cm="1">
        <f t="array" aca="1" ref="W26" ca="1">_xlfn.XLOOKUP($V26, INDIRECT("'" &amp; W$14 &amp; " Season Info'!J2:J15"), INDIRECT("'" &amp; W$14 &amp; " Season Info'!C2:C15"), "",  0, 1)</f>
        <v/>
      </c>
      <c r="X26" s="223" t="str" cm="1">
        <f t="array" aca="1" ref="X26" ca="1">_xlfn.XLOOKUP($V26, INDIRECT("'" &amp; W$14 &amp; " Season Info'!J2:J15"), INDIRECT("'" &amp; W$14 &amp; " Season Info'!L2:L15"), "",  0, 1)</f>
        <v/>
      </c>
      <c r="Y26" s="226" t="e" cm="1">
        <f t="array" aca="1" ref="Y26" ca="1">IF(_xlfn.XLOOKUP($V26, INDIRECT("'" &amp; W$14 &amp; " Season Info'!J2:J15"), INDIRECT("'" &amp; W$14 &amp; " Season Info'!K2:K15"), "",  0, 1)="", NA(), _xlfn.XLOOKUP($V26, INDIRECT("'" &amp; W$14 &amp; " Season Info'!J2:J15"), INDIRECT("'" &amp; W$14 &amp; " Season Info'!K2:K15"), "",  0, 1))</f>
        <v>#N/A</v>
      </c>
      <c r="Z26" s="229" t="str" cm="1">
        <f t="array" aca="1" ref="Z26" ca="1">_xlfn.XLOOKUP($V26, INDIRECT("'" &amp; Z$14 &amp; " Season Info'!J2:J15"), INDIRECT("'" &amp; Z$14 &amp; " Season Info'!C2:C15"), "",  0, 1)</f>
        <v/>
      </c>
      <c r="AA26" s="229" t="str" cm="1">
        <f t="array" aca="1" ref="AA26" ca="1">_xlfn.XLOOKUP($V26, INDIRECT("'" &amp; Z$14 &amp; " Season Info'!J2:J15"), INDIRECT("'" &amp; Z$14 &amp; " Season Info'!L2:L15"), "",  0, 1)</f>
        <v/>
      </c>
      <c r="AB26" s="232" t="e" cm="1">
        <f t="array" aca="1" ref="AB26" ca="1">IF(_xlfn.XLOOKUP($V26, INDIRECT("'" &amp; Z$14 &amp; " Season Info'!J2:J15"), INDIRECT("'" &amp; Z$14 &amp; " Season Info'!K2:K15"), "",  0, 1)="", NA(), _xlfn.XLOOKUP($V26, INDIRECT("'" &amp; Z$14 &amp; " Season Info'!J2:J15"), INDIRECT("'" &amp; Z$14 &amp; " Season Info'!K2:K15"), "",  0, 1))</f>
        <v>#N/A</v>
      </c>
      <c r="AC26" s="235" cm="1">
        <f t="array" aca="1" ref="AC26" ca="1">_xlfn.XLOOKUP($V26, INDIRECT("'" &amp; AC$14 &amp; " Season Info'!J2:J15"), INDIRECT("'" &amp; AC$14 &amp; " Season Info'!C2:C15"), "",  0, 1)</f>
        <v>7</v>
      </c>
      <c r="AD26" s="235" cm="1">
        <f t="array" aca="1" ref="AD26" ca="1">_xlfn.XLOOKUP($V26, INDIRECT("'" &amp; AC$14 &amp; " Season Info'!J2:J15"), INDIRECT("'" &amp; AC$14 &amp; " Season Info'!L2:L15"), "",  0, 1)</f>
        <v>4.57</v>
      </c>
      <c r="AE26" s="238" cm="1">
        <f t="array" aca="1" ref="AE26" ca="1">IF(_xlfn.XLOOKUP($V26, INDIRECT("'" &amp; AC$14 &amp; " Season Info'!J2:J15"), INDIRECT("'" &amp; AC$14 &amp; " Season Info'!K2:K15"), "",  0, 1)="", NA(), _xlfn.XLOOKUP($V26, INDIRECT("'" &amp; AC$14 &amp; " Season Info'!J2:J15"), INDIRECT("'" &amp; AC$14 &amp; " Season Info'!K2:K15"), "",  0, 1))</f>
        <v>119</v>
      </c>
      <c r="AF26" s="241" cm="1">
        <f t="array" aca="1" ref="AF26" ca="1">_xlfn.XLOOKUP($V26, INDIRECT("'" &amp; AF$14 &amp; " Season Info'!J2:J15"), INDIRECT("'" &amp; AF$14 &amp; " Season Info'!C2:C15"), "",  0, 1)</f>
        <v>6</v>
      </c>
      <c r="AG26" s="241" cm="1">
        <f t="array" aca="1" ref="AG26" ca="1">_xlfn.XLOOKUP($V26, INDIRECT("'" &amp; AF$14 &amp; " Season Info'!J2:J15"), INDIRECT("'" &amp; AF$14 &amp; " Season Info'!L2:L15"), "",  0, 1)</f>
        <v>0</v>
      </c>
      <c r="AH26" s="248" t="e" cm="1">
        <f t="array" aca="1" ref="AH26" ca="1">IF(_xlfn.XLOOKUP($V26, INDIRECT("'" &amp; AF$14 &amp; " Season Info'!J2:J15"), INDIRECT("'" &amp; AF$14 &amp; " Season Info'!K2:K15"), "",  0, 1)="", NA(), _xlfn.XLOOKUP($V26, INDIRECT("'" &amp; AF$14 &amp; " Season Info'!J2:J15"), INDIRECT("'" &amp; AF$14 &amp; " Season Info'!K2:K15"), "",  0, 1))</f>
        <v>#N/A</v>
      </c>
      <c r="AI26" s="249">
        <f t="shared" ca="1" si="0"/>
        <v>4.57</v>
      </c>
      <c r="AJ26" s="326"/>
    </row>
    <row r="27" spans="1:36" x14ac:dyDescent="0.2">
      <c r="A27" s="145">
        <v>38629</v>
      </c>
      <c r="B27" s="144"/>
      <c r="C27" s="144"/>
      <c r="D27" s="144"/>
      <c r="E27" s="144">
        <v>8.3000000000000007</v>
      </c>
      <c r="F27" s="144">
        <v>8.3000000000000007</v>
      </c>
      <c r="H27" s="146">
        <v>9</v>
      </c>
      <c r="I27" s="144">
        <v>5.9</v>
      </c>
      <c r="J27" s="144">
        <v>5.09</v>
      </c>
      <c r="K27" s="144"/>
      <c r="L27" s="144"/>
      <c r="M27" s="144">
        <v>10.99</v>
      </c>
      <c r="O27" s="142" t="s">
        <v>1011</v>
      </c>
      <c r="P27" s="142" t="s">
        <v>998</v>
      </c>
      <c r="Q27"/>
      <c r="R27" s="125"/>
      <c r="S27" s="125"/>
      <c r="U27" s="326"/>
      <c r="V27" s="326"/>
      <c r="W27" s="326"/>
      <c r="X27" s="326"/>
      <c r="Y27" s="326"/>
      <c r="Z27" s="326"/>
      <c r="AA27" s="326"/>
      <c r="AB27" s="326"/>
      <c r="AC27" s="326"/>
      <c r="AD27" s="326"/>
      <c r="AE27" s="326"/>
      <c r="AF27" s="326"/>
      <c r="AG27" s="326"/>
      <c r="AH27" s="326"/>
      <c r="AI27" s="326"/>
      <c r="AJ27" s="326"/>
    </row>
    <row r="28" spans="1:36" x14ac:dyDescent="0.2">
      <c r="A28" s="145">
        <v>38636</v>
      </c>
      <c r="B28" s="144"/>
      <c r="C28" s="144"/>
      <c r="D28" s="144"/>
      <c r="E28" s="144">
        <v>7.6</v>
      </c>
      <c r="F28" s="144">
        <v>7.6</v>
      </c>
      <c r="H28" s="146">
        <v>10</v>
      </c>
      <c r="I28" s="144">
        <v>6.1</v>
      </c>
      <c r="J28" s="144">
        <v>4.8600000000000003</v>
      </c>
      <c r="K28" s="144"/>
      <c r="L28" s="144"/>
      <c r="M28" s="144">
        <v>10.96</v>
      </c>
      <c r="O28" s="142" t="s">
        <v>996</v>
      </c>
      <c r="P28" t="s">
        <v>887</v>
      </c>
      <c r="Q28" t="s">
        <v>997</v>
      </c>
      <c r="R28" s="125"/>
      <c r="S28" s="125"/>
      <c r="U28" s="326"/>
      <c r="V28" s="326"/>
      <c r="W28" s="326"/>
      <c r="X28" s="326"/>
      <c r="Y28" s="326"/>
      <c r="Z28" s="326"/>
      <c r="AA28" s="326"/>
      <c r="AB28" s="326"/>
      <c r="AC28" s="326"/>
      <c r="AD28" s="326"/>
      <c r="AE28" s="326"/>
      <c r="AF28" s="326"/>
      <c r="AG28" s="326"/>
      <c r="AH28" s="326"/>
      <c r="AI28" s="326"/>
      <c r="AJ28" s="326"/>
    </row>
    <row r="29" spans="1:36" x14ac:dyDescent="0.2">
      <c r="A29" s="145">
        <v>38643</v>
      </c>
      <c r="B29" s="144"/>
      <c r="C29" s="144"/>
      <c r="D29" s="144"/>
      <c r="E29" s="144">
        <v>8</v>
      </c>
      <c r="F29" s="144">
        <v>8</v>
      </c>
      <c r="H29" s="146">
        <v>11</v>
      </c>
      <c r="I29" s="144">
        <v>5</v>
      </c>
      <c r="J29" s="144">
        <v>5.42</v>
      </c>
      <c r="K29" s="144"/>
      <c r="L29" s="144"/>
      <c r="M29" s="144">
        <v>10.42</v>
      </c>
      <c r="O29" s="143" t="s">
        <v>228</v>
      </c>
      <c r="P29" s="144">
        <v>107.3</v>
      </c>
      <c r="Q29" s="144">
        <v>107.3</v>
      </c>
      <c r="R29" s="125"/>
      <c r="S29" s="125"/>
    </row>
    <row r="30" spans="1:36" x14ac:dyDescent="0.2">
      <c r="A30" s="145">
        <v>38657</v>
      </c>
      <c r="B30" s="144"/>
      <c r="C30" s="144"/>
      <c r="D30" s="144"/>
      <c r="E30" s="144">
        <v>7.9</v>
      </c>
      <c r="F30" s="144">
        <v>7.9</v>
      </c>
      <c r="H30" s="146">
        <v>12</v>
      </c>
      <c r="I30" s="144">
        <v>5.7</v>
      </c>
      <c r="J30" s="144">
        <v>5.51</v>
      </c>
      <c r="K30" s="144"/>
      <c r="L30" s="144"/>
      <c r="M30" s="144">
        <v>11.21</v>
      </c>
      <c r="O30" s="143" t="s">
        <v>687</v>
      </c>
      <c r="P30" s="144">
        <v>89.54</v>
      </c>
      <c r="Q30" s="144">
        <v>89.54</v>
      </c>
      <c r="R30" s="125"/>
      <c r="S30" s="125"/>
      <c r="Y30"/>
      <c r="Z30"/>
      <c r="AA30"/>
    </row>
    <row r="31" spans="1:36" x14ac:dyDescent="0.2">
      <c r="A31" s="145">
        <v>38664</v>
      </c>
      <c r="B31" s="144"/>
      <c r="C31" s="144"/>
      <c r="D31" s="144"/>
      <c r="E31" s="144">
        <v>7.5</v>
      </c>
      <c r="F31" s="144">
        <v>7.5</v>
      </c>
      <c r="H31" s="146">
        <v>13</v>
      </c>
      <c r="I31" s="144">
        <v>5.2</v>
      </c>
      <c r="J31" s="144">
        <v>5.42</v>
      </c>
      <c r="K31" s="144"/>
      <c r="L31" s="144"/>
      <c r="M31" s="144">
        <v>10.620000000000001</v>
      </c>
      <c r="O31" s="143" t="s">
        <v>859</v>
      </c>
      <c r="P31" s="144">
        <v>83.47</v>
      </c>
      <c r="Q31" s="144">
        <v>83.47</v>
      </c>
      <c r="R31" s="125"/>
      <c r="S31" s="125"/>
    </row>
    <row r="32" spans="1:36" x14ac:dyDescent="0.2">
      <c r="A32" s="145">
        <v>38671</v>
      </c>
      <c r="B32" s="144"/>
      <c r="C32" s="144"/>
      <c r="D32" s="144"/>
      <c r="E32" s="144">
        <v>8</v>
      </c>
      <c r="F32" s="144">
        <v>8</v>
      </c>
      <c r="H32" s="146">
        <v>14</v>
      </c>
      <c r="I32" s="144">
        <v>5</v>
      </c>
      <c r="J32" s="144">
        <v>4.7300000000000004</v>
      </c>
      <c r="K32" s="144"/>
      <c r="L32" s="144"/>
      <c r="M32" s="144">
        <v>9.73</v>
      </c>
      <c r="O32" s="143" t="s">
        <v>243</v>
      </c>
      <c r="P32" s="144">
        <v>135.97000000000003</v>
      </c>
      <c r="Q32" s="144">
        <v>135.97000000000003</v>
      </c>
      <c r="R32" s="125"/>
      <c r="S32" s="125"/>
    </row>
    <row r="33" spans="1:19" x14ac:dyDescent="0.2">
      <c r="A33" s="145">
        <v>38678</v>
      </c>
      <c r="B33" s="144"/>
      <c r="C33" s="144"/>
      <c r="D33" s="144"/>
      <c r="E33" s="144">
        <v>8.1</v>
      </c>
      <c r="F33" s="144">
        <v>8.1</v>
      </c>
      <c r="H33" s="146">
        <v>15</v>
      </c>
      <c r="I33" s="144">
        <v>4.5999999999999996</v>
      </c>
      <c r="J33" s="144">
        <v>5.23</v>
      </c>
      <c r="K33" s="144"/>
      <c r="L33" s="144"/>
      <c r="M33" s="144">
        <v>9.83</v>
      </c>
      <c r="O33" s="143" t="s">
        <v>997</v>
      </c>
      <c r="P33" s="144">
        <v>416.28000000000003</v>
      </c>
      <c r="Q33" s="144">
        <v>416.28000000000003</v>
      </c>
      <c r="R33" s="125"/>
      <c r="S33" s="125"/>
    </row>
    <row r="34" spans="1:19" x14ac:dyDescent="0.2">
      <c r="A34" s="145">
        <v>38692</v>
      </c>
      <c r="B34" s="144"/>
      <c r="C34" s="144"/>
      <c r="D34" s="144"/>
      <c r="E34" s="144">
        <v>9.6999999999999993</v>
      </c>
      <c r="F34" s="144">
        <v>9.6999999999999993</v>
      </c>
      <c r="H34" s="146">
        <v>16</v>
      </c>
      <c r="I34" s="144">
        <v>5.7</v>
      </c>
      <c r="J34" s="144">
        <v>5.15</v>
      </c>
      <c r="K34" s="144"/>
      <c r="L34" s="144"/>
      <c r="M34" s="144">
        <v>10.850000000000001</v>
      </c>
      <c r="O34" s="125"/>
      <c r="P34" s="125"/>
      <c r="Q34" s="125"/>
      <c r="R34" s="125"/>
      <c r="S34" s="125"/>
    </row>
    <row r="35" spans="1:19" x14ac:dyDescent="0.2">
      <c r="A35" s="143" t="s">
        <v>1000</v>
      </c>
      <c r="B35" s="144">
        <v>48.29999999999999</v>
      </c>
      <c r="C35" s="144"/>
      <c r="D35" s="144"/>
      <c r="E35" s="144">
        <v>192.98000000000002</v>
      </c>
      <c r="F35" s="144">
        <v>241.28000000000003</v>
      </c>
      <c r="H35" s="146">
        <v>17</v>
      </c>
      <c r="I35" s="144">
        <v>5.2</v>
      </c>
      <c r="J35" s="144">
        <v>5.0599999999999996</v>
      </c>
      <c r="K35" s="144"/>
      <c r="L35" s="144"/>
      <c r="M35" s="144">
        <v>10.26</v>
      </c>
      <c r="O35" s="125"/>
      <c r="P35" s="125"/>
      <c r="Q35" s="125"/>
      <c r="R35" s="125"/>
      <c r="S35" s="125"/>
    </row>
    <row r="36" spans="1:19" x14ac:dyDescent="0.2">
      <c r="A36" s="145">
        <v>38722</v>
      </c>
      <c r="B36" s="144"/>
      <c r="C36" s="144"/>
      <c r="D36" s="144"/>
      <c r="E36" s="144">
        <v>8.6999999999999993</v>
      </c>
      <c r="F36" s="144">
        <v>8.6999999999999993</v>
      </c>
      <c r="H36" s="146">
        <v>18</v>
      </c>
      <c r="I36" s="144">
        <v>5.4</v>
      </c>
      <c r="J36" s="144">
        <v>4.7</v>
      </c>
      <c r="K36" s="144"/>
      <c r="L36" s="144"/>
      <c r="M36" s="144">
        <v>10.100000000000001</v>
      </c>
      <c r="O36" s="142" t="s">
        <v>1105</v>
      </c>
      <c r="P36" t="s">
        <v>1107</v>
      </c>
      <c r="Q36" s="125"/>
      <c r="R36" s="125"/>
      <c r="S36" s="125"/>
    </row>
    <row r="37" spans="1:19" x14ac:dyDescent="0.2">
      <c r="A37" s="145">
        <v>38729</v>
      </c>
      <c r="B37" s="144"/>
      <c r="C37" s="144"/>
      <c r="D37" s="144"/>
      <c r="E37" s="144">
        <v>10.3</v>
      </c>
      <c r="F37" s="144">
        <v>10.3</v>
      </c>
      <c r="H37" s="146">
        <v>19</v>
      </c>
      <c r="I37" s="144">
        <v>5.0999999999999996</v>
      </c>
      <c r="J37" s="144">
        <v>5.21</v>
      </c>
      <c r="K37" s="144"/>
      <c r="L37" s="144"/>
      <c r="M37" s="144">
        <v>10.309999999999999</v>
      </c>
      <c r="O37" s="125"/>
      <c r="P37" s="125"/>
      <c r="Q37" s="125"/>
      <c r="R37" s="125"/>
      <c r="S37" s="125"/>
    </row>
    <row r="38" spans="1:19" x14ac:dyDescent="0.2">
      <c r="A38" s="145">
        <v>38736</v>
      </c>
      <c r="B38" s="144"/>
      <c r="C38" s="144"/>
      <c r="D38" s="144"/>
      <c r="E38" s="144">
        <v>8.6999999999999993</v>
      </c>
      <c r="F38" s="144">
        <v>8.6999999999999993</v>
      </c>
      <c r="H38" s="146">
        <v>20</v>
      </c>
      <c r="I38" s="144">
        <v>5.2</v>
      </c>
      <c r="J38" s="144">
        <v>5.07</v>
      </c>
      <c r="K38" s="144"/>
      <c r="L38" s="144"/>
      <c r="M38" s="144">
        <v>10.27</v>
      </c>
      <c r="O38" s="142" t="s">
        <v>1011</v>
      </c>
      <c r="P38" s="142" t="s">
        <v>998</v>
      </c>
      <c r="Q38"/>
      <c r="R38" s="125"/>
      <c r="S38" s="125"/>
    </row>
    <row r="39" spans="1:19" x14ac:dyDescent="0.2">
      <c r="A39" s="145">
        <v>38743</v>
      </c>
      <c r="B39" s="144"/>
      <c r="C39" s="144"/>
      <c r="D39" s="144"/>
      <c r="E39" s="144">
        <v>8.6</v>
      </c>
      <c r="F39" s="144">
        <v>8.6</v>
      </c>
      <c r="H39" s="146">
        <v>21</v>
      </c>
      <c r="I39" s="144">
        <v>4.7</v>
      </c>
      <c r="J39" s="144">
        <v>3.67</v>
      </c>
      <c r="K39" s="144"/>
      <c r="L39" s="144"/>
      <c r="M39" s="144">
        <v>8.370000000000001</v>
      </c>
      <c r="O39" s="142" t="s">
        <v>996</v>
      </c>
      <c r="P39" t="s">
        <v>888</v>
      </c>
      <c r="Q39" t="s">
        <v>997</v>
      </c>
      <c r="R39" s="125"/>
      <c r="S39" s="125"/>
    </row>
    <row r="40" spans="1:19" x14ac:dyDescent="0.2">
      <c r="A40" s="145">
        <v>38750</v>
      </c>
      <c r="B40" s="144"/>
      <c r="C40" s="144"/>
      <c r="D40" s="144"/>
      <c r="E40" s="144">
        <v>5.42</v>
      </c>
      <c r="F40" s="144">
        <v>5.42</v>
      </c>
      <c r="H40" s="146">
        <v>22</v>
      </c>
      <c r="I40" s="144"/>
      <c r="J40" s="144">
        <v>4.3600000000000003</v>
      </c>
      <c r="K40" s="144"/>
      <c r="L40" s="144"/>
      <c r="M40" s="144">
        <v>4.3600000000000003</v>
      </c>
      <c r="O40" s="143" t="s">
        <v>228</v>
      </c>
      <c r="P40" s="144">
        <v>45.81</v>
      </c>
      <c r="Q40" s="144">
        <v>45.81</v>
      </c>
      <c r="R40" s="125"/>
      <c r="S40" s="125"/>
    </row>
    <row r="41" spans="1:19" x14ac:dyDescent="0.2">
      <c r="A41" s="145">
        <v>38757</v>
      </c>
      <c r="B41" s="144"/>
      <c r="C41" s="144"/>
      <c r="D41" s="144"/>
      <c r="E41" s="144">
        <v>8.9499999999999993</v>
      </c>
      <c r="F41" s="144">
        <v>8.9499999999999993</v>
      </c>
      <c r="H41" s="146">
        <v>23</v>
      </c>
      <c r="I41" s="144"/>
      <c r="J41" s="144">
        <v>4.3499999999999996</v>
      </c>
      <c r="K41" s="144"/>
      <c r="L41" s="144"/>
      <c r="M41" s="144">
        <v>4.3499999999999996</v>
      </c>
      <c r="O41" s="143" t="s">
        <v>687</v>
      </c>
      <c r="P41" s="144">
        <v>40.010000000000005</v>
      </c>
      <c r="Q41" s="144">
        <v>40.010000000000005</v>
      </c>
      <c r="R41" s="125"/>
      <c r="S41" s="125"/>
    </row>
    <row r="42" spans="1:19" x14ac:dyDescent="0.2">
      <c r="A42" s="145">
        <v>38778</v>
      </c>
      <c r="B42" s="144"/>
      <c r="C42" s="144"/>
      <c r="D42" s="144"/>
      <c r="E42" s="144">
        <v>8.4</v>
      </c>
      <c r="F42" s="144">
        <v>8.4</v>
      </c>
      <c r="H42" s="146">
        <v>24</v>
      </c>
      <c r="I42" s="144"/>
      <c r="J42" s="144">
        <v>4.49</v>
      </c>
      <c r="K42" s="144"/>
      <c r="L42" s="144"/>
      <c r="M42" s="144">
        <v>4.49</v>
      </c>
      <c r="O42" s="143" t="s">
        <v>859</v>
      </c>
      <c r="P42" s="144">
        <v>51.120000000000005</v>
      </c>
      <c r="Q42" s="144">
        <v>51.120000000000005</v>
      </c>
      <c r="R42" s="125"/>
      <c r="S42" s="125"/>
    </row>
    <row r="43" spans="1:19" x14ac:dyDescent="0.2">
      <c r="A43" s="145">
        <v>38792</v>
      </c>
      <c r="B43" s="144"/>
      <c r="C43" s="144"/>
      <c r="D43" s="144"/>
      <c r="E43" s="144">
        <v>8.8000000000000007</v>
      </c>
      <c r="F43" s="144">
        <v>8.8000000000000007</v>
      </c>
      <c r="H43" s="146">
        <v>25</v>
      </c>
      <c r="I43" s="144"/>
      <c r="J43" s="144">
        <v>4.41</v>
      </c>
      <c r="K43" s="144"/>
      <c r="L43" s="144"/>
      <c r="M43" s="144">
        <v>4.41</v>
      </c>
      <c r="O43" s="143" t="s">
        <v>243</v>
      </c>
      <c r="P43" s="144">
        <v>71.599999999999994</v>
      </c>
      <c r="Q43" s="144">
        <v>71.599999999999994</v>
      </c>
      <c r="R43" s="125"/>
      <c r="S43" s="125"/>
    </row>
    <row r="44" spans="1:19" x14ac:dyDescent="0.2">
      <c r="A44" s="145">
        <v>38806</v>
      </c>
      <c r="B44" s="144"/>
      <c r="C44" s="144"/>
      <c r="D44" s="144"/>
      <c r="E44" s="144">
        <v>7.8</v>
      </c>
      <c r="F44" s="144">
        <v>7.8</v>
      </c>
      <c r="H44" s="143" t="s">
        <v>220</v>
      </c>
      <c r="I44" s="144">
        <v>91.399999999999991</v>
      </c>
      <c r="J44" s="144">
        <v>101.86999999999999</v>
      </c>
      <c r="K44" s="144">
        <v>111.52</v>
      </c>
      <c r="L44" s="144">
        <v>179.70000000000005</v>
      </c>
      <c r="M44" s="144">
        <v>484.49</v>
      </c>
      <c r="O44" s="143" t="s">
        <v>997</v>
      </c>
      <c r="P44" s="144">
        <v>208.54</v>
      </c>
      <c r="Q44" s="144">
        <v>208.54</v>
      </c>
      <c r="R44" s="125"/>
      <c r="S44" s="125"/>
    </row>
    <row r="45" spans="1:19" x14ac:dyDescent="0.2">
      <c r="A45" s="145">
        <v>38834</v>
      </c>
      <c r="B45" s="144"/>
      <c r="C45" s="144"/>
      <c r="D45" s="144"/>
      <c r="E45" s="144">
        <v>7.8</v>
      </c>
      <c r="F45" s="144">
        <v>7.8</v>
      </c>
      <c r="H45" s="146">
        <v>1</v>
      </c>
      <c r="I45" s="144">
        <v>7.3</v>
      </c>
      <c r="J45" s="144">
        <v>5.01</v>
      </c>
      <c r="K45" s="144">
        <v>5</v>
      </c>
      <c r="L45" s="144">
        <v>9</v>
      </c>
      <c r="M45" s="144">
        <v>26.31</v>
      </c>
      <c r="O45" s="125"/>
      <c r="P45" s="125"/>
      <c r="Q45" s="125"/>
      <c r="R45" s="125"/>
      <c r="S45" s="125"/>
    </row>
    <row r="46" spans="1:19" x14ac:dyDescent="0.2">
      <c r="A46" s="145">
        <v>38841</v>
      </c>
      <c r="B46" s="144"/>
      <c r="C46" s="144"/>
      <c r="D46" s="144"/>
      <c r="E46" s="144">
        <v>7.4</v>
      </c>
      <c r="F46" s="144">
        <v>7.4</v>
      </c>
      <c r="H46" s="146">
        <v>2</v>
      </c>
      <c r="I46" s="144">
        <v>6.6</v>
      </c>
      <c r="J46" s="144">
        <v>4.53</v>
      </c>
      <c r="K46" s="144">
        <v>4.22</v>
      </c>
      <c r="L46" s="144">
        <v>7.13</v>
      </c>
      <c r="M46" s="144">
        <v>22.479999999999997</v>
      </c>
      <c r="O46" s="125"/>
      <c r="P46" s="125"/>
      <c r="Q46" s="125"/>
      <c r="R46" s="125"/>
      <c r="S46" s="125"/>
    </row>
    <row r="47" spans="1:19" x14ac:dyDescent="0.2">
      <c r="A47" s="145">
        <v>38848</v>
      </c>
      <c r="B47" s="144"/>
      <c r="C47" s="144"/>
      <c r="D47" s="144"/>
      <c r="E47" s="144">
        <v>7.6</v>
      </c>
      <c r="F47" s="144">
        <v>7.6</v>
      </c>
      <c r="H47" s="146">
        <v>3</v>
      </c>
      <c r="I47" s="144">
        <v>6.2</v>
      </c>
      <c r="J47" s="144">
        <v>4.2</v>
      </c>
      <c r="K47" s="144">
        <v>4.63</v>
      </c>
      <c r="L47" s="144">
        <v>8.3000000000000007</v>
      </c>
      <c r="M47" s="144">
        <v>23.330000000000002</v>
      </c>
      <c r="O47" s="142" t="s">
        <v>1105</v>
      </c>
      <c r="P47" t="s">
        <v>1107</v>
      </c>
      <c r="Q47" s="125"/>
      <c r="R47" s="125"/>
      <c r="S47" s="125"/>
    </row>
    <row r="48" spans="1:19" x14ac:dyDescent="0.2">
      <c r="A48" s="145">
        <v>38981</v>
      </c>
      <c r="B48" s="144"/>
      <c r="C48" s="144"/>
      <c r="D48" s="144"/>
      <c r="E48" s="144">
        <v>9.11</v>
      </c>
      <c r="F48" s="144">
        <v>9.11</v>
      </c>
      <c r="H48" s="146">
        <v>4</v>
      </c>
      <c r="I48" s="144">
        <v>6.5</v>
      </c>
      <c r="J48" s="144">
        <v>4.8099999999999996</v>
      </c>
      <c r="K48" s="144">
        <v>4.97</v>
      </c>
      <c r="L48" s="144">
        <v>7.6</v>
      </c>
      <c r="M48" s="144">
        <v>23.879999999999995</v>
      </c>
      <c r="O48" s="125"/>
      <c r="P48" s="125"/>
      <c r="Q48" s="125"/>
      <c r="R48" s="125"/>
      <c r="S48" s="125"/>
    </row>
    <row r="49" spans="1:23" x14ac:dyDescent="0.2">
      <c r="A49" s="145">
        <v>38988</v>
      </c>
      <c r="B49" s="144"/>
      <c r="C49" s="144"/>
      <c r="D49" s="144"/>
      <c r="E49" s="144">
        <v>7.78</v>
      </c>
      <c r="F49" s="144">
        <v>7.78</v>
      </c>
      <c r="H49" s="146">
        <v>5</v>
      </c>
      <c r="I49" s="144">
        <v>6.6</v>
      </c>
      <c r="J49" s="144">
        <v>4.46</v>
      </c>
      <c r="K49" s="144">
        <v>4.6900000000000004</v>
      </c>
      <c r="L49" s="144">
        <v>8</v>
      </c>
      <c r="M49" s="144">
        <v>23.75</v>
      </c>
      <c r="O49" s="142" t="s">
        <v>1011</v>
      </c>
      <c r="P49" s="142" t="s">
        <v>998</v>
      </c>
      <c r="Q49"/>
      <c r="R49" s="125"/>
      <c r="S49" s="125"/>
    </row>
    <row r="50" spans="1:23" x14ac:dyDescent="0.2">
      <c r="A50" s="145">
        <v>38995</v>
      </c>
      <c r="B50" s="144"/>
      <c r="C50" s="144"/>
      <c r="D50" s="144"/>
      <c r="E50" s="144">
        <v>8.89</v>
      </c>
      <c r="F50" s="144">
        <v>8.89</v>
      </c>
      <c r="H50" s="146">
        <v>6</v>
      </c>
      <c r="I50" s="144">
        <v>5.8</v>
      </c>
      <c r="J50" s="144">
        <v>5.64</v>
      </c>
      <c r="K50" s="144">
        <v>4.9800000000000004</v>
      </c>
      <c r="L50" s="144">
        <v>7.9</v>
      </c>
      <c r="M50" s="144">
        <v>24.32</v>
      </c>
      <c r="O50" s="142" t="s">
        <v>996</v>
      </c>
      <c r="P50" t="s">
        <v>889</v>
      </c>
      <c r="Q50" t="s">
        <v>997</v>
      </c>
      <c r="R50" s="125"/>
      <c r="S50" s="125"/>
    </row>
    <row r="51" spans="1:23" x14ac:dyDescent="0.2">
      <c r="A51" s="145">
        <v>39001</v>
      </c>
      <c r="B51" s="144">
        <v>8.1</v>
      </c>
      <c r="C51" s="144"/>
      <c r="D51" s="144"/>
      <c r="E51" s="144"/>
      <c r="F51" s="144">
        <v>8.1</v>
      </c>
      <c r="H51" s="146">
        <v>7</v>
      </c>
      <c r="I51" s="144">
        <v>6.4</v>
      </c>
      <c r="J51" s="144">
        <v>4.6100000000000003</v>
      </c>
      <c r="K51" s="144">
        <v>4.96</v>
      </c>
      <c r="L51" s="144">
        <v>7.5</v>
      </c>
      <c r="M51" s="144">
        <v>23.470000000000002</v>
      </c>
      <c r="O51" s="143" t="s">
        <v>228</v>
      </c>
      <c r="P51" s="144">
        <v>12.49</v>
      </c>
      <c r="Q51" s="144">
        <v>12.49</v>
      </c>
      <c r="R51" s="125"/>
      <c r="S51" s="125"/>
    </row>
    <row r="52" spans="1:23" x14ac:dyDescent="0.2">
      <c r="A52" s="145">
        <v>39002</v>
      </c>
      <c r="B52" s="144"/>
      <c r="C52" s="144"/>
      <c r="D52" s="144"/>
      <c r="E52" s="144">
        <v>8.83</v>
      </c>
      <c r="F52" s="144">
        <v>8.83</v>
      </c>
      <c r="H52" s="146">
        <v>8</v>
      </c>
      <c r="I52" s="144">
        <v>5.8</v>
      </c>
      <c r="J52" s="144">
        <v>4.53</v>
      </c>
      <c r="K52" s="144">
        <v>4.9400000000000004</v>
      </c>
      <c r="L52" s="144">
        <v>8</v>
      </c>
      <c r="M52" s="144">
        <v>23.27</v>
      </c>
      <c r="O52" s="143" t="s">
        <v>687</v>
      </c>
      <c r="P52" s="144">
        <v>12.17</v>
      </c>
      <c r="Q52" s="144">
        <v>12.17</v>
      </c>
      <c r="R52" s="125"/>
      <c r="S52" s="125"/>
    </row>
    <row r="53" spans="1:23" x14ac:dyDescent="0.2">
      <c r="A53" s="145">
        <v>39008</v>
      </c>
      <c r="B53" s="144">
        <v>5.7</v>
      </c>
      <c r="C53" s="144"/>
      <c r="D53" s="144"/>
      <c r="E53" s="144"/>
      <c r="F53" s="144">
        <v>5.7</v>
      </c>
      <c r="H53" s="146">
        <v>9</v>
      </c>
      <c r="I53" s="144">
        <v>5.6</v>
      </c>
      <c r="J53" s="144">
        <v>4.41</v>
      </c>
      <c r="K53" s="144">
        <v>4.67</v>
      </c>
      <c r="L53" s="144">
        <v>8.1</v>
      </c>
      <c r="M53" s="144">
        <v>22.78</v>
      </c>
      <c r="O53" s="143" t="s">
        <v>859</v>
      </c>
      <c r="P53" s="144">
        <v>13.309999999999999</v>
      </c>
      <c r="Q53" s="144">
        <v>13.309999999999999</v>
      </c>
      <c r="R53" s="125"/>
      <c r="S53" s="125"/>
    </row>
    <row r="54" spans="1:23" x14ac:dyDescent="0.2">
      <c r="A54" s="145">
        <v>39009</v>
      </c>
      <c r="B54" s="144"/>
      <c r="C54" s="144"/>
      <c r="D54" s="144"/>
      <c r="E54" s="144">
        <v>8.4600000000000009</v>
      </c>
      <c r="F54" s="144">
        <v>8.4600000000000009</v>
      </c>
      <c r="H54" s="146">
        <v>10</v>
      </c>
      <c r="I54" s="144">
        <v>6</v>
      </c>
      <c r="J54" s="144">
        <v>4.55</v>
      </c>
      <c r="K54" s="144">
        <v>4.6100000000000003</v>
      </c>
      <c r="L54" s="144">
        <v>9.6999999999999993</v>
      </c>
      <c r="M54" s="144">
        <v>24.86</v>
      </c>
      <c r="O54" s="143" t="s">
        <v>243</v>
      </c>
      <c r="P54" s="144">
        <v>17.45</v>
      </c>
      <c r="Q54" s="144">
        <v>17.45</v>
      </c>
      <c r="R54" s="125"/>
      <c r="S54" s="125"/>
    </row>
    <row r="55" spans="1:23" x14ac:dyDescent="0.2">
      <c r="A55" s="145">
        <v>39015</v>
      </c>
      <c r="B55" s="144">
        <v>6</v>
      </c>
      <c r="C55" s="144"/>
      <c r="D55" s="144"/>
      <c r="E55" s="144"/>
      <c r="F55" s="144">
        <v>6</v>
      </c>
      <c r="H55" s="146">
        <v>11</v>
      </c>
      <c r="I55" s="144">
        <v>5.7</v>
      </c>
      <c r="J55" s="144">
        <v>4.29</v>
      </c>
      <c r="K55" s="144">
        <v>4.83</v>
      </c>
      <c r="L55" s="144">
        <v>8.6999999999999993</v>
      </c>
      <c r="M55" s="144">
        <v>23.52</v>
      </c>
      <c r="O55" s="143" t="s">
        <v>997</v>
      </c>
      <c r="P55" s="144">
        <v>55.42</v>
      </c>
      <c r="Q55" s="144">
        <v>55.42</v>
      </c>
      <c r="R55" s="125"/>
      <c r="S55" s="125"/>
    </row>
    <row r="56" spans="1:23" x14ac:dyDescent="0.2">
      <c r="A56" s="145">
        <v>39022</v>
      </c>
      <c r="B56" s="144">
        <v>4.5999999999999996</v>
      </c>
      <c r="C56" s="144"/>
      <c r="D56" s="144"/>
      <c r="E56" s="144"/>
      <c r="F56" s="144">
        <v>4.5999999999999996</v>
      </c>
      <c r="H56" s="146">
        <v>12</v>
      </c>
      <c r="I56" s="144">
        <v>6.4</v>
      </c>
      <c r="J56" s="144">
        <v>4.7300000000000004</v>
      </c>
      <c r="K56" s="144">
        <v>4.9000000000000004</v>
      </c>
      <c r="L56" s="144">
        <v>10.3</v>
      </c>
      <c r="M56" s="144">
        <v>26.330000000000002</v>
      </c>
      <c r="O56" s="125"/>
      <c r="P56" s="125"/>
      <c r="Q56" s="125"/>
      <c r="R56" s="125"/>
      <c r="S56" s="125"/>
    </row>
    <row r="57" spans="1:23" x14ac:dyDescent="0.2">
      <c r="A57" s="145">
        <v>39023</v>
      </c>
      <c r="B57" s="144"/>
      <c r="C57" s="144"/>
      <c r="D57" s="144"/>
      <c r="E57" s="144">
        <v>8.81</v>
      </c>
      <c r="F57" s="144">
        <v>8.81</v>
      </c>
      <c r="H57" s="146">
        <v>13</v>
      </c>
      <c r="I57" s="144">
        <v>5.5</v>
      </c>
      <c r="J57" s="144">
        <v>4.59</v>
      </c>
      <c r="K57" s="144">
        <v>4.59</v>
      </c>
      <c r="L57" s="144">
        <v>8.6999999999999993</v>
      </c>
      <c r="M57" s="144">
        <v>23.38</v>
      </c>
      <c r="O57" s="125"/>
      <c r="P57" s="125"/>
      <c r="Q57" s="125"/>
      <c r="R57" s="125"/>
      <c r="S57" s="125"/>
    </row>
    <row r="58" spans="1:23" x14ac:dyDescent="0.2">
      <c r="A58" s="145">
        <v>39030</v>
      </c>
      <c r="B58" s="144"/>
      <c r="C58" s="144"/>
      <c r="D58" s="144"/>
      <c r="E58" s="144">
        <v>8.0500000000000007</v>
      </c>
      <c r="F58" s="144">
        <v>8.0500000000000007</v>
      </c>
      <c r="H58" s="146">
        <v>14</v>
      </c>
      <c r="I58" s="144">
        <v>5.4</v>
      </c>
      <c r="J58" s="144">
        <v>4.37</v>
      </c>
      <c r="K58" s="144">
        <v>4.3499999999999996</v>
      </c>
      <c r="L58" s="144">
        <v>8.6</v>
      </c>
      <c r="M58" s="144">
        <v>22.72</v>
      </c>
    </row>
    <row r="59" spans="1:23" x14ac:dyDescent="0.2">
      <c r="A59" s="145">
        <v>39037</v>
      </c>
      <c r="B59" s="144">
        <v>5.2</v>
      </c>
      <c r="C59" s="144"/>
      <c r="D59" s="144"/>
      <c r="E59" s="144">
        <v>8.6300000000000008</v>
      </c>
      <c r="F59" s="144">
        <v>13.830000000000002</v>
      </c>
      <c r="H59" s="146">
        <v>15</v>
      </c>
      <c r="I59" s="144">
        <v>5.6</v>
      </c>
      <c r="J59" s="144">
        <v>3.81</v>
      </c>
      <c r="K59" s="144">
        <v>4.87</v>
      </c>
      <c r="L59" s="144">
        <v>5.42</v>
      </c>
      <c r="M59" s="144">
        <v>19.700000000000003</v>
      </c>
    </row>
    <row r="60" spans="1:23" ht="24" x14ac:dyDescent="0.3">
      <c r="A60" s="145">
        <v>39051</v>
      </c>
      <c r="B60" s="144">
        <v>6</v>
      </c>
      <c r="C60" s="144"/>
      <c r="D60" s="144"/>
      <c r="E60" s="144">
        <v>9.07</v>
      </c>
      <c r="F60" s="144">
        <v>15.07</v>
      </c>
      <c r="H60" s="146">
        <v>16</v>
      </c>
      <c r="I60" s="144"/>
      <c r="J60" s="144">
        <v>4.1100000000000003</v>
      </c>
      <c r="K60" s="144">
        <v>4.9800000000000004</v>
      </c>
      <c r="L60" s="144">
        <v>8.9499999999999993</v>
      </c>
      <c r="M60" s="144">
        <v>18.04</v>
      </c>
      <c r="O60" s="333" t="s">
        <v>1099</v>
      </c>
      <c r="P60" s="334"/>
      <c r="Q60" s="334"/>
      <c r="R60" s="334"/>
      <c r="S60" s="334"/>
      <c r="T60" s="334"/>
      <c r="U60" s="334"/>
      <c r="V60" s="334"/>
      <c r="W60" s="334"/>
    </row>
    <row r="61" spans="1:23" x14ac:dyDescent="0.2">
      <c r="A61" s="145">
        <v>39058</v>
      </c>
      <c r="B61" s="144">
        <v>6.8</v>
      </c>
      <c r="C61" s="144"/>
      <c r="D61" s="144"/>
      <c r="E61" s="144"/>
      <c r="F61" s="144">
        <v>6.8</v>
      </c>
      <c r="H61" s="146">
        <v>17</v>
      </c>
      <c r="I61" s="144"/>
      <c r="J61" s="144">
        <v>3.79</v>
      </c>
      <c r="K61" s="144">
        <v>4.6399999999999997</v>
      </c>
      <c r="L61" s="144">
        <v>8.4</v>
      </c>
      <c r="M61" s="144">
        <v>16.829999999999998</v>
      </c>
      <c r="O61" s="142" t="s">
        <v>861</v>
      </c>
      <c r="P61" t="s">
        <v>1012</v>
      </c>
      <c r="Q61" s="220"/>
      <c r="R61" s="220"/>
      <c r="S61" s="220"/>
      <c r="T61" s="220"/>
      <c r="U61" s="220"/>
      <c r="V61" s="220"/>
      <c r="W61" s="220"/>
    </row>
    <row r="62" spans="1:23" x14ac:dyDescent="0.2">
      <c r="A62" s="145">
        <v>39065</v>
      </c>
      <c r="B62" s="144">
        <v>5.9</v>
      </c>
      <c r="C62" s="144"/>
      <c r="D62" s="144"/>
      <c r="E62" s="144">
        <v>16.88</v>
      </c>
      <c r="F62" s="144">
        <v>22.78</v>
      </c>
      <c r="H62" s="146">
        <v>18</v>
      </c>
      <c r="I62" s="144"/>
      <c r="J62" s="144">
        <v>4.1500000000000004</v>
      </c>
      <c r="K62" s="144">
        <v>4.6100000000000003</v>
      </c>
      <c r="L62" s="144">
        <v>8.8000000000000007</v>
      </c>
      <c r="M62" s="144">
        <v>17.560000000000002</v>
      </c>
      <c r="O62" s="142" t="s">
        <v>505</v>
      </c>
      <c r="P62" t="s">
        <v>1010</v>
      </c>
      <c r="Q62" s="220"/>
      <c r="R62" s="220"/>
      <c r="S62" s="220"/>
      <c r="T62" s="220"/>
      <c r="U62" s="220"/>
      <c r="V62" s="220"/>
      <c r="W62" s="220"/>
    </row>
    <row r="63" spans="1:23" x14ac:dyDescent="0.2">
      <c r="A63" s="143" t="s">
        <v>1001</v>
      </c>
      <c r="B63" s="144">
        <v>125.6</v>
      </c>
      <c r="C63" s="144"/>
      <c r="D63" s="144"/>
      <c r="E63" s="144">
        <v>222.89999999999998</v>
      </c>
      <c r="F63" s="144">
        <v>348.5</v>
      </c>
      <c r="H63" s="146">
        <v>19</v>
      </c>
      <c r="I63" s="144"/>
      <c r="J63" s="144">
        <v>4.46</v>
      </c>
      <c r="K63" s="144">
        <v>4.7</v>
      </c>
      <c r="L63" s="144">
        <v>7.8</v>
      </c>
      <c r="M63" s="144">
        <v>16.96</v>
      </c>
      <c r="O63" s="220"/>
      <c r="P63" s="220"/>
      <c r="Q63" s="220"/>
      <c r="R63" s="220"/>
      <c r="S63" s="220"/>
      <c r="T63" s="220"/>
      <c r="U63" s="220"/>
      <c r="V63" s="220"/>
      <c r="W63" s="220"/>
    </row>
    <row r="64" spans="1:23" x14ac:dyDescent="0.2">
      <c r="A64" s="145">
        <v>39086</v>
      </c>
      <c r="B64" s="144">
        <v>5.9</v>
      </c>
      <c r="C64" s="144"/>
      <c r="D64" s="144"/>
      <c r="E64" s="144">
        <v>8.8000000000000007</v>
      </c>
      <c r="F64" s="144">
        <v>14.700000000000001</v>
      </c>
      <c r="H64" s="146">
        <v>20</v>
      </c>
      <c r="I64" s="144"/>
      <c r="J64" s="144">
        <v>3.49</v>
      </c>
      <c r="K64" s="144">
        <v>4.49</v>
      </c>
      <c r="L64" s="144">
        <v>7.8</v>
      </c>
      <c r="M64" s="144">
        <v>15.780000000000001</v>
      </c>
      <c r="O64" s="142" t="s">
        <v>1011</v>
      </c>
      <c r="P64" s="142" t="s">
        <v>998</v>
      </c>
      <c r="Q64"/>
      <c r="R64"/>
      <c r="S64"/>
      <c r="T64"/>
      <c r="U64"/>
      <c r="V64"/>
      <c r="W64"/>
    </row>
    <row r="65" spans="1:23" x14ac:dyDescent="0.2">
      <c r="A65" s="145">
        <v>39093</v>
      </c>
      <c r="B65" s="144">
        <v>6.1</v>
      </c>
      <c r="C65" s="144"/>
      <c r="D65" s="144"/>
      <c r="E65" s="144">
        <v>10.119999999999999</v>
      </c>
      <c r="F65" s="144">
        <v>16.22</v>
      </c>
      <c r="H65" s="146">
        <v>21</v>
      </c>
      <c r="I65" s="144"/>
      <c r="J65" s="144">
        <v>3.17</v>
      </c>
      <c r="K65" s="144">
        <v>4.03</v>
      </c>
      <c r="L65" s="144">
        <v>7.4</v>
      </c>
      <c r="M65" s="144">
        <v>14.600000000000001</v>
      </c>
      <c r="O65" s="142" t="s">
        <v>996</v>
      </c>
      <c r="P65" s="147">
        <v>0.83333333333333337</v>
      </c>
      <c r="Q65" s="147">
        <v>0.85416666666666663</v>
      </c>
      <c r="R65" s="147">
        <v>0.875</v>
      </c>
      <c r="S65" s="147">
        <v>0.89583333333333337</v>
      </c>
      <c r="T65" s="147">
        <v>0.91666666666666663</v>
      </c>
      <c r="U65" s="147">
        <v>0.9375</v>
      </c>
      <c r="V65" s="147">
        <v>0.95833333333333337</v>
      </c>
      <c r="W65" t="s">
        <v>997</v>
      </c>
    </row>
    <row r="66" spans="1:23" x14ac:dyDescent="0.2">
      <c r="A66" s="145">
        <v>39100</v>
      </c>
      <c r="B66" s="144">
        <v>5</v>
      </c>
      <c r="C66" s="144"/>
      <c r="D66" s="144"/>
      <c r="E66" s="144">
        <v>10.199999999999999</v>
      </c>
      <c r="F66" s="144">
        <v>15.2</v>
      </c>
      <c r="H66" s="146">
        <v>22</v>
      </c>
      <c r="I66" s="144"/>
      <c r="J66" s="144">
        <v>3.35</v>
      </c>
      <c r="K66" s="144">
        <v>4.03</v>
      </c>
      <c r="L66" s="144">
        <v>7.6</v>
      </c>
      <c r="M66" s="144">
        <v>14.98</v>
      </c>
      <c r="O66" s="143" t="s">
        <v>999</v>
      </c>
      <c r="P66" s="144"/>
      <c r="Q66" s="144"/>
      <c r="R66" s="144"/>
      <c r="S66" s="144"/>
      <c r="T66" s="144"/>
      <c r="U66" s="144"/>
      <c r="V66" s="144"/>
      <c r="W66" s="144"/>
    </row>
    <row r="67" spans="1:23" x14ac:dyDescent="0.2">
      <c r="A67" s="145">
        <v>39114</v>
      </c>
      <c r="B67" s="144">
        <v>5.7</v>
      </c>
      <c r="C67" s="144"/>
      <c r="D67" s="144"/>
      <c r="E67" s="144">
        <v>10.11</v>
      </c>
      <c r="F67" s="144">
        <v>15.809999999999999</v>
      </c>
      <c r="H67" s="146">
        <v>23</v>
      </c>
      <c r="I67" s="144"/>
      <c r="J67" s="144">
        <v>3.49</v>
      </c>
      <c r="K67" s="144">
        <v>4.28</v>
      </c>
      <c r="L67" s="144"/>
      <c r="M67" s="144">
        <v>7.7700000000000005</v>
      </c>
      <c r="O67" s="145">
        <v>38435</v>
      </c>
      <c r="P67" s="144"/>
      <c r="Q67" s="144"/>
      <c r="R67" s="144"/>
      <c r="S67" s="144">
        <v>11.2</v>
      </c>
      <c r="T67" s="144"/>
      <c r="U67" s="144"/>
      <c r="V67" s="144"/>
      <c r="W67" s="144">
        <v>11.2</v>
      </c>
    </row>
    <row r="68" spans="1:23" x14ac:dyDescent="0.2">
      <c r="A68" s="145">
        <v>39121</v>
      </c>
      <c r="B68" s="144">
        <v>5.2</v>
      </c>
      <c r="C68" s="144"/>
      <c r="D68" s="144"/>
      <c r="E68" s="144">
        <v>8.84</v>
      </c>
      <c r="F68" s="144">
        <v>14.04</v>
      </c>
      <c r="H68" s="146">
        <v>24</v>
      </c>
      <c r="I68" s="144"/>
      <c r="J68" s="144">
        <v>3.32</v>
      </c>
      <c r="K68" s="144">
        <v>4.55</v>
      </c>
      <c r="L68" s="144"/>
      <c r="M68" s="144">
        <v>7.8699999999999992</v>
      </c>
      <c r="O68" s="143" t="s">
        <v>1000</v>
      </c>
      <c r="P68" s="144"/>
      <c r="Q68" s="144"/>
      <c r="R68" s="144"/>
      <c r="S68" s="144"/>
      <c r="T68" s="144"/>
      <c r="U68" s="144"/>
      <c r="V68" s="144"/>
      <c r="W68" s="144"/>
    </row>
    <row r="69" spans="1:23" x14ac:dyDescent="0.2">
      <c r="A69" s="145">
        <v>39128</v>
      </c>
      <c r="B69" s="144">
        <v>5</v>
      </c>
      <c r="C69" s="144"/>
      <c r="D69" s="144"/>
      <c r="E69" s="144">
        <v>8.84</v>
      </c>
      <c r="F69" s="144">
        <v>13.84</v>
      </c>
      <c r="H69" s="143" t="s">
        <v>221</v>
      </c>
      <c r="I69" s="144">
        <v>152.6</v>
      </c>
      <c r="J69" s="144">
        <v>75.17</v>
      </c>
      <c r="K69" s="144">
        <v>75.990000000000009</v>
      </c>
      <c r="L69" s="144">
        <v>211.69000000000003</v>
      </c>
      <c r="M69" s="144">
        <v>515.45000000000005</v>
      </c>
      <c r="O69" s="145">
        <v>38722</v>
      </c>
      <c r="P69" s="144"/>
      <c r="Q69" s="144"/>
      <c r="R69" s="144"/>
      <c r="S69" s="144">
        <v>8.6999999999999993</v>
      </c>
      <c r="T69" s="144"/>
      <c r="U69" s="144"/>
      <c r="V69" s="144"/>
      <c r="W69" s="144">
        <v>8.6999999999999993</v>
      </c>
    </row>
    <row r="70" spans="1:23" x14ac:dyDescent="0.2">
      <c r="A70" s="145">
        <v>39135</v>
      </c>
      <c r="B70" s="144">
        <v>4.5999999999999996</v>
      </c>
      <c r="C70" s="144"/>
      <c r="D70" s="144"/>
      <c r="E70" s="144">
        <v>8.3000000000000007</v>
      </c>
      <c r="F70" s="144">
        <v>12.9</v>
      </c>
      <c r="H70" s="146">
        <v>1</v>
      </c>
      <c r="I70" s="144">
        <v>8.6999999999999993</v>
      </c>
      <c r="J70" s="144">
        <v>3.93</v>
      </c>
      <c r="K70" s="144">
        <v>6.14</v>
      </c>
      <c r="L70" s="144">
        <v>9.11</v>
      </c>
      <c r="M70" s="144">
        <v>27.88</v>
      </c>
      <c r="O70" s="145">
        <v>38729</v>
      </c>
      <c r="P70" s="144"/>
      <c r="Q70" s="144"/>
      <c r="R70" s="144"/>
      <c r="S70" s="144">
        <v>10.3</v>
      </c>
      <c r="T70" s="144"/>
      <c r="U70" s="144"/>
      <c r="V70" s="144"/>
      <c r="W70" s="144">
        <v>10.3</v>
      </c>
    </row>
    <row r="71" spans="1:23" x14ac:dyDescent="0.2">
      <c r="A71" s="145">
        <v>39142</v>
      </c>
      <c r="B71" s="144">
        <v>5.7</v>
      </c>
      <c r="C71" s="144"/>
      <c r="D71" s="144"/>
      <c r="E71" s="144"/>
      <c r="F71" s="144">
        <v>5.7</v>
      </c>
      <c r="H71" s="146">
        <v>2</v>
      </c>
      <c r="I71" s="144">
        <v>8</v>
      </c>
      <c r="J71" s="144">
        <v>3.98</v>
      </c>
      <c r="K71" s="144">
        <v>5.83</v>
      </c>
      <c r="L71" s="144">
        <v>7.78</v>
      </c>
      <c r="M71" s="144">
        <v>25.590000000000003</v>
      </c>
      <c r="O71" s="145">
        <v>38736</v>
      </c>
      <c r="P71" s="144"/>
      <c r="Q71" s="144"/>
      <c r="R71" s="144"/>
      <c r="S71" s="144">
        <v>8.6999999999999993</v>
      </c>
      <c r="T71" s="144"/>
      <c r="U71" s="144"/>
      <c r="V71" s="144"/>
      <c r="W71" s="144">
        <v>8.6999999999999993</v>
      </c>
    </row>
    <row r="72" spans="1:23" x14ac:dyDescent="0.2">
      <c r="A72" s="145">
        <v>39149</v>
      </c>
      <c r="B72" s="144">
        <v>5.2</v>
      </c>
      <c r="C72" s="144"/>
      <c r="D72" s="144"/>
      <c r="E72" s="144"/>
      <c r="F72" s="144">
        <v>5.2</v>
      </c>
      <c r="H72" s="146">
        <v>3</v>
      </c>
      <c r="I72" s="144">
        <v>7.5</v>
      </c>
      <c r="J72" s="144">
        <v>3.35</v>
      </c>
      <c r="K72" s="144">
        <v>4.95</v>
      </c>
      <c r="L72" s="144">
        <v>8.89</v>
      </c>
      <c r="M72" s="144">
        <v>24.69</v>
      </c>
      <c r="O72" s="145">
        <v>38743</v>
      </c>
      <c r="P72" s="144"/>
      <c r="Q72" s="144"/>
      <c r="R72" s="144"/>
      <c r="S72" s="144">
        <v>8.6</v>
      </c>
      <c r="T72" s="144"/>
      <c r="U72" s="144"/>
      <c r="V72" s="144"/>
      <c r="W72" s="144">
        <v>8.6</v>
      </c>
    </row>
    <row r="73" spans="1:23" x14ac:dyDescent="0.2">
      <c r="A73" s="145">
        <v>39177</v>
      </c>
      <c r="B73" s="144">
        <v>5.4</v>
      </c>
      <c r="C73" s="144"/>
      <c r="D73" s="144"/>
      <c r="E73" s="144">
        <v>6.74</v>
      </c>
      <c r="F73" s="144">
        <v>12.14</v>
      </c>
      <c r="H73" s="146">
        <v>4</v>
      </c>
      <c r="I73" s="144">
        <v>7.3</v>
      </c>
      <c r="J73" s="144">
        <v>3.78</v>
      </c>
      <c r="K73" s="144">
        <v>5.03</v>
      </c>
      <c r="L73" s="144">
        <v>8.83</v>
      </c>
      <c r="M73" s="144">
        <v>24.939999999999998</v>
      </c>
      <c r="O73" s="145">
        <v>38750</v>
      </c>
      <c r="P73" s="144"/>
      <c r="Q73" s="144"/>
      <c r="R73" s="144"/>
      <c r="S73" s="144">
        <v>5.42</v>
      </c>
      <c r="T73" s="144"/>
      <c r="U73" s="144"/>
      <c r="V73" s="144"/>
      <c r="W73" s="144">
        <v>5.42</v>
      </c>
    </row>
    <row r="74" spans="1:23" x14ac:dyDescent="0.2">
      <c r="A74" s="145">
        <v>39184</v>
      </c>
      <c r="B74" s="144">
        <v>5.0999999999999996</v>
      </c>
      <c r="C74" s="144"/>
      <c r="D74" s="144"/>
      <c r="E74" s="144">
        <v>7.71</v>
      </c>
      <c r="F74" s="144">
        <v>12.809999999999999</v>
      </c>
      <c r="H74" s="146">
        <v>5</v>
      </c>
      <c r="I74" s="144">
        <v>7.1</v>
      </c>
      <c r="J74" s="144">
        <v>3.42</v>
      </c>
      <c r="K74" s="144">
        <v>4.33</v>
      </c>
      <c r="L74" s="144">
        <v>8.4600000000000009</v>
      </c>
      <c r="M74" s="144">
        <v>23.310000000000002</v>
      </c>
      <c r="O74" s="145">
        <v>38757</v>
      </c>
      <c r="P74" s="144"/>
      <c r="Q74" s="144"/>
      <c r="R74" s="144"/>
      <c r="S74" s="144">
        <v>8.9499999999999993</v>
      </c>
      <c r="T74" s="144"/>
      <c r="U74" s="144"/>
      <c r="V74" s="144"/>
      <c r="W74" s="144">
        <v>8.9499999999999993</v>
      </c>
    </row>
    <row r="75" spans="1:23" x14ac:dyDescent="0.2">
      <c r="A75" s="145">
        <v>39191</v>
      </c>
      <c r="B75" s="144">
        <v>5.2</v>
      </c>
      <c r="C75" s="144"/>
      <c r="D75" s="144"/>
      <c r="E75" s="144"/>
      <c r="F75" s="144">
        <v>5.2</v>
      </c>
      <c r="H75" s="146">
        <v>6</v>
      </c>
      <c r="I75" s="144">
        <v>8.9</v>
      </c>
      <c r="J75" s="144">
        <v>3.84</v>
      </c>
      <c r="K75" s="144">
        <v>4.59</v>
      </c>
      <c r="L75" s="144">
        <v>8.81</v>
      </c>
      <c r="M75" s="144">
        <v>26.14</v>
      </c>
      <c r="O75" s="145">
        <v>38778</v>
      </c>
      <c r="P75" s="144"/>
      <c r="Q75" s="144"/>
      <c r="R75" s="144"/>
      <c r="S75" s="144">
        <v>8.4</v>
      </c>
      <c r="T75" s="144"/>
      <c r="U75" s="144"/>
      <c r="V75" s="144"/>
      <c r="W75" s="144">
        <v>8.4</v>
      </c>
    </row>
    <row r="76" spans="1:23" x14ac:dyDescent="0.2">
      <c r="A76" s="145">
        <v>39198</v>
      </c>
      <c r="B76" s="144">
        <v>4.7</v>
      </c>
      <c r="C76" s="144"/>
      <c r="D76" s="144"/>
      <c r="E76" s="144">
        <v>7.56</v>
      </c>
      <c r="F76" s="144">
        <v>12.26</v>
      </c>
      <c r="H76" s="146">
        <v>7</v>
      </c>
      <c r="I76" s="144">
        <v>5.4</v>
      </c>
      <c r="J76" s="144">
        <v>3.49</v>
      </c>
      <c r="K76" s="144">
        <v>4.08</v>
      </c>
      <c r="L76" s="144">
        <v>8.0500000000000007</v>
      </c>
      <c r="M76" s="144">
        <v>21.020000000000003</v>
      </c>
      <c r="O76" s="145">
        <v>38792</v>
      </c>
      <c r="P76" s="144"/>
      <c r="Q76" s="144"/>
      <c r="R76" s="144"/>
      <c r="S76" s="144">
        <v>8.8000000000000007</v>
      </c>
      <c r="T76" s="144"/>
      <c r="U76" s="144"/>
      <c r="V76" s="144"/>
      <c r="W76" s="144">
        <v>8.8000000000000007</v>
      </c>
    </row>
    <row r="77" spans="1:23" x14ac:dyDescent="0.2">
      <c r="A77" s="145">
        <v>39205</v>
      </c>
      <c r="B77" s="144"/>
      <c r="C77" s="144"/>
      <c r="D77" s="144"/>
      <c r="E77" s="144">
        <v>7</v>
      </c>
      <c r="F77" s="144">
        <v>7</v>
      </c>
      <c r="H77" s="146">
        <v>8</v>
      </c>
      <c r="I77" s="144">
        <v>6.6</v>
      </c>
      <c r="J77" s="144">
        <v>3.62</v>
      </c>
      <c r="K77" s="144">
        <v>5.15</v>
      </c>
      <c r="L77" s="144">
        <v>8.6300000000000008</v>
      </c>
      <c r="M77" s="144">
        <v>24</v>
      </c>
      <c r="O77" s="145">
        <v>38806</v>
      </c>
      <c r="P77" s="144"/>
      <c r="Q77" s="144"/>
      <c r="R77" s="144"/>
      <c r="S77" s="144">
        <v>7.8</v>
      </c>
      <c r="T77" s="144"/>
      <c r="U77" s="144"/>
      <c r="V77" s="144"/>
      <c r="W77" s="144">
        <v>7.8</v>
      </c>
    </row>
    <row r="78" spans="1:23" x14ac:dyDescent="0.2">
      <c r="A78" s="145">
        <v>39212</v>
      </c>
      <c r="B78" s="144"/>
      <c r="C78" s="144"/>
      <c r="D78" s="144"/>
      <c r="E78" s="144">
        <v>7.2</v>
      </c>
      <c r="F78" s="144">
        <v>7.2</v>
      </c>
      <c r="H78" s="146">
        <v>9</v>
      </c>
      <c r="I78" s="144">
        <v>6.4</v>
      </c>
      <c r="J78" s="144">
        <v>3.74</v>
      </c>
      <c r="K78" s="144">
        <v>5.16</v>
      </c>
      <c r="L78" s="144">
        <v>9.07</v>
      </c>
      <c r="M78" s="144">
        <v>24.37</v>
      </c>
      <c r="O78" s="145">
        <v>38834</v>
      </c>
      <c r="P78" s="144"/>
      <c r="Q78" s="144"/>
      <c r="R78" s="144"/>
      <c r="S78" s="144">
        <v>7.8</v>
      </c>
      <c r="T78" s="144"/>
      <c r="U78" s="144"/>
      <c r="V78" s="144"/>
      <c r="W78" s="144">
        <v>7.8</v>
      </c>
    </row>
    <row r="79" spans="1:23" x14ac:dyDescent="0.2">
      <c r="A79" s="145">
        <v>39219</v>
      </c>
      <c r="B79" s="144"/>
      <c r="C79" s="144"/>
      <c r="D79" s="144"/>
      <c r="E79" s="144">
        <v>15.76</v>
      </c>
      <c r="F79" s="144">
        <v>15.76</v>
      </c>
      <c r="H79" s="146">
        <v>10</v>
      </c>
      <c r="I79" s="144">
        <v>6.4</v>
      </c>
      <c r="J79" s="144">
        <v>3.6</v>
      </c>
      <c r="K79" s="144">
        <v>4.88</v>
      </c>
      <c r="L79" s="144">
        <v>8.44</v>
      </c>
      <c r="M79" s="144">
        <v>23.32</v>
      </c>
      <c r="O79" s="145">
        <v>38841</v>
      </c>
      <c r="P79" s="144"/>
      <c r="Q79" s="144"/>
      <c r="R79" s="144"/>
      <c r="S79" s="144">
        <v>7.4</v>
      </c>
      <c r="T79" s="144"/>
      <c r="U79" s="144"/>
      <c r="V79" s="144"/>
      <c r="W79" s="144">
        <v>7.4</v>
      </c>
    </row>
    <row r="80" spans="1:23" x14ac:dyDescent="0.2">
      <c r="A80" s="145">
        <v>39352</v>
      </c>
      <c r="B80" s="144"/>
      <c r="C80" s="144"/>
      <c r="D80" s="144"/>
      <c r="E80" s="144">
        <v>19.399999999999999</v>
      </c>
      <c r="F80" s="144">
        <v>19.399999999999999</v>
      </c>
      <c r="H80" s="146">
        <v>11</v>
      </c>
      <c r="I80" s="144">
        <v>7.6</v>
      </c>
      <c r="J80" s="144">
        <v>4.75</v>
      </c>
      <c r="K80" s="144">
        <v>4.71</v>
      </c>
      <c r="L80" s="144">
        <v>8.44</v>
      </c>
      <c r="M80" s="144">
        <v>25.5</v>
      </c>
      <c r="O80" s="145">
        <v>38848</v>
      </c>
      <c r="P80" s="144"/>
      <c r="Q80" s="144"/>
      <c r="R80" s="144"/>
      <c r="S80" s="144">
        <v>7.6</v>
      </c>
      <c r="T80" s="144"/>
      <c r="U80" s="144"/>
      <c r="V80" s="144"/>
      <c r="W80" s="144">
        <v>7.6</v>
      </c>
    </row>
    <row r="81" spans="1:23" x14ac:dyDescent="0.2">
      <c r="A81" s="145">
        <v>39359</v>
      </c>
      <c r="B81" s="144">
        <v>7.3</v>
      </c>
      <c r="C81" s="144"/>
      <c r="D81" s="144"/>
      <c r="E81" s="144">
        <v>16.98</v>
      </c>
      <c r="F81" s="144">
        <v>24.28</v>
      </c>
      <c r="H81" s="146">
        <v>12</v>
      </c>
      <c r="I81" s="144">
        <v>6.4</v>
      </c>
      <c r="J81" s="144">
        <v>3.87</v>
      </c>
      <c r="K81" s="144">
        <v>5.0599999999999996</v>
      </c>
      <c r="L81" s="144">
        <v>8.8000000000000007</v>
      </c>
      <c r="M81" s="144">
        <v>24.13</v>
      </c>
      <c r="O81" s="145">
        <v>38981</v>
      </c>
      <c r="P81" s="144"/>
      <c r="Q81" s="144">
        <v>9.11</v>
      </c>
      <c r="R81" s="144"/>
      <c r="S81" s="144"/>
      <c r="T81" s="144"/>
      <c r="U81" s="144"/>
      <c r="V81" s="144"/>
      <c r="W81" s="144">
        <v>9.11</v>
      </c>
    </row>
    <row r="82" spans="1:23" x14ac:dyDescent="0.2">
      <c r="A82" s="145">
        <v>39366</v>
      </c>
      <c r="B82" s="144">
        <v>6.6</v>
      </c>
      <c r="C82" s="144"/>
      <c r="D82" s="144"/>
      <c r="E82" s="144">
        <v>17.82</v>
      </c>
      <c r="F82" s="144">
        <v>24.42</v>
      </c>
      <c r="H82" s="146">
        <v>13</v>
      </c>
      <c r="I82" s="144">
        <v>7.3</v>
      </c>
      <c r="J82" s="144">
        <v>3.48</v>
      </c>
      <c r="K82" s="144">
        <v>4.55</v>
      </c>
      <c r="L82" s="144">
        <v>10.119999999999999</v>
      </c>
      <c r="M82" s="144">
        <v>25.449999999999996</v>
      </c>
      <c r="O82" s="145">
        <v>38988</v>
      </c>
      <c r="P82" s="144"/>
      <c r="Q82" s="144">
        <v>7.78</v>
      </c>
      <c r="R82" s="144"/>
      <c r="S82" s="144"/>
      <c r="T82" s="144"/>
      <c r="U82" s="144"/>
      <c r="V82" s="144"/>
      <c r="W82" s="144">
        <v>7.78</v>
      </c>
    </row>
    <row r="83" spans="1:23" x14ac:dyDescent="0.2">
      <c r="A83" s="145">
        <v>39373</v>
      </c>
      <c r="B83" s="144">
        <v>6.2</v>
      </c>
      <c r="C83" s="144"/>
      <c r="D83" s="144"/>
      <c r="E83" s="144">
        <v>17</v>
      </c>
      <c r="F83" s="144">
        <v>23.2</v>
      </c>
      <c r="H83" s="146">
        <v>14</v>
      </c>
      <c r="I83" s="144">
        <v>6.4</v>
      </c>
      <c r="J83" s="144">
        <v>3</v>
      </c>
      <c r="K83" s="144">
        <v>3.54</v>
      </c>
      <c r="L83" s="144">
        <v>10.199999999999999</v>
      </c>
      <c r="M83" s="144">
        <v>23.14</v>
      </c>
      <c r="O83" s="145">
        <v>38995</v>
      </c>
      <c r="P83" s="144"/>
      <c r="Q83" s="144">
        <v>8.89</v>
      </c>
      <c r="R83" s="144"/>
      <c r="S83" s="144"/>
      <c r="T83" s="144"/>
      <c r="U83" s="144"/>
      <c r="V83" s="144"/>
      <c r="W83" s="144">
        <v>8.89</v>
      </c>
    </row>
    <row r="84" spans="1:23" x14ac:dyDescent="0.2">
      <c r="A84" s="145">
        <v>39380</v>
      </c>
      <c r="B84" s="144">
        <v>6.5</v>
      </c>
      <c r="C84" s="144"/>
      <c r="D84" s="144"/>
      <c r="E84" s="144">
        <v>8.98</v>
      </c>
      <c r="F84" s="144">
        <v>15.48</v>
      </c>
      <c r="H84" s="146">
        <v>15</v>
      </c>
      <c r="I84" s="144">
        <v>7.1</v>
      </c>
      <c r="J84" s="144">
        <v>3.09</v>
      </c>
      <c r="K84" s="144">
        <v>4.2699999999999996</v>
      </c>
      <c r="L84" s="144">
        <v>10.11</v>
      </c>
      <c r="M84" s="144">
        <v>24.57</v>
      </c>
      <c r="O84" s="145">
        <v>39002</v>
      </c>
      <c r="P84" s="144"/>
      <c r="Q84" s="144">
        <v>8.83</v>
      </c>
      <c r="R84" s="144"/>
      <c r="S84" s="144"/>
      <c r="T84" s="144"/>
      <c r="U84" s="144"/>
      <c r="V84" s="144"/>
      <c r="W84" s="144">
        <v>8.83</v>
      </c>
    </row>
    <row r="85" spans="1:23" x14ac:dyDescent="0.2">
      <c r="A85" s="145">
        <v>39387</v>
      </c>
      <c r="B85" s="144"/>
      <c r="C85" s="144"/>
      <c r="D85" s="144"/>
      <c r="E85" s="144">
        <v>8.39</v>
      </c>
      <c r="F85" s="144">
        <v>8.39</v>
      </c>
      <c r="H85" s="146">
        <v>16</v>
      </c>
      <c r="I85" s="144">
        <v>7.2</v>
      </c>
      <c r="J85" s="144">
        <v>2.77</v>
      </c>
      <c r="K85" s="144">
        <v>3.72</v>
      </c>
      <c r="L85" s="144">
        <v>8.84</v>
      </c>
      <c r="M85" s="144">
        <v>22.53</v>
      </c>
      <c r="O85" s="145">
        <v>39009</v>
      </c>
      <c r="P85" s="144"/>
      <c r="Q85" s="144">
        <v>8.4600000000000009</v>
      </c>
      <c r="R85" s="144"/>
      <c r="S85" s="144"/>
      <c r="T85" s="144"/>
      <c r="U85" s="144"/>
      <c r="V85" s="144"/>
      <c r="W85" s="144">
        <v>8.4600000000000009</v>
      </c>
    </row>
    <row r="86" spans="1:23" x14ac:dyDescent="0.2">
      <c r="A86" s="145">
        <v>39394</v>
      </c>
      <c r="B86" s="144">
        <v>6.6</v>
      </c>
      <c r="C86" s="144"/>
      <c r="D86" s="144"/>
      <c r="E86" s="144">
        <v>8.2899999999999991</v>
      </c>
      <c r="F86" s="144">
        <v>14.889999999999999</v>
      </c>
      <c r="H86" s="146">
        <v>17</v>
      </c>
      <c r="I86" s="144">
        <v>6.8</v>
      </c>
      <c r="J86" s="144">
        <v>3.21</v>
      </c>
      <c r="K86" s="144"/>
      <c r="L86" s="144">
        <v>8.84</v>
      </c>
      <c r="M86" s="144">
        <v>18.850000000000001</v>
      </c>
      <c r="O86" s="145">
        <v>39023</v>
      </c>
      <c r="P86" s="144"/>
      <c r="Q86" s="144">
        <v>8.81</v>
      </c>
      <c r="R86" s="144"/>
      <c r="S86" s="144"/>
      <c r="T86" s="144"/>
      <c r="U86" s="144"/>
      <c r="V86" s="144"/>
      <c r="W86" s="144">
        <v>8.81</v>
      </c>
    </row>
    <row r="87" spans="1:23" x14ac:dyDescent="0.2">
      <c r="A87" s="145">
        <v>39401</v>
      </c>
      <c r="B87" s="144">
        <v>5.8</v>
      </c>
      <c r="C87" s="144"/>
      <c r="D87" s="144"/>
      <c r="E87" s="144">
        <v>8.86</v>
      </c>
      <c r="F87" s="144">
        <v>14.66</v>
      </c>
      <c r="H87" s="146">
        <v>18</v>
      </c>
      <c r="I87" s="144">
        <v>7.3</v>
      </c>
      <c r="J87" s="144">
        <v>3.2</v>
      </c>
      <c r="K87" s="144"/>
      <c r="L87" s="144">
        <v>8.3000000000000007</v>
      </c>
      <c r="M87" s="144">
        <v>18.8</v>
      </c>
      <c r="O87" s="145">
        <v>39030</v>
      </c>
      <c r="P87" s="144"/>
      <c r="Q87" s="144">
        <v>8.0500000000000007</v>
      </c>
      <c r="R87" s="144"/>
      <c r="S87" s="144"/>
      <c r="T87" s="144"/>
      <c r="U87" s="144"/>
      <c r="V87" s="144"/>
      <c r="W87" s="144">
        <v>8.0500000000000007</v>
      </c>
    </row>
    <row r="88" spans="1:23" x14ac:dyDescent="0.2">
      <c r="A88" s="145">
        <v>39415</v>
      </c>
      <c r="B88" s="144">
        <v>6.4</v>
      </c>
      <c r="C88" s="144"/>
      <c r="D88" s="144"/>
      <c r="E88" s="144"/>
      <c r="F88" s="144">
        <v>6.4</v>
      </c>
      <c r="H88" s="146">
        <v>19</v>
      </c>
      <c r="I88" s="144">
        <v>6.3</v>
      </c>
      <c r="J88" s="144">
        <v>2.99</v>
      </c>
      <c r="K88" s="144"/>
      <c r="L88" s="144">
        <v>6.74</v>
      </c>
      <c r="M88" s="144">
        <v>16.03</v>
      </c>
      <c r="O88" s="145">
        <v>39037</v>
      </c>
      <c r="P88" s="144"/>
      <c r="Q88" s="144">
        <v>8.6300000000000008</v>
      </c>
      <c r="R88" s="144"/>
      <c r="S88" s="144">
        <v>5.2</v>
      </c>
      <c r="T88" s="144"/>
      <c r="U88" s="144"/>
      <c r="V88" s="144"/>
      <c r="W88" s="144">
        <v>13.830000000000002</v>
      </c>
    </row>
    <row r="89" spans="1:23" x14ac:dyDescent="0.2">
      <c r="A89" s="145">
        <v>39422</v>
      </c>
      <c r="B89" s="144">
        <v>5.8</v>
      </c>
      <c r="C89" s="144"/>
      <c r="D89" s="144"/>
      <c r="E89" s="144"/>
      <c r="F89" s="144">
        <v>5.8</v>
      </c>
      <c r="H89" s="146">
        <v>20</v>
      </c>
      <c r="I89" s="144">
        <v>6</v>
      </c>
      <c r="J89" s="144">
        <v>2.97</v>
      </c>
      <c r="K89" s="144"/>
      <c r="L89" s="144">
        <v>7.71</v>
      </c>
      <c r="M89" s="144">
        <v>16.68</v>
      </c>
      <c r="O89" s="145">
        <v>39051</v>
      </c>
      <c r="P89" s="144"/>
      <c r="Q89" s="144">
        <v>9.07</v>
      </c>
      <c r="R89" s="144"/>
      <c r="S89" s="144">
        <v>6</v>
      </c>
      <c r="T89" s="144"/>
      <c r="U89" s="144"/>
      <c r="V89" s="144"/>
      <c r="W89" s="144">
        <v>15.07</v>
      </c>
    </row>
    <row r="90" spans="1:23" x14ac:dyDescent="0.2">
      <c r="A90" s="145">
        <v>39429</v>
      </c>
      <c r="B90" s="144">
        <v>5.6</v>
      </c>
      <c r="C90" s="144"/>
      <c r="D90" s="144"/>
      <c r="E90" s="144"/>
      <c r="F90" s="144">
        <v>5.6</v>
      </c>
      <c r="H90" s="146">
        <v>21</v>
      </c>
      <c r="I90" s="144">
        <v>6.2</v>
      </c>
      <c r="J90" s="144">
        <v>2.61</v>
      </c>
      <c r="K90" s="144"/>
      <c r="L90" s="144">
        <v>7.56</v>
      </c>
      <c r="M90" s="144">
        <v>16.37</v>
      </c>
      <c r="O90" s="145">
        <v>39058</v>
      </c>
      <c r="P90" s="144"/>
      <c r="Q90" s="144"/>
      <c r="R90" s="144"/>
      <c r="S90" s="144">
        <v>6.8</v>
      </c>
      <c r="T90" s="144"/>
      <c r="U90" s="144"/>
      <c r="V90" s="144"/>
      <c r="W90" s="144">
        <v>6.8</v>
      </c>
    </row>
    <row r="91" spans="1:23" x14ac:dyDescent="0.2">
      <c r="A91" s="143" t="s">
        <v>1002</v>
      </c>
      <c r="B91" s="144">
        <v>82.1</v>
      </c>
      <c r="C91" s="144"/>
      <c r="D91" s="144"/>
      <c r="E91" s="144">
        <v>152.19</v>
      </c>
      <c r="F91" s="144">
        <v>234.29000000000002</v>
      </c>
      <c r="H91" s="146">
        <v>22</v>
      </c>
      <c r="I91" s="144">
        <v>5.7</v>
      </c>
      <c r="J91" s="144">
        <v>2.48</v>
      </c>
      <c r="K91" s="144"/>
      <c r="L91" s="144">
        <v>7</v>
      </c>
      <c r="M91" s="144">
        <v>15.18</v>
      </c>
      <c r="O91" s="145">
        <v>39065</v>
      </c>
      <c r="P91" s="144"/>
      <c r="Q91" s="144">
        <v>8.44</v>
      </c>
      <c r="R91" s="144">
        <v>8.44</v>
      </c>
      <c r="S91" s="144">
        <v>5.9</v>
      </c>
      <c r="T91" s="144"/>
      <c r="U91" s="144"/>
      <c r="V91" s="144"/>
      <c r="W91" s="144">
        <v>22.78</v>
      </c>
    </row>
    <row r="92" spans="1:23" x14ac:dyDescent="0.2">
      <c r="A92" s="145">
        <v>39457</v>
      </c>
      <c r="B92" s="144">
        <v>6</v>
      </c>
      <c r="C92" s="144"/>
      <c r="D92" s="144"/>
      <c r="E92" s="144"/>
      <c r="F92" s="144">
        <v>6</v>
      </c>
      <c r="H92" s="146">
        <v>23</v>
      </c>
      <c r="I92" s="144"/>
      <c r="J92" s="144"/>
      <c r="K92" s="144"/>
      <c r="L92" s="144">
        <v>7.2</v>
      </c>
      <c r="M92" s="144">
        <v>7.2</v>
      </c>
      <c r="O92" s="143" t="s">
        <v>1001</v>
      </c>
      <c r="P92" s="144"/>
      <c r="Q92" s="144"/>
      <c r="R92" s="144"/>
      <c r="S92" s="144"/>
      <c r="T92" s="144"/>
      <c r="U92" s="144"/>
      <c r="V92" s="144"/>
      <c r="W92" s="144"/>
    </row>
    <row r="93" spans="1:23" x14ac:dyDescent="0.2">
      <c r="A93" s="145">
        <v>39548</v>
      </c>
      <c r="B93" s="144">
        <v>5.7</v>
      </c>
      <c r="C93" s="144"/>
      <c r="D93" s="144"/>
      <c r="E93" s="144">
        <v>9.2200000000000006</v>
      </c>
      <c r="F93" s="144">
        <v>14.920000000000002</v>
      </c>
      <c r="H93" s="146">
        <v>24</v>
      </c>
      <c r="I93" s="144"/>
      <c r="J93" s="144"/>
      <c r="K93" s="144"/>
      <c r="L93" s="144">
        <v>7.88</v>
      </c>
      <c r="M93" s="144">
        <v>7.88</v>
      </c>
      <c r="O93" s="145">
        <v>39086</v>
      </c>
      <c r="P93" s="144"/>
      <c r="Q93" s="144">
        <v>8.8000000000000007</v>
      </c>
      <c r="R93" s="144"/>
      <c r="S93" s="144">
        <v>5.9</v>
      </c>
      <c r="T93" s="144"/>
      <c r="U93" s="144"/>
      <c r="V93" s="144"/>
      <c r="W93" s="144">
        <v>14.700000000000001</v>
      </c>
    </row>
    <row r="94" spans="1:23" x14ac:dyDescent="0.2">
      <c r="A94" s="145">
        <v>39555</v>
      </c>
      <c r="B94" s="144">
        <v>6.4</v>
      </c>
      <c r="C94" s="144"/>
      <c r="D94" s="144"/>
      <c r="E94" s="144">
        <v>9.81</v>
      </c>
      <c r="F94" s="144">
        <v>16.21</v>
      </c>
      <c r="H94" s="146">
        <v>25</v>
      </c>
      <c r="I94" s="144"/>
      <c r="J94" s="144"/>
      <c r="K94" s="144"/>
      <c r="L94" s="144">
        <v>7.88</v>
      </c>
      <c r="M94" s="144">
        <v>7.88</v>
      </c>
      <c r="O94" s="145">
        <v>39093</v>
      </c>
      <c r="P94" s="144"/>
      <c r="Q94" s="144">
        <v>10.119999999999999</v>
      </c>
      <c r="R94" s="144"/>
      <c r="S94" s="144">
        <v>6.1</v>
      </c>
      <c r="T94" s="144"/>
      <c r="U94" s="144"/>
      <c r="V94" s="144"/>
      <c r="W94" s="144">
        <v>16.22</v>
      </c>
    </row>
    <row r="95" spans="1:23" x14ac:dyDescent="0.2">
      <c r="A95" s="145">
        <v>39562</v>
      </c>
      <c r="B95" s="144">
        <v>5.5</v>
      </c>
      <c r="C95" s="144"/>
      <c r="D95" s="144"/>
      <c r="E95" s="144">
        <v>7.56</v>
      </c>
      <c r="F95" s="144">
        <v>13.059999999999999</v>
      </c>
      <c r="H95" s="143" t="s">
        <v>222</v>
      </c>
      <c r="I95" s="144">
        <v>126.59</v>
      </c>
      <c r="J95" s="144">
        <v>37.74</v>
      </c>
      <c r="K95" s="144">
        <v>82.2</v>
      </c>
      <c r="L95" s="144">
        <v>163.33999999999997</v>
      </c>
      <c r="M95" s="144">
        <v>409.87</v>
      </c>
      <c r="O95" s="145">
        <v>39100</v>
      </c>
      <c r="P95" s="144"/>
      <c r="Q95" s="144">
        <v>10.199999999999999</v>
      </c>
      <c r="R95" s="144"/>
      <c r="S95" s="144">
        <v>5</v>
      </c>
      <c r="T95" s="144"/>
      <c r="U95" s="144"/>
      <c r="V95" s="144"/>
      <c r="W95" s="144">
        <v>15.2</v>
      </c>
    </row>
    <row r="96" spans="1:23" x14ac:dyDescent="0.2">
      <c r="A96" s="145">
        <v>39569</v>
      </c>
      <c r="B96" s="144">
        <v>5.4</v>
      </c>
      <c r="C96" s="144"/>
      <c r="D96" s="144"/>
      <c r="E96" s="144">
        <v>7.67</v>
      </c>
      <c r="F96" s="144">
        <v>13.07</v>
      </c>
      <c r="H96" s="146">
        <v>1</v>
      </c>
      <c r="I96" s="144">
        <v>6.39</v>
      </c>
      <c r="J96" s="144">
        <v>3.88</v>
      </c>
      <c r="K96" s="144">
        <v>4.1100000000000003</v>
      </c>
      <c r="L96" s="144">
        <v>9.6999999999999993</v>
      </c>
      <c r="M96" s="144">
        <v>24.08</v>
      </c>
      <c r="O96" s="145">
        <v>39114</v>
      </c>
      <c r="P96" s="144"/>
      <c r="Q96" s="144">
        <v>10.11</v>
      </c>
      <c r="R96" s="144"/>
      <c r="S96" s="144">
        <v>5.7</v>
      </c>
      <c r="T96" s="144"/>
      <c r="U96" s="144"/>
      <c r="V96" s="144"/>
      <c r="W96" s="144">
        <v>15.809999999999999</v>
      </c>
    </row>
    <row r="97" spans="1:23" x14ac:dyDescent="0.2">
      <c r="A97" s="145">
        <v>39576</v>
      </c>
      <c r="B97" s="144">
        <v>5.6</v>
      </c>
      <c r="C97" s="144"/>
      <c r="D97" s="144"/>
      <c r="E97" s="144">
        <v>7.22</v>
      </c>
      <c r="F97" s="144">
        <v>12.82</v>
      </c>
      <c r="H97" s="146">
        <v>2</v>
      </c>
      <c r="I97" s="144">
        <v>6.68</v>
      </c>
      <c r="J97" s="144">
        <v>2.76</v>
      </c>
      <c r="K97" s="144">
        <v>4.33</v>
      </c>
      <c r="L97" s="144">
        <v>9.6999999999999993</v>
      </c>
      <c r="M97" s="144">
        <v>23.47</v>
      </c>
      <c r="O97" s="145">
        <v>39121</v>
      </c>
      <c r="P97" s="144"/>
      <c r="Q97" s="144">
        <v>8.84</v>
      </c>
      <c r="R97" s="144"/>
      <c r="S97" s="144">
        <v>5.2</v>
      </c>
      <c r="T97" s="144"/>
      <c r="U97" s="144"/>
      <c r="V97" s="144"/>
      <c r="W97" s="144">
        <v>14.04</v>
      </c>
    </row>
    <row r="98" spans="1:23" x14ac:dyDescent="0.2">
      <c r="A98" s="145">
        <v>39583</v>
      </c>
      <c r="B98" s="144"/>
      <c r="C98" s="144"/>
      <c r="D98" s="144"/>
      <c r="E98" s="144">
        <v>16.14</v>
      </c>
      <c r="F98" s="144">
        <v>16.14</v>
      </c>
      <c r="H98" s="146">
        <v>3</v>
      </c>
      <c r="I98" s="144">
        <v>6.01</v>
      </c>
      <c r="J98" s="144">
        <v>3.08</v>
      </c>
      <c r="K98" s="144">
        <v>4.1500000000000004</v>
      </c>
      <c r="L98" s="144">
        <v>8.49</v>
      </c>
      <c r="M98" s="144">
        <v>21.73</v>
      </c>
      <c r="O98" s="145">
        <v>39128</v>
      </c>
      <c r="P98" s="144"/>
      <c r="Q98" s="144">
        <v>8.84</v>
      </c>
      <c r="R98" s="144"/>
      <c r="S98" s="144">
        <v>5</v>
      </c>
      <c r="T98" s="144"/>
      <c r="U98" s="144"/>
      <c r="V98" s="144"/>
      <c r="W98" s="144">
        <v>13.84</v>
      </c>
    </row>
    <row r="99" spans="1:23" x14ac:dyDescent="0.2">
      <c r="A99" s="145">
        <v>39716</v>
      </c>
      <c r="B99" s="144"/>
      <c r="C99" s="144"/>
      <c r="D99" s="144"/>
      <c r="E99" s="144">
        <v>18.399999999999999</v>
      </c>
      <c r="F99" s="144">
        <v>18.399999999999999</v>
      </c>
      <c r="H99" s="146">
        <v>4</v>
      </c>
      <c r="I99" s="144">
        <v>6.15</v>
      </c>
      <c r="J99" s="144">
        <v>2.83</v>
      </c>
      <c r="K99" s="144">
        <v>3.99</v>
      </c>
      <c r="L99" s="144">
        <v>8.49</v>
      </c>
      <c r="M99" s="144">
        <v>21.46</v>
      </c>
      <c r="O99" s="145">
        <v>39135</v>
      </c>
      <c r="P99" s="144"/>
      <c r="Q99" s="144">
        <v>8.3000000000000007</v>
      </c>
      <c r="R99" s="144"/>
      <c r="S99" s="144">
        <v>4.5999999999999996</v>
      </c>
      <c r="T99" s="144"/>
      <c r="U99" s="144"/>
      <c r="V99" s="144"/>
      <c r="W99" s="144">
        <v>12.9</v>
      </c>
    </row>
    <row r="100" spans="1:23" x14ac:dyDescent="0.2">
      <c r="A100" s="145">
        <v>39730</v>
      </c>
      <c r="B100" s="144"/>
      <c r="C100" s="144"/>
      <c r="D100" s="144"/>
      <c r="E100" s="144">
        <v>8.99</v>
      </c>
      <c r="F100" s="144">
        <v>8.99</v>
      </c>
      <c r="H100" s="146">
        <v>5</v>
      </c>
      <c r="I100" s="144">
        <v>6</v>
      </c>
      <c r="J100" s="144">
        <v>3.29</v>
      </c>
      <c r="K100" s="144">
        <v>3.9</v>
      </c>
      <c r="L100" s="144">
        <v>8.91</v>
      </c>
      <c r="M100" s="144">
        <v>22.1</v>
      </c>
      <c r="O100" s="145">
        <v>39142</v>
      </c>
      <c r="P100" s="144"/>
      <c r="Q100" s="144"/>
      <c r="R100" s="144"/>
      <c r="S100" s="144">
        <v>5.7</v>
      </c>
      <c r="T100" s="144"/>
      <c r="U100" s="144"/>
      <c r="V100" s="144"/>
      <c r="W100" s="144">
        <v>5.7</v>
      </c>
    </row>
    <row r="101" spans="1:23" x14ac:dyDescent="0.2">
      <c r="A101" s="145">
        <v>39737</v>
      </c>
      <c r="B101" s="144"/>
      <c r="C101" s="144"/>
      <c r="D101" s="144"/>
      <c r="E101" s="144">
        <v>8.07</v>
      </c>
      <c r="F101" s="144">
        <v>8.07</v>
      </c>
      <c r="H101" s="146">
        <v>6</v>
      </c>
      <c r="I101" s="144">
        <v>5.72</v>
      </c>
      <c r="J101" s="144">
        <v>2.58</v>
      </c>
      <c r="K101" s="144">
        <v>4</v>
      </c>
      <c r="L101" s="144">
        <v>8.91</v>
      </c>
      <c r="M101" s="144">
        <v>21.21</v>
      </c>
      <c r="O101" s="145">
        <v>39149</v>
      </c>
      <c r="P101" s="144"/>
      <c r="Q101" s="144"/>
      <c r="R101" s="144"/>
      <c r="S101" s="144">
        <v>5.2</v>
      </c>
      <c r="T101" s="144"/>
      <c r="U101" s="144"/>
      <c r="V101" s="144"/>
      <c r="W101" s="144">
        <v>5.2</v>
      </c>
    </row>
    <row r="102" spans="1:23" x14ac:dyDescent="0.2">
      <c r="A102" s="145">
        <v>39744</v>
      </c>
      <c r="B102" s="144"/>
      <c r="C102" s="144"/>
      <c r="D102" s="144"/>
      <c r="E102" s="144">
        <v>7.74</v>
      </c>
      <c r="F102" s="144">
        <v>7.74</v>
      </c>
      <c r="H102" s="146">
        <v>7</v>
      </c>
      <c r="I102" s="144">
        <v>6.08</v>
      </c>
      <c r="J102" s="144">
        <v>2.95</v>
      </c>
      <c r="K102" s="144">
        <v>3.66</v>
      </c>
      <c r="L102" s="144">
        <v>8.5</v>
      </c>
      <c r="M102" s="144">
        <v>21.19</v>
      </c>
      <c r="O102" s="145">
        <v>39177</v>
      </c>
      <c r="P102" s="144"/>
      <c r="Q102" s="144">
        <v>6.74</v>
      </c>
      <c r="R102" s="144">
        <v>5.4</v>
      </c>
      <c r="S102" s="144"/>
      <c r="T102" s="144"/>
      <c r="U102" s="144"/>
      <c r="V102" s="144"/>
      <c r="W102" s="144">
        <v>12.14</v>
      </c>
    </row>
    <row r="103" spans="1:23" x14ac:dyDescent="0.2">
      <c r="A103" s="145">
        <v>39751</v>
      </c>
      <c r="B103" s="144">
        <v>8.6999999999999993</v>
      </c>
      <c r="C103" s="144"/>
      <c r="D103" s="144"/>
      <c r="E103" s="144">
        <v>9.32</v>
      </c>
      <c r="F103" s="144">
        <v>18.02</v>
      </c>
      <c r="H103" s="146">
        <v>8</v>
      </c>
      <c r="I103" s="144">
        <v>6.7</v>
      </c>
      <c r="J103" s="144">
        <v>2.3199999999999998</v>
      </c>
      <c r="K103" s="144">
        <v>3.68</v>
      </c>
      <c r="L103" s="144">
        <v>8.5</v>
      </c>
      <c r="M103" s="144">
        <v>21.2</v>
      </c>
      <c r="O103" s="145">
        <v>39184</v>
      </c>
      <c r="P103" s="144"/>
      <c r="Q103" s="144">
        <v>7.71</v>
      </c>
      <c r="R103" s="144">
        <v>5.0999999999999996</v>
      </c>
      <c r="S103" s="144"/>
      <c r="T103" s="144"/>
      <c r="U103" s="144"/>
      <c r="V103" s="144"/>
      <c r="W103" s="144">
        <v>12.809999999999999</v>
      </c>
    </row>
    <row r="104" spans="1:23" x14ac:dyDescent="0.2">
      <c r="A104" s="145">
        <v>39758</v>
      </c>
      <c r="B104" s="144">
        <v>8</v>
      </c>
      <c r="C104" s="144"/>
      <c r="D104" s="144"/>
      <c r="E104" s="144">
        <v>8.35</v>
      </c>
      <c r="F104" s="144">
        <v>16.350000000000001</v>
      </c>
      <c r="H104" s="146">
        <v>9</v>
      </c>
      <c r="I104" s="144">
        <v>5.12</v>
      </c>
      <c r="J104" s="144">
        <v>2.84</v>
      </c>
      <c r="K104" s="144">
        <v>3.69</v>
      </c>
      <c r="L104" s="144">
        <v>8.98</v>
      </c>
      <c r="M104" s="144">
        <v>20.630000000000003</v>
      </c>
      <c r="O104" s="145">
        <v>39191</v>
      </c>
      <c r="P104" s="144"/>
      <c r="Q104" s="144"/>
      <c r="R104" s="144">
        <v>5.2</v>
      </c>
      <c r="S104" s="144"/>
      <c r="T104" s="144"/>
      <c r="U104" s="144"/>
      <c r="V104" s="144"/>
      <c r="W104" s="144">
        <v>5.2</v>
      </c>
    </row>
    <row r="105" spans="1:23" x14ac:dyDescent="0.2">
      <c r="A105" s="145">
        <v>39765</v>
      </c>
      <c r="B105" s="144">
        <v>7.5</v>
      </c>
      <c r="C105" s="144"/>
      <c r="D105" s="144"/>
      <c r="E105" s="144">
        <v>8.18</v>
      </c>
      <c r="F105" s="144">
        <v>15.68</v>
      </c>
      <c r="H105" s="146">
        <v>10</v>
      </c>
      <c r="I105" s="144">
        <v>5.01</v>
      </c>
      <c r="J105" s="144">
        <v>3.13</v>
      </c>
      <c r="K105" s="144">
        <v>3.64</v>
      </c>
      <c r="L105" s="144">
        <v>8.39</v>
      </c>
      <c r="M105" s="144">
        <v>20.170000000000002</v>
      </c>
      <c r="O105" s="145">
        <v>39198</v>
      </c>
      <c r="P105" s="144"/>
      <c r="Q105" s="144">
        <v>7.56</v>
      </c>
      <c r="R105" s="144">
        <v>4.7</v>
      </c>
      <c r="S105" s="144"/>
      <c r="T105" s="144"/>
      <c r="U105" s="144"/>
      <c r="V105" s="144"/>
      <c r="W105" s="144">
        <v>12.26</v>
      </c>
    </row>
    <row r="106" spans="1:23" x14ac:dyDescent="0.2">
      <c r="A106" s="145">
        <v>39772</v>
      </c>
      <c r="B106" s="144">
        <v>7.3</v>
      </c>
      <c r="C106" s="144"/>
      <c r="D106" s="144"/>
      <c r="E106" s="144">
        <v>8.4</v>
      </c>
      <c r="F106" s="144">
        <v>15.7</v>
      </c>
      <c r="H106" s="146">
        <v>11</v>
      </c>
      <c r="I106" s="144">
        <v>5.58</v>
      </c>
      <c r="J106" s="144">
        <v>2.33</v>
      </c>
      <c r="K106" s="144">
        <v>4.09</v>
      </c>
      <c r="L106" s="144">
        <v>8.2899999999999991</v>
      </c>
      <c r="M106" s="144">
        <v>20.29</v>
      </c>
      <c r="O106" s="145">
        <v>39205</v>
      </c>
      <c r="P106" s="144"/>
      <c r="Q106" s="144">
        <v>7</v>
      </c>
      <c r="R106" s="144"/>
      <c r="S106" s="144"/>
      <c r="T106" s="144"/>
      <c r="U106" s="144"/>
      <c r="V106" s="144"/>
      <c r="W106" s="144">
        <v>7</v>
      </c>
    </row>
    <row r="107" spans="1:23" x14ac:dyDescent="0.2">
      <c r="A107" s="145">
        <v>39786</v>
      </c>
      <c r="B107" s="144">
        <v>7.1</v>
      </c>
      <c r="C107" s="144"/>
      <c r="D107" s="144"/>
      <c r="E107" s="144">
        <v>8.33</v>
      </c>
      <c r="F107" s="144">
        <v>15.43</v>
      </c>
      <c r="H107" s="146">
        <v>12</v>
      </c>
      <c r="I107" s="144">
        <v>5.79</v>
      </c>
      <c r="J107" s="144">
        <v>2.67</v>
      </c>
      <c r="K107" s="144">
        <v>4.25</v>
      </c>
      <c r="L107" s="144">
        <v>8.86</v>
      </c>
      <c r="M107" s="144">
        <v>21.57</v>
      </c>
      <c r="O107" s="145">
        <v>39212</v>
      </c>
      <c r="P107" s="144"/>
      <c r="Q107" s="144">
        <v>7.2</v>
      </c>
      <c r="R107" s="144"/>
      <c r="S107" s="144"/>
      <c r="T107" s="144"/>
      <c r="U107" s="144"/>
      <c r="V107" s="144"/>
      <c r="W107" s="144">
        <v>7.2</v>
      </c>
    </row>
    <row r="108" spans="1:23" x14ac:dyDescent="0.2">
      <c r="A108" s="145">
        <v>39793</v>
      </c>
      <c r="B108" s="144">
        <v>8.9</v>
      </c>
      <c r="C108" s="144"/>
      <c r="D108" s="144"/>
      <c r="E108" s="144">
        <v>8.7899999999999991</v>
      </c>
      <c r="F108" s="144">
        <v>17.689999999999998</v>
      </c>
      <c r="H108" s="146">
        <v>13</v>
      </c>
      <c r="I108" s="144">
        <v>6</v>
      </c>
      <c r="J108" s="144">
        <v>3.08</v>
      </c>
      <c r="K108" s="144">
        <v>3.49</v>
      </c>
      <c r="L108" s="144">
        <v>9.2200000000000006</v>
      </c>
      <c r="M108" s="144">
        <v>21.79</v>
      </c>
      <c r="O108" s="145">
        <v>39219</v>
      </c>
      <c r="P108" s="144"/>
      <c r="Q108" s="144">
        <v>7.88</v>
      </c>
      <c r="R108" s="144">
        <v>7.88</v>
      </c>
      <c r="S108" s="144"/>
      <c r="T108" s="144"/>
      <c r="U108" s="144"/>
      <c r="V108" s="144"/>
      <c r="W108" s="144">
        <v>15.76</v>
      </c>
    </row>
    <row r="109" spans="1:23" x14ac:dyDescent="0.2">
      <c r="A109" s="143" t="s">
        <v>1003</v>
      </c>
      <c r="B109" s="144">
        <v>154.82999999999998</v>
      </c>
      <c r="C109" s="144">
        <v>65.850000000000009</v>
      </c>
      <c r="D109" s="144">
        <v>89.509999999999991</v>
      </c>
      <c r="E109" s="144">
        <v>271.42</v>
      </c>
      <c r="F109" s="144">
        <v>581.61</v>
      </c>
      <c r="H109" s="146">
        <v>14</v>
      </c>
      <c r="I109" s="144">
        <v>5.89</v>
      </c>
      <c r="J109" s="144"/>
      <c r="K109" s="144">
        <v>3.6</v>
      </c>
      <c r="L109" s="144">
        <v>9.81</v>
      </c>
      <c r="M109" s="144">
        <v>19.3</v>
      </c>
      <c r="O109" s="145">
        <v>39352</v>
      </c>
      <c r="P109" s="144"/>
      <c r="Q109" s="144"/>
      <c r="R109" s="144">
        <v>9.6999999999999993</v>
      </c>
      <c r="S109" s="144">
        <v>9.6999999999999993</v>
      </c>
      <c r="T109" s="144"/>
      <c r="U109" s="144"/>
      <c r="V109" s="144"/>
      <c r="W109" s="144">
        <v>19.399999999999999</v>
      </c>
    </row>
    <row r="110" spans="1:23" x14ac:dyDescent="0.2">
      <c r="A110" s="145">
        <v>39821</v>
      </c>
      <c r="B110" s="144">
        <v>5.4</v>
      </c>
      <c r="C110" s="144"/>
      <c r="D110" s="144"/>
      <c r="E110" s="144"/>
      <c r="F110" s="144">
        <v>5.4</v>
      </c>
      <c r="H110" s="146">
        <v>15</v>
      </c>
      <c r="I110" s="144">
        <v>6.79</v>
      </c>
      <c r="J110" s="144"/>
      <c r="K110" s="144">
        <v>3.45</v>
      </c>
      <c r="L110" s="144">
        <v>7.56</v>
      </c>
      <c r="M110" s="144">
        <v>17.8</v>
      </c>
      <c r="O110" s="145">
        <v>39359</v>
      </c>
      <c r="P110" s="144"/>
      <c r="Q110" s="144">
        <v>7.3</v>
      </c>
      <c r="R110" s="144">
        <v>8.49</v>
      </c>
      <c r="S110" s="144">
        <v>8.49</v>
      </c>
      <c r="T110" s="144"/>
      <c r="U110" s="144"/>
      <c r="V110" s="144"/>
      <c r="W110" s="144">
        <v>24.28</v>
      </c>
    </row>
    <row r="111" spans="1:23" x14ac:dyDescent="0.2">
      <c r="A111" s="145">
        <v>39828</v>
      </c>
      <c r="B111" s="144">
        <v>6.6</v>
      </c>
      <c r="C111" s="144"/>
      <c r="D111" s="144"/>
      <c r="E111" s="144">
        <v>8.5</v>
      </c>
      <c r="F111" s="144">
        <v>15.1</v>
      </c>
      <c r="H111" s="146">
        <v>16</v>
      </c>
      <c r="I111" s="144">
        <v>6.25</v>
      </c>
      <c r="J111" s="144"/>
      <c r="K111" s="144">
        <v>3.43</v>
      </c>
      <c r="L111" s="144">
        <v>7.67</v>
      </c>
      <c r="M111" s="144">
        <v>17.350000000000001</v>
      </c>
      <c r="O111" s="145">
        <v>39366</v>
      </c>
      <c r="P111" s="144"/>
      <c r="Q111" s="144">
        <v>6.6</v>
      </c>
      <c r="R111" s="144">
        <v>8.91</v>
      </c>
      <c r="S111" s="144">
        <v>8.91</v>
      </c>
      <c r="T111" s="144"/>
      <c r="U111" s="144"/>
      <c r="V111" s="144"/>
      <c r="W111" s="144">
        <v>24.42</v>
      </c>
    </row>
    <row r="112" spans="1:23" x14ac:dyDescent="0.2">
      <c r="A112" s="145">
        <v>39835</v>
      </c>
      <c r="B112" s="144">
        <v>6.4</v>
      </c>
      <c r="C112" s="144"/>
      <c r="D112" s="144"/>
      <c r="E112" s="144">
        <v>8.74</v>
      </c>
      <c r="F112" s="144">
        <v>15.14</v>
      </c>
      <c r="H112" s="146">
        <v>17</v>
      </c>
      <c r="I112" s="144">
        <v>4</v>
      </c>
      <c r="J112" s="144"/>
      <c r="K112" s="144">
        <v>3.77</v>
      </c>
      <c r="L112" s="144">
        <v>7.22</v>
      </c>
      <c r="M112" s="144">
        <v>14.989999999999998</v>
      </c>
      <c r="O112" s="145">
        <v>39373</v>
      </c>
      <c r="P112" s="144"/>
      <c r="Q112" s="144">
        <v>6.2</v>
      </c>
      <c r="R112" s="144">
        <v>8.5</v>
      </c>
      <c r="S112" s="144">
        <v>8.5</v>
      </c>
      <c r="T112" s="144"/>
      <c r="U112" s="144"/>
      <c r="V112" s="144"/>
      <c r="W112" s="144">
        <v>23.2</v>
      </c>
    </row>
    <row r="113" spans="1:23" x14ac:dyDescent="0.2">
      <c r="A113" s="145">
        <v>39845</v>
      </c>
      <c r="B113" s="144"/>
      <c r="C113" s="144"/>
      <c r="D113" s="144"/>
      <c r="E113" s="144">
        <v>45.82</v>
      </c>
      <c r="F113" s="144">
        <v>45.82</v>
      </c>
      <c r="H113" s="146">
        <v>18</v>
      </c>
      <c r="I113" s="144">
        <v>5.16</v>
      </c>
      <c r="J113" s="144"/>
      <c r="K113" s="144">
        <v>3.66</v>
      </c>
      <c r="L113" s="144">
        <v>8.07</v>
      </c>
      <c r="M113" s="144">
        <v>16.89</v>
      </c>
      <c r="O113" s="145">
        <v>39380</v>
      </c>
      <c r="P113" s="144"/>
      <c r="Q113" s="144">
        <v>6.5</v>
      </c>
      <c r="R113" s="144">
        <v>8.98</v>
      </c>
      <c r="S113" s="144"/>
      <c r="T113" s="144"/>
      <c r="U113" s="144"/>
      <c r="V113" s="144"/>
      <c r="W113" s="144">
        <v>15.48</v>
      </c>
    </row>
    <row r="114" spans="1:23" x14ac:dyDescent="0.2">
      <c r="A114" s="145">
        <v>39849</v>
      </c>
      <c r="B114" s="144">
        <v>6.4</v>
      </c>
      <c r="C114" s="144"/>
      <c r="D114" s="144"/>
      <c r="E114" s="144">
        <v>8.39</v>
      </c>
      <c r="F114" s="144">
        <v>14.790000000000001</v>
      </c>
      <c r="H114" s="146">
        <v>19</v>
      </c>
      <c r="I114" s="144">
        <v>5.44</v>
      </c>
      <c r="J114" s="144"/>
      <c r="K114" s="144">
        <v>3.46</v>
      </c>
      <c r="L114" s="144">
        <v>8.07</v>
      </c>
      <c r="M114" s="144">
        <v>16.97</v>
      </c>
      <c r="O114" s="145">
        <v>39387</v>
      </c>
      <c r="P114" s="144"/>
      <c r="Q114" s="144"/>
      <c r="R114" s="144">
        <v>8.39</v>
      </c>
      <c r="S114" s="144"/>
      <c r="T114" s="144"/>
      <c r="U114" s="144"/>
      <c r="V114" s="144"/>
      <c r="W114" s="144">
        <v>8.39</v>
      </c>
    </row>
    <row r="115" spans="1:23" x14ac:dyDescent="0.2">
      <c r="A115" s="145">
        <v>39856</v>
      </c>
      <c r="B115" s="144">
        <v>7.6</v>
      </c>
      <c r="C115" s="144"/>
      <c r="D115" s="144"/>
      <c r="E115" s="144">
        <v>8.89</v>
      </c>
      <c r="F115" s="144">
        <v>16.490000000000002</v>
      </c>
      <c r="H115" s="146">
        <v>20</v>
      </c>
      <c r="I115" s="144">
        <v>5.42</v>
      </c>
      <c r="J115" s="144"/>
      <c r="K115" s="144">
        <v>3.17</v>
      </c>
      <c r="L115" s="144"/>
      <c r="M115" s="144">
        <v>8.59</v>
      </c>
      <c r="O115" s="145">
        <v>39394</v>
      </c>
      <c r="P115" s="144"/>
      <c r="Q115" s="144">
        <v>6.6</v>
      </c>
      <c r="R115" s="144">
        <v>8.2899999999999991</v>
      </c>
      <c r="S115" s="144"/>
      <c r="T115" s="144"/>
      <c r="U115" s="144"/>
      <c r="V115" s="144"/>
      <c r="W115" s="144">
        <v>14.889999999999999</v>
      </c>
    </row>
    <row r="116" spans="1:23" x14ac:dyDescent="0.2">
      <c r="A116" s="145">
        <v>39870</v>
      </c>
      <c r="B116" s="144">
        <v>6.4</v>
      </c>
      <c r="C116" s="144"/>
      <c r="D116" s="144"/>
      <c r="E116" s="144"/>
      <c r="F116" s="144">
        <v>6.4</v>
      </c>
      <c r="H116" s="146">
        <v>21</v>
      </c>
      <c r="I116" s="144">
        <v>4.96</v>
      </c>
      <c r="J116" s="144"/>
      <c r="K116" s="144">
        <v>3.26</v>
      </c>
      <c r="L116" s="144"/>
      <c r="M116" s="144">
        <v>8.2199999999999989</v>
      </c>
      <c r="O116" s="145">
        <v>39401</v>
      </c>
      <c r="P116" s="144"/>
      <c r="Q116" s="144">
        <v>5.8</v>
      </c>
      <c r="R116" s="144">
        <v>8.86</v>
      </c>
      <c r="S116" s="144"/>
      <c r="T116" s="144"/>
      <c r="U116" s="144"/>
      <c r="V116" s="144"/>
      <c r="W116" s="144">
        <v>14.66</v>
      </c>
    </row>
    <row r="117" spans="1:23" x14ac:dyDescent="0.2">
      <c r="A117" s="145">
        <v>39877</v>
      </c>
      <c r="B117" s="144">
        <v>7.3</v>
      </c>
      <c r="C117" s="144"/>
      <c r="D117" s="144"/>
      <c r="E117" s="144">
        <v>8.6300000000000008</v>
      </c>
      <c r="F117" s="144">
        <v>15.93</v>
      </c>
      <c r="H117" s="146">
        <v>22</v>
      </c>
      <c r="I117" s="144">
        <v>5.45</v>
      </c>
      <c r="J117" s="144"/>
      <c r="K117" s="144">
        <v>3.42</v>
      </c>
      <c r="L117" s="144"/>
      <c r="M117" s="144">
        <v>8.870000000000001</v>
      </c>
      <c r="O117" s="145">
        <v>39415</v>
      </c>
      <c r="P117" s="144"/>
      <c r="Q117" s="144">
        <v>6.4</v>
      </c>
      <c r="R117" s="144"/>
      <c r="S117" s="144"/>
      <c r="T117" s="144"/>
      <c r="U117" s="144"/>
      <c r="V117" s="144"/>
      <c r="W117" s="144">
        <v>6.4</v>
      </c>
    </row>
    <row r="118" spans="1:23" x14ac:dyDescent="0.2">
      <c r="A118" s="145">
        <v>39884</v>
      </c>
      <c r="B118" s="144">
        <v>6.4</v>
      </c>
      <c r="C118" s="144"/>
      <c r="D118" s="144"/>
      <c r="E118" s="144">
        <v>7.51</v>
      </c>
      <c r="F118" s="144">
        <v>13.91</v>
      </c>
      <c r="H118" s="143" t="s">
        <v>223</v>
      </c>
      <c r="I118" s="144">
        <v>111.51</v>
      </c>
      <c r="J118" s="144">
        <v>39.03</v>
      </c>
      <c r="K118" s="144">
        <v>72.509999999999991</v>
      </c>
      <c r="L118" s="144">
        <v>259.78000000000003</v>
      </c>
      <c r="M118" s="144">
        <v>482.82999999999993</v>
      </c>
      <c r="O118" s="145">
        <v>39422</v>
      </c>
      <c r="P118" s="144"/>
      <c r="Q118" s="144">
        <v>5.8</v>
      </c>
      <c r="R118" s="144"/>
      <c r="S118" s="144"/>
      <c r="T118" s="144"/>
      <c r="U118" s="144"/>
      <c r="V118" s="144"/>
      <c r="W118" s="144">
        <v>5.8</v>
      </c>
    </row>
    <row r="119" spans="1:23" x14ac:dyDescent="0.2">
      <c r="A119" s="145">
        <v>39891</v>
      </c>
      <c r="B119" s="144">
        <v>7.1</v>
      </c>
      <c r="C119" s="144"/>
      <c r="D119" s="144"/>
      <c r="E119" s="144">
        <v>7.95</v>
      </c>
      <c r="F119" s="144">
        <v>15.05</v>
      </c>
      <c r="H119" s="146">
        <v>1</v>
      </c>
      <c r="I119" s="144">
        <v>5.85</v>
      </c>
      <c r="J119" s="144">
        <v>3.49</v>
      </c>
      <c r="K119" s="144">
        <v>3.5</v>
      </c>
      <c r="L119" s="144">
        <v>9.1999999999999993</v>
      </c>
      <c r="M119" s="144">
        <v>22.04</v>
      </c>
      <c r="O119" s="145">
        <v>39429</v>
      </c>
      <c r="P119" s="144"/>
      <c r="Q119" s="144"/>
      <c r="R119" s="144">
        <v>5.6</v>
      </c>
      <c r="S119" s="144"/>
      <c r="T119" s="144"/>
      <c r="U119" s="144"/>
      <c r="V119" s="144"/>
      <c r="W119" s="144">
        <v>5.6</v>
      </c>
    </row>
    <row r="120" spans="1:23" x14ac:dyDescent="0.2">
      <c r="A120" s="145">
        <v>39898</v>
      </c>
      <c r="B120" s="144">
        <v>7.2</v>
      </c>
      <c r="C120" s="144"/>
      <c r="D120" s="144"/>
      <c r="E120" s="144">
        <v>8.4499999999999993</v>
      </c>
      <c r="F120" s="144">
        <v>15.649999999999999</v>
      </c>
      <c r="H120" s="146">
        <v>2</v>
      </c>
      <c r="I120" s="144">
        <v>5.68</v>
      </c>
      <c r="J120" s="144">
        <v>3.49</v>
      </c>
      <c r="K120" s="144">
        <v>3.27</v>
      </c>
      <c r="L120" s="144">
        <v>9.1999999999999993</v>
      </c>
      <c r="M120" s="144">
        <v>21.64</v>
      </c>
      <c r="O120" s="143" t="s">
        <v>1002</v>
      </c>
      <c r="P120" s="144"/>
      <c r="Q120" s="144"/>
      <c r="R120" s="144"/>
      <c r="S120" s="144"/>
      <c r="T120" s="144"/>
      <c r="U120" s="144"/>
      <c r="V120" s="144"/>
      <c r="W120" s="144"/>
    </row>
    <row r="121" spans="1:23" x14ac:dyDescent="0.2">
      <c r="A121" s="145">
        <v>39912</v>
      </c>
      <c r="B121" s="144">
        <v>6.8</v>
      </c>
      <c r="C121" s="144"/>
      <c r="D121" s="144">
        <v>6.77</v>
      </c>
      <c r="E121" s="144">
        <v>15.14</v>
      </c>
      <c r="F121" s="144">
        <v>28.71</v>
      </c>
      <c r="H121" s="146">
        <v>3</v>
      </c>
      <c r="I121" s="144">
        <v>4.9000000000000004</v>
      </c>
      <c r="J121" s="144">
        <v>3.58</v>
      </c>
      <c r="K121" s="144">
        <v>3.53</v>
      </c>
      <c r="L121" s="144">
        <v>8.99</v>
      </c>
      <c r="M121" s="144">
        <v>21</v>
      </c>
      <c r="O121" s="145">
        <v>39457</v>
      </c>
      <c r="P121" s="144"/>
      <c r="Q121" s="144">
        <v>6</v>
      </c>
      <c r="R121" s="144"/>
      <c r="S121" s="144"/>
      <c r="T121" s="144"/>
      <c r="U121" s="144"/>
      <c r="V121" s="144"/>
      <c r="W121" s="144">
        <v>6</v>
      </c>
    </row>
    <row r="122" spans="1:23" x14ac:dyDescent="0.2">
      <c r="A122" s="145">
        <v>39919</v>
      </c>
      <c r="B122" s="144">
        <v>7.3</v>
      </c>
      <c r="C122" s="144"/>
      <c r="D122" s="144">
        <v>5.92</v>
      </c>
      <c r="E122" s="144">
        <v>8.24</v>
      </c>
      <c r="F122" s="144">
        <v>21.46</v>
      </c>
      <c r="H122" s="146">
        <v>4</v>
      </c>
      <c r="I122" s="144">
        <v>6.7</v>
      </c>
      <c r="J122" s="144">
        <v>3.07</v>
      </c>
      <c r="K122" s="144">
        <v>3.46</v>
      </c>
      <c r="L122" s="144">
        <v>8.07</v>
      </c>
      <c r="M122" s="144">
        <v>21.3</v>
      </c>
      <c r="O122" s="145">
        <v>39548</v>
      </c>
      <c r="P122" s="144"/>
      <c r="Q122" s="144">
        <v>5.7</v>
      </c>
      <c r="R122" s="144">
        <v>9.2200000000000006</v>
      </c>
      <c r="S122" s="144"/>
      <c r="T122" s="144"/>
      <c r="U122" s="144"/>
      <c r="V122" s="144"/>
      <c r="W122" s="144">
        <v>14.920000000000002</v>
      </c>
    </row>
    <row r="123" spans="1:23" x14ac:dyDescent="0.2">
      <c r="A123" s="145">
        <v>39926</v>
      </c>
      <c r="B123" s="144">
        <v>6.3</v>
      </c>
      <c r="C123" s="144"/>
      <c r="D123" s="144">
        <v>5.24</v>
      </c>
      <c r="E123" s="144">
        <v>7.21</v>
      </c>
      <c r="F123" s="144">
        <v>18.75</v>
      </c>
      <c r="H123" s="146">
        <v>5</v>
      </c>
      <c r="I123" s="144">
        <v>5.18</v>
      </c>
      <c r="J123" s="144">
        <v>3.02</v>
      </c>
      <c r="K123" s="144">
        <v>3.34</v>
      </c>
      <c r="L123" s="144">
        <v>7.74</v>
      </c>
      <c r="M123" s="144">
        <v>19.28</v>
      </c>
      <c r="O123" s="145">
        <v>39555</v>
      </c>
      <c r="P123" s="144"/>
      <c r="Q123" s="144">
        <v>6.4</v>
      </c>
      <c r="R123" s="144">
        <v>9.81</v>
      </c>
      <c r="S123" s="144"/>
      <c r="T123" s="144"/>
      <c r="U123" s="144"/>
      <c r="V123" s="144"/>
      <c r="W123" s="144">
        <v>16.21</v>
      </c>
    </row>
    <row r="124" spans="1:23" x14ac:dyDescent="0.2">
      <c r="A124" s="145">
        <v>39933</v>
      </c>
      <c r="B124" s="144">
        <v>6</v>
      </c>
      <c r="C124" s="144"/>
      <c r="D124" s="144">
        <v>5.29</v>
      </c>
      <c r="E124" s="144">
        <v>7.31</v>
      </c>
      <c r="F124" s="144">
        <v>18.599999999999998</v>
      </c>
      <c r="H124" s="146">
        <v>6</v>
      </c>
      <c r="I124" s="144">
        <v>5.31</v>
      </c>
      <c r="J124" s="144">
        <v>3.01</v>
      </c>
      <c r="K124" s="144">
        <v>3.46</v>
      </c>
      <c r="L124" s="144">
        <v>9.32</v>
      </c>
      <c r="M124" s="144">
        <v>21.1</v>
      </c>
      <c r="O124" s="145">
        <v>39562</v>
      </c>
      <c r="P124" s="144"/>
      <c r="Q124" s="144"/>
      <c r="R124" s="144">
        <v>7.56</v>
      </c>
      <c r="S124" s="144">
        <v>5.5</v>
      </c>
      <c r="T124" s="144"/>
      <c r="U124" s="144"/>
      <c r="V124" s="144"/>
      <c r="W124" s="144">
        <v>13.059999999999999</v>
      </c>
    </row>
    <row r="125" spans="1:23" x14ac:dyDescent="0.2">
      <c r="A125" s="145">
        <v>39940</v>
      </c>
      <c r="B125" s="144">
        <v>6.2</v>
      </c>
      <c r="C125" s="144"/>
      <c r="D125" s="144">
        <v>4.6399999999999997</v>
      </c>
      <c r="E125" s="144">
        <v>7.71</v>
      </c>
      <c r="F125" s="144">
        <v>18.55</v>
      </c>
      <c r="H125" s="146">
        <v>7</v>
      </c>
      <c r="I125" s="144">
        <v>5.09</v>
      </c>
      <c r="J125" s="144">
        <v>2.56</v>
      </c>
      <c r="K125" s="144">
        <v>3.52</v>
      </c>
      <c r="L125" s="144">
        <v>8.35</v>
      </c>
      <c r="M125" s="144">
        <v>19.52</v>
      </c>
      <c r="O125" s="145">
        <v>39569</v>
      </c>
      <c r="P125" s="144"/>
      <c r="Q125" s="144"/>
      <c r="R125" s="144">
        <v>7.67</v>
      </c>
      <c r="S125" s="144">
        <v>5.4</v>
      </c>
      <c r="T125" s="144"/>
      <c r="U125" s="144"/>
      <c r="V125" s="144"/>
      <c r="W125" s="144">
        <v>13.07</v>
      </c>
    </row>
    <row r="126" spans="1:23" x14ac:dyDescent="0.2">
      <c r="A126" s="145">
        <v>39947</v>
      </c>
      <c r="B126" s="144">
        <v>5.7</v>
      </c>
      <c r="C126" s="144"/>
      <c r="D126" s="144">
        <v>4.25</v>
      </c>
      <c r="E126" s="144">
        <v>6.72</v>
      </c>
      <c r="F126" s="144">
        <v>16.669999999999998</v>
      </c>
      <c r="H126" s="146">
        <v>8</v>
      </c>
      <c r="I126" s="144">
        <v>5.1100000000000003</v>
      </c>
      <c r="J126" s="144">
        <v>2.79</v>
      </c>
      <c r="K126" s="144">
        <v>2.99</v>
      </c>
      <c r="L126" s="144">
        <v>8.18</v>
      </c>
      <c r="M126" s="144">
        <v>19.07</v>
      </c>
      <c r="O126" s="145">
        <v>39576</v>
      </c>
      <c r="P126" s="144"/>
      <c r="Q126" s="144"/>
      <c r="R126" s="144">
        <v>7.22</v>
      </c>
      <c r="S126" s="144">
        <v>5.6</v>
      </c>
      <c r="T126" s="144"/>
      <c r="U126" s="144"/>
      <c r="V126" s="144"/>
      <c r="W126" s="144">
        <v>12.82</v>
      </c>
    </row>
    <row r="127" spans="1:23" x14ac:dyDescent="0.2">
      <c r="A127" s="145">
        <v>40073</v>
      </c>
      <c r="B127" s="144"/>
      <c r="C127" s="144">
        <v>7.89</v>
      </c>
      <c r="D127" s="144">
        <v>5</v>
      </c>
      <c r="E127" s="144">
        <v>8.1999999999999993</v>
      </c>
      <c r="F127" s="144">
        <v>21.09</v>
      </c>
      <c r="H127" s="146">
        <v>9</v>
      </c>
      <c r="I127" s="144">
        <v>5.03</v>
      </c>
      <c r="J127" s="144">
        <v>2.77</v>
      </c>
      <c r="K127" s="144">
        <v>3.27</v>
      </c>
      <c r="L127" s="144">
        <v>8.4</v>
      </c>
      <c r="M127" s="144">
        <v>19.47</v>
      </c>
      <c r="O127" s="145">
        <v>39583</v>
      </c>
      <c r="P127" s="144"/>
      <c r="Q127" s="144"/>
      <c r="R127" s="144">
        <v>8.07</v>
      </c>
      <c r="S127" s="144">
        <v>8.07</v>
      </c>
      <c r="T127" s="144"/>
      <c r="U127" s="144"/>
      <c r="V127" s="144"/>
      <c r="W127" s="144">
        <v>16.14</v>
      </c>
    </row>
    <row r="128" spans="1:23" x14ac:dyDescent="0.2">
      <c r="A128" s="145">
        <v>40080</v>
      </c>
      <c r="B128" s="144"/>
      <c r="C128" s="144">
        <v>5.39</v>
      </c>
      <c r="D128" s="144">
        <v>4.22</v>
      </c>
      <c r="E128" s="144">
        <v>7.33</v>
      </c>
      <c r="F128" s="144">
        <v>16.939999999999998</v>
      </c>
      <c r="H128" s="146">
        <v>10</v>
      </c>
      <c r="I128" s="144">
        <v>4.76</v>
      </c>
      <c r="J128" s="144">
        <v>3.32</v>
      </c>
      <c r="K128" s="144">
        <v>3.92</v>
      </c>
      <c r="L128" s="144">
        <v>8.33</v>
      </c>
      <c r="M128" s="144">
        <v>20.329999999999998</v>
      </c>
      <c r="O128" s="145">
        <v>39716</v>
      </c>
      <c r="P128" s="144"/>
      <c r="Q128" s="144"/>
      <c r="R128" s="144">
        <v>9.1999999999999993</v>
      </c>
      <c r="S128" s="144">
        <v>9.1999999999999993</v>
      </c>
      <c r="T128" s="144"/>
      <c r="U128" s="144"/>
      <c r="V128" s="144"/>
      <c r="W128" s="144">
        <v>18.399999999999999</v>
      </c>
    </row>
    <row r="129" spans="1:23" x14ac:dyDescent="0.2">
      <c r="A129" s="145">
        <v>40087</v>
      </c>
      <c r="B129" s="144"/>
      <c r="C129" s="144">
        <v>5.86</v>
      </c>
      <c r="D129" s="144">
        <v>4.63</v>
      </c>
      <c r="E129" s="144">
        <v>7.28</v>
      </c>
      <c r="F129" s="144">
        <v>17.77</v>
      </c>
      <c r="H129" s="146">
        <v>11</v>
      </c>
      <c r="I129" s="144">
        <v>5.34</v>
      </c>
      <c r="J129" s="144">
        <v>2.5</v>
      </c>
      <c r="K129" s="144">
        <v>3.94</v>
      </c>
      <c r="L129" s="144">
        <v>8.7899999999999991</v>
      </c>
      <c r="M129" s="144">
        <v>20.57</v>
      </c>
      <c r="O129" s="145">
        <v>39730</v>
      </c>
      <c r="P129" s="144"/>
      <c r="Q129" s="144"/>
      <c r="R129" s="144">
        <v>8.99</v>
      </c>
      <c r="S129" s="144"/>
      <c r="T129" s="144"/>
      <c r="U129" s="144"/>
      <c r="V129" s="144"/>
      <c r="W129" s="144">
        <v>8.99</v>
      </c>
    </row>
    <row r="130" spans="1:23" x14ac:dyDescent="0.2">
      <c r="A130" s="145">
        <v>40094</v>
      </c>
      <c r="B130" s="144"/>
      <c r="C130" s="144">
        <v>4.87</v>
      </c>
      <c r="D130" s="144">
        <v>4.97</v>
      </c>
      <c r="E130" s="144">
        <v>18.84</v>
      </c>
      <c r="F130" s="144">
        <v>28.68</v>
      </c>
      <c r="H130" s="146">
        <v>12</v>
      </c>
      <c r="I130" s="144">
        <v>4.92</v>
      </c>
      <c r="J130" s="144">
        <v>2.56</v>
      </c>
      <c r="K130" s="144">
        <v>3.76</v>
      </c>
      <c r="L130" s="144">
        <v>8.5</v>
      </c>
      <c r="M130" s="144">
        <v>19.740000000000002</v>
      </c>
      <c r="O130" s="145">
        <v>39737</v>
      </c>
      <c r="P130" s="144"/>
      <c r="Q130" s="144"/>
      <c r="R130" s="144">
        <v>8.07</v>
      </c>
      <c r="S130" s="144"/>
      <c r="T130" s="144"/>
      <c r="U130" s="144"/>
      <c r="V130" s="144"/>
      <c r="W130" s="144">
        <v>8.07</v>
      </c>
    </row>
    <row r="131" spans="1:23" x14ac:dyDescent="0.2">
      <c r="A131" s="145">
        <v>40101</v>
      </c>
      <c r="B131" s="144">
        <v>6.39</v>
      </c>
      <c r="C131" s="144">
        <v>5.01</v>
      </c>
      <c r="D131" s="144">
        <v>4.6900000000000004</v>
      </c>
      <c r="E131" s="144">
        <v>8.1</v>
      </c>
      <c r="F131" s="144">
        <v>24.189999999999998</v>
      </c>
      <c r="H131" s="146">
        <v>13</v>
      </c>
      <c r="I131" s="144">
        <v>4.78</v>
      </c>
      <c r="J131" s="144">
        <v>2.87</v>
      </c>
      <c r="K131" s="144">
        <v>3.18</v>
      </c>
      <c r="L131" s="144">
        <v>8.74</v>
      </c>
      <c r="M131" s="144">
        <v>19.57</v>
      </c>
      <c r="O131" s="145">
        <v>39744</v>
      </c>
      <c r="P131" s="144"/>
      <c r="Q131" s="144"/>
      <c r="R131" s="144">
        <v>7.74</v>
      </c>
      <c r="S131" s="144"/>
      <c r="T131" s="144"/>
      <c r="U131" s="144"/>
      <c r="V131" s="144"/>
      <c r="W131" s="144">
        <v>7.74</v>
      </c>
    </row>
    <row r="132" spans="1:23" x14ac:dyDescent="0.2">
      <c r="A132" s="145">
        <v>40108</v>
      </c>
      <c r="B132" s="144">
        <v>6.68</v>
      </c>
      <c r="C132" s="144">
        <v>5.18</v>
      </c>
      <c r="D132" s="144">
        <v>4.9800000000000004</v>
      </c>
      <c r="E132" s="144">
        <v>8.52</v>
      </c>
      <c r="F132" s="144">
        <v>25.36</v>
      </c>
      <c r="H132" s="146">
        <v>14</v>
      </c>
      <c r="I132" s="144">
        <v>4.59</v>
      </c>
      <c r="J132" s="144"/>
      <c r="K132" s="144">
        <v>3.07</v>
      </c>
      <c r="L132" s="144">
        <v>22.91</v>
      </c>
      <c r="M132" s="144">
        <v>30.57</v>
      </c>
      <c r="O132" s="145">
        <v>39751</v>
      </c>
      <c r="P132" s="144"/>
      <c r="Q132" s="144"/>
      <c r="R132" s="144">
        <v>9.32</v>
      </c>
      <c r="S132" s="144">
        <v>8.6999999999999993</v>
      </c>
      <c r="T132" s="144"/>
      <c r="U132" s="144"/>
      <c r="V132" s="144"/>
      <c r="W132" s="144">
        <v>18.02</v>
      </c>
    </row>
    <row r="133" spans="1:23" x14ac:dyDescent="0.2">
      <c r="A133" s="145">
        <v>40115</v>
      </c>
      <c r="B133" s="144">
        <v>6.01</v>
      </c>
      <c r="C133" s="144">
        <v>5.32</v>
      </c>
      <c r="D133" s="144">
        <v>4.96</v>
      </c>
      <c r="E133" s="144">
        <v>8.1999999999999993</v>
      </c>
      <c r="F133" s="144">
        <v>24.49</v>
      </c>
      <c r="H133" s="146">
        <v>15</v>
      </c>
      <c r="I133" s="144">
        <v>4.07</v>
      </c>
      <c r="J133" s="144"/>
      <c r="K133" s="144">
        <v>2.95</v>
      </c>
      <c r="L133" s="144">
        <v>22.91</v>
      </c>
      <c r="M133" s="144">
        <v>29.93</v>
      </c>
      <c r="O133" s="145">
        <v>39758</v>
      </c>
      <c r="P133" s="144"/>
      <c r="Q133" s="144"/>
      <c r="R133" s="144">
        <v>8.35</v>
      </c>
      <c r="S133" s="144">
        <v>8</v>
      </c>
      <c r="T133" s="144"/>
      <c r="U133" s="144"/>
      <c r="V133" s="144"/>
      <c r="W133" s="144">
        <v>16.350000000000001</v>
      </c>
    </row>
    <row r="134" spans="1:23" x14ac:dyDescent="0.2">
      <c r="A134" s="145">
        <v>40122</v>
      </c>
      <c r="B134" s="144">
        <v>6.15</v>
      </c>
      <c r="C134" s="144">
        <v>5.45</v>
      </c>
      <c r="D134" s="144">
        <v>4.9400000000000004</v>
      </c>
      <c r="E134" s="144">
        <v>7.94</v>
      </c>
      <c r="F134" s="144">
        <v>24.480000000000004</v>
      </c>
      <c r="H134" s="146">
        <v>16</v>
      </c>
      <c r="I134" s="144">
        <v>4.5</v>
      </c>
      <c r="J134" s="144"/>
      <c r="K134" s="144">
        <v>3</v>
      </c>
      <c r="L134" s="144">
        <v>8.39</v>
      </c>
      <c r="M134" s="144">
        <v>15.89</v>
      </c>
      <c r="O134" s="145">
        <v>39765</v>
      </c>
      <c r="P134" s="144"/>
      <c r="Q134" s="144"/>
      <c r="R134" s="144">
        <v>8.18</v>
      </c>
      <c r="S134" s="144">
        <v>7.5</v>
      </c>
      <c r="T134" s="144"/>
      <c r="U134" s="144"/>
      <c r="V134" s="144"/>
      <c r="W134" s="144">
        <v>15.68</v>
      </c>
    </row>
    <row r="135" spans="1:23" x14ac:dyDescent="0.2">
      <c r="A135" s="145">
        <v>40129</v>
      </c>
      <c r="B135" s="144">
        <v>6</v>
      </c>
      <c r="C135" s="144">
        <v>5.09</v>
      </c>
      <c r="D135" s="144">
        <v>4.67</v>
      </c>
      <c r="E135" s="144">
        <v>7.76</v>
      </c>
      <c r="F135" s="144">
        <v>23.52</v>
      </c>
      <c r="H135" s="146">
        <v>17</v>
      </c>
      <c r="I135" s="144">
        <v>4.1900000000000004</v>
      </c>
      <c r="J135" s="144"/>
      <c r="K135" s="144">
        <v>2.93</v>
      </c>
      <c r="L135" s="144">
        <v>8.89</v>
      </c>
      <c r="M135" s="144">
        <v>16.010000000000002</v>
      </c>
      <c r="O135" s="145">
        <v>39772</v>
      </c>
      <c r="P135" s="144"/>
      <c r="Q135" s="144"/>
      <c r="R135" s="144">
        <v>8.4</v>
      </c>
      <c r="S135" s="144">
        <v>7.3</v>
      </c>
      <c r="T135" s="144"/>
      <c r="U135" s="144"/>
      <c r="V135" s="144"/>
      <c r="W135" s="144">
        <v>15.7</v>
      </c>
    </row>
    <row r="136" spans="1:23" x14ac:dyDescent="0.2">
      <c r="A136" s="145">
        <v>40136</v>
      </c>
      <c r="B136" s="144">
        <v>5.72</v>
      </c>
      <c r="C136" s="144">
        <v>4.8600000000000003</v>
      </c>
      <c r="D136" s="144">
        <v>4.6100000000000003</v>
      </c>
      <c r="E136" s="144">
        <v>7.43</v>
      </c>
      <c r="F136" s="144">
        <v>22.62</v>
      </c>
      <c r="H136" s="146">
        <v>18</v>
      </c>
      <c r="I136" s="144">
        <v>4.3600000000000003</v>
      </c>
      <c r="J136" s="144"/>
      <c r="K136" s="144">
        <v>3.15</v>
      </c>
      <c r="L136" s="144">
        <v>8.6300000000000008</v>
      </c>
      <c r="M136" s="144">
        <v>16.14</v>
      </c>
      <c r="O136" s="145">
        <v>39786</v>
      </c>
      <c r="P136" s="144"/>
      <c r="Q136" s="144"/>
      <c r="R136" s="144">
        <v>8.33</v>
      </c>
      <c r="S136" s="144">
        <v>7.1</v>
      </c>
      <c r="T136" s="144"/>
      <c r="U136" s="144"/>
      <c r="V136" s="144"/>
      <c r="W136" s="144">
        <v>15.43</v>
      </c>
    </row>
    <row r="137" spans="1:23" x14ac:dyDescent="0.2">
      <c r="A137" s="145">
        <v>40150</v>
      </c>
      <c r="B137" s="144">
        <v>6.08</v>
      </c>
      <c r="C137" s="144">
        <v>5.42</v>
      </c>
      <c r="D137" s="144">
        <v>4.83</v>
      </c>
      <c r="E137" s="144">
        <v>8.1</v>
      </c>
      <c r="F137" s="144">
        <v>24.43</v>
      </c>
      <c r="H137" s="146">
        <v>19</v>
      </c>
      <c r="I137" s="144">
        <v>4.45</v>
      </c>
      <c r="J137" s="144"/>
      <c r="K137" s="144">
        <v>3.35</v>
      </c>
      <c r="L137" s="144">
        <v>7.51</v>
      </c>
      <c r="M137" s="144">
        <v>15.31</v>
      </c>
      <c r="O137" s="145">
        <v>39793</v>
      </c>
      <c r="P137" s="144"/>
      <c r="Q137" s="144"/>
      <c r="R137" s="144">
        <v>8.7899999999999991</v>
      </c>
      <c r="S137" s="144">
        <v>8.9</v>
      </c>
      <c r="T137" s="144"/>
      <c r="U137" s="144"/>
      <c r="V137" s="144"/>
      <c r="W137" s="144">
        <v>17.689999999999998</v>
      </c>
    </row>
    <row r="138" spans="1:23" x14ac:dyDescent="0.2">
      <c r="A138" s="145">
        <v>40157</v>
      </c>
      <c r="B138" s="144">
        <v>6.7</v>
      </c>
      <c r="C138" s="144">
        <v>5.51</v>
      </c>
      <c r="D138" s="144">
        <v>4.9000000000000004</v>
      </c>
      <c r="E138" s="144">
        <v>8.51</v>
      </c>
      <c r="F138" s="144">
        <v>25.619999999999997</v>
      </c>
      <c r="H138" s="146">
        <v>20</v>
      </c>
      <c r="I138" s="144">
        <v>4.5999999999999996</v>
      </c>
      <c r="J138" s="144"/>
      <c r="K138" s="144">
        <v>3.34</v>
      </c>
      <c r="L138" s="144">
        <v>7.95</v>
      </c>
      <c r="M138" s="144">
        <v>15.89</v>
      </c>
      <c r="O138" s="143" t="s">
        <v>1003</v>
      </c>
      <c r="P138" s="144"/>
      <c r="Q138" s="144"/>
      <c r="R138" s="144"/>
      <c r="S138" s="144"/>
      <c r="T138" s="144"/>
      <c r="U138" s="144"/>
      <c r="V138" s="144"/>
      <c r="W138" s="144"/>
    </row>
    <row r="139" spans="1:23" x14ac:dyDescent="0.2">
      <c r="A139" s="143" t="s">
        <v>1004</v>
      </c>
      <c r="B139" s="144">
        <v>130.47</v>
      </c>
      <c r="C139" s="144">
        <v>112.89000000000001</v>
      </c>
      <c r="D139" s="144">
        <v>54.120000000000005</v>
      </c>
      <c r="E139" s="144">
        <v>184.47000000000003</v>
      </c>
      <c r="F139" s="144">
        <v>481.94999999999993</v>
      </c>
      <c r="H139" s="146">
        <v>21</v>
      </c>
      <c r="I139" s="144">
        <v>3.95</v>
      </c>
      <c r="J139" s="144"/>
      <c r="K139" s="144">
        <v>2.59</v>
      </c>
      <c r="L139" s="144">
        <v>8.4499999999999993</v>
      </c>
      <c r="M139" s="144">
        <v>14.989999999999998</v>
      </c>
      <c r="O139" s="145">
        <v>39821</v>
      </c>
      <c r="P139" s="144"/>
      <c r="Q139" s="144"/>
      <c r="R139" s="144"/>
      <c r="S139" s="144">
        <v>5.4</v>
      </c>
      <c r="T139" s="144"/>
      <c r="U139" s="144"/>
      <c r="V139" s="144"/>
      <c r="W139" s="144">
        <v>5.4</v>
      </c>
    </row>
    <row r="140" spans="1:23" x14ac:dyDescent="0.2">
      <c r="A140" s="145">
        <v>40192</v>
      </c>
      <c r="B140" s="144">
        <v>10.129999999999999</v>
      </c>
      <c r="C140" s="144">
        <v>5.42</v>
      </c>
      <c r="D140" s="144">
        <v>4.59</v>
      </c>
      <c r="E140" s="144"/>
      <c r="F140" s="144">
        <v>20.14</v>
      </c>
      <c r="H140" s="146">
        <v>22</v>
      </c>
      <c r="I140" s="144">
        <v>3.95</v>
      </c>
      <c r="J140" s="144"/>
      <c r="K140" s="144">
        <v>2.99</v>
      </c>
      <c r="L140" s="144">
        <v>7.2</v>
      </c>
      <c r="M140" s="144">
        <v>14.14</v>
      </c>
      <c r="O140" s="145">
        <v>39828</v>
      </c>
      <c r="P140" s="144"/>
      <c r="Q140" s="144"/>
      <c r="R140" s="144">
        <v>8.5</v>
      </c>
      <c r="S140" s="144">
        <v>6.6</v>
      </c>
      <c r="T140" s="144"/>
      <c r="U140" s="144"/>
      <c r="V140" s="144"/>
      <c r="W140" s="144">
        <v>15.1</v>
      </c>
    </row>
    <row r="141" spans="1:23" x14ac:dyDescent="0.2">
      <c r="A141" s="145">
        <v>40199</v>
      </c>
      <c r="B141" s="144">
        <v>5.58</v>
      </c>
      <c r="C141" s="144">
        <v>4.7300000000000004</v>
      </c>
      <c r="D141" s="144">
        <v>4.3499999999999996</v>
      </c>
      <c r="E141" s="144">
        <v>7.29</v>
      </c>
      <c r="F141" s="144">
        <v>21.95</v>
      </c>
      <c r="H141" s="146">
        <v>23</v>
      </c>
      <c r="I141" s="144">
        <v>4.2</v>
      </c>
      <c r="J141" s="144"/>
      <c r="K141" s="144"/>
      <c r="L141" s="144">
        <v>7.94</v>
      </c>
      <c r="M141" s="144">
        <v>12.14</v>
      </c>
      <c r="O141" s="145">
        <v>39835</v>
      </c>
      <c r="P141" s="144"/>
      <c r="Q141" s="144"/>
      <c r="R141" s="144">
        <v>8.74</v>
      </c>
      <c r="S141" s="144">
        <v>6.4</v>
      </c>
      <c r="T141" s="144"/>
      <c r="U141" s="144"/>
      <c r="V141" s="144"/>
      <c r="W141" s="144">
        <v>15.14</v>
      </c>
    </row>
    <row r="142" spans="1:23" x14ac:dyDescent="0.2">
      <c r="A142" s="145">
        <v>40213</v>
      </c>
      <c r="B142" s="144">
        <v>5.79</v>
      </c>
      <c r="C142" s="144">
        <v>5.23</v>
      </c>
      <c r="D142" s="144">
        <v>4.87</v>
      </c>
      <c r="E142" s="144">
        <v>7.36</v>
      </c>
      <c r="F142" s="144">
        <v>23.25</v>
      </c>
      <c r="H142" s="146">
        <v>24</v>
      </c>
      <c r="I142" s="144"/>
      <c r="J142" s="144"/>
      <c r="K142" s="144"/>
      <c r="L142" s="144">
        <v>8.24</v>
      </c>
      <c r="M142" s="144">
        <v>8.24</v>
      </c>
      <c r="O142" s="145">
        <v>39849</v>
      </c>
      <c r="P142" s="144"/>
      <c r="Q142" s="144"/>
      <c r="R142" s="144">
        <v>8.39</v>
      </c>
      <c r="S142" s="144">
        <v>6.4</v>
      </c>
      <c r="T142" s="144"/>
      <c r="U142" s="144"/>
      <c r="V142" s="144"/>
      <c r="W142" s="144">
        <v>14.790000000000001</v>
      </c>
    </row>
    <row r="143" spans="1:23" x14ac:dyDescent="0.2">
      <c r="A143" s="145">
        <v>40220</v>
      </c>
      <c r="B143" s="144">
        <v>6</v>
      </c>
      <c r="C143" s="144">
        <v>5.15</v>
      </c>
      <c r="D143" s="144">
        <v>4.9800000000000004</v>
      </c>
      <c r="E143" s="144">
        <v>7.4</v>
      </c>
      <c r="F143" s="144">
        <v>23.53</v>
      </c>
      <c r="H143" s="146">
        <v>25</v>
      </c>
      <c r="I143" s="144"/>
      <c r="J143" s="144"/>
      <c r="K143" s="144"/>
      <c r="L143" s="144">
        <v>7.21</v>
      </c>
      <c r="M143" s="144">
        <v>7.21</v>
      </c>
      <c r="O143" s="145">
        <v>39856</v>
      </c>
      <c r="P143" s="144"/>
      <c r="Q143" s="144"/>
      <c r="R143" s="144">
        <v>8.89</v>
      </c>
      <c r="S143" s="144">
        <v>7.6</v>
      </c>
      <c r="T143" s="144"/>
      <c r="U143" s="144"/>
      <c r="V143" s="144"/>
      <c r="W143" s="144">
        <v>16.490000000000002</v>
      </c>
    </row>
    <row r="144" spans="1:23" x14ac:dyDescent="0.2">
      <c r="A144" s="145">
        <v>40241</v>
      </c>
      <c r="B144" s="144"/>
      <c r="C144" s="144">
        <v>5.0599999999999996</v>
      </c>
      <c r="D144" s="144">
        <v>4.6399999999999997</v>
      </c>
      <c r="E144" s="144">
        <v>18</v>
      </c>
      <c r="F144" s="144">
        <v>27.7</v>
      </c>
      <c r="H144" s="146">
        <v>26</v>
      </c>
      <c r="I144" s="144"/>
      <c r="J144" s="144"/>
      <c r="K144" s="144"/>
      <c r="L144" s="144">
        <v>7.31</v>
      </c>
      <c r="M144" s="144">
        <v>7.31</v>
      </c>
      <c r="O144" s="145">
        <v>39870</v>
      </c>
      <c r="P144" s="144"/>
      <c r="Q144" s="144"/>
      <c r="R144" s="144"/>
      <c r="S144" s="144">
        <v>6.4</v>
      </c>
      <c r="T144" s="144"/>
      <c r="U144" s="144"/>
      <c r="V144" s="144"/>
      <c r="W144" s="144">
        <v>6.4</v>
      </c>
    </row>
    <row r="145" spans="1:23" x14ac:dyDescent="0.2">
      <c r="A145" s="145">
        <v>40248</v>
      </c>
      <c r="B145" s="144">
        <v>5.89</v>
      </c>
      <c r="C145" s="144">
        <v>4.7</v>
      </c>
      <c r="D145" s="144">
        <v>4.6100000000000003</v>
      </c>
      <c r="E145" s="144">
        <v>7.51</v>
      </c>
      <c r="F145" s="144">
        <v>22.71</v>
      </c>
      <c r="H145" s="146">
        <v>27</v>
      </c>
      <c r="I145" s="144"/>
      <c r="J145" s="144"/>
      <c r="K145" s="144"/>
      <c r="L145" s="144">
        <v>7.71</v>
      </c>
      <c r="M145" s="144">
        <v>7.71</v>
      </c>
      <c r="O145" s="145">
        <v>39877</v>
      </c>
      <c r="P145" s="144"/>
      <c r="Q145" s="144"/>
      <c r="R145" s="144">
        <v>8.6300000000000008</v>
      </c>
      <c r="S145" s="144">
        <v>7.3</v>
      </c>
      <c r="T145" s="144"/>
      <c r="U145" s="144"/>
      <c r="V145" s="144"/>
      <c r="W145" s="144">
        <v>15.93</v>
      </c>
    </row>
    <row r="146" spans="1:23" x14ac:dyDescent="0.2">
      <c r="A146" s="145">
        <v>40255</v>
      </c>
      <c r="B146" s="144">
        <v>6.79</v>
      </c>
      <c r="C146" s="144">
        <v>5.21</v>
      </c>
      <c r="D146" s="144">
        <v>4.7</v>
      </c>
      <c r="E146" s="144">
        <v>7.63</v>
      </c>
      <c r="F146" s="144">
        <v>24.33</v>
      </c>
      <c r="H146" s="146">
        <v>28</v>
      </c>
      <c r="I146" s="144"/>
      <c r="J146" s="144"/>
      <c r="K146" s="144"/>
      <c r="L146" s="144">
        <v>6.72</v>
      </c>
      <c r="M146" s="144">
        <v>6.72</v>
      </c>
      <c r="O146" s="145">
        <v>39884</v>
      </c>
      <c r="P146" s="144"/>
      <c r="Q146" s="144"/>
      <c r="R146" s="144">
        <v>7.51</v>
      </c>
      <c r="S146" s="144">
        <v>6.4</v>
      </c>
      <c r="T146" s="144"/>
      <c r="U146" s="144"/>
      <c r="V146" s="144"/>
      <c r="W146" s="144">
        <v>13.91</v>
      </c>
    </row>
    <row r="147" spans="1:23" x14ac:dyDescent="0.2">
      <c r="A147" s="145">
        <v>40262</v>
      </c>
      <c r="B147" s="144">
        <v>6.25</v>
      </c>
      <c r="C147" s="144">
        <v>5.07</v>
      </c>
      <c r="D147" s="144">
        <v>4.49</v>
      </c>
      <c r="E147" s="144">
        <v>7.17</v>
      </c>
      <c r="F147" s="144">
        <v>22.98</v>
      </c>
      <c r="H147" s="143" t="s">
        <v>224</v>
      </c>
      <c r="I147" s="144">
        <v>76.470000000000013</v>
      </c>
      <c r="J147" s="144"/>
      <c r="K147" s="144">
        <v>64.63</v>
      </c>
      <c r="L147" s="144">
        <v>201.91999999999996</v>
      </c>
      <c r="M147" s="144">
        <v>343.02000000000004</v>
      </c>
      <c r="O147" s="145">
        <v>39891</v>
      </c>
      <c r="P147" s="144"/>
      <c r="Q147" s="144"/>
      <c r="R147" s="144">
        <v>7.95</v>
      </c>
      <c r="S147" s="144">
        <v>7.1</v>
      </c>
      <c r="T147" s="144"/>
      <c r="U147" s="144"/>
      <c r="V147" s="144"/>
      <c r="W147" s="144">
        <v>15.05</v>
      </c>
    </row>
    <row r="148" spans="1:23" x14ac:dyDescent="0.2">
      <c r="A148" s="145">
        <v>40290</v>
      </c>
      <c r="B148" s="144">
        <v>9.16</v>
      </c>
      <c r="C148" s="144">
        <v>3.67</v>
      </c>
      <c r="D148" s="144"/>
      <c r="E148" s="144">
        <v>6.3</v>
      </c>
      <c r="F148" s="144">
        <v>19.13</v>
      </c>
      <c r="H148" s="146">
        <v>1</v>
      </c>
      <c r="I148" s="144">
        <v>4.47</v>
      </c>
      <c r="J148" s="144"/>
      <c r="K148" s="144">
        <v>3.27</v>
      </c>
      <c r="L148" s="144">
        <v>8.1999999999999993</v>
      </c>
      <c r="M148" s="144">
        <v>15.94</v>
      </c>
      <c r="O148" s="145">
        <v>39898</v>
      </c>
      <c r="P148" s="144"/>
      <c r="Q148" s="144"/>
      <c r="R148" s="144">
        <v>8.4499999999999993</v>
      </c>
      <c r="S148" s="144">
        <v>7.2</v>
      </c>
      <c r="T148" s="144"/>
      <c r="U148" s="144"/>
      <c r="V148" s="144"/>
      <c r="W148" s="144">
        <v>15.649999999999999</v>
      </c>
    </row>
    <row r="149" spans="1:23" x14ac:dyDescent="0.2">
      <c r="A149" s="145">
        <v>40297</v>
      </c>
      <c r="B149" s="144">
        <v>5.44</v>
      </c>
      <c r="C149" s="144">
        <v>4.3600000000000003</v>
      </c>
      <c r="D149" s="144">
        <v>4.03</v>
      </c>
      <c r="E149" s="144">
        <v>7.01</v>
      </c>
      <c r="F149" s="144">
        <v>20.840000000000003</v>
      </c>
      <c r="H149" s="146">
        <v>2</v>
      </c>
      <c r="I149" s="144">
        <v>4.05</v>
      </c>
      <c r="J149" s="144"/>
      <c r="K149" s="144">
        <v>3.27</v>
      </c>
      <c r="L149" s="144">
        <v>7.33</v>
      </c>
      <c r="M149" s="144">
        <v>14.65</v>
      </c>
      <c r="O149" s="145">
        <v>39912</v>
      </c>
      <c r="P149" s="144"/>
      <c r="Q149" s="144">
        <v>6.77</v>
      </c>
      <c r="R149" s="144">
        <v>15.14</v>
      </c>
      <c r="S149" s="144">
        <v>6.8</v>
      </c>
      <c r="T149" s="144"/>
      <c r="U149" s="144"/>
      <c r="V149" s="144"/>
      <c r="W149" s="144">
        <v>28.71</v>
      </c>
    </row>
    <row r="150" spans="1:23" x14ac:dyDescent="0.2">
      <c r="A150" s="145">
        <v>40304</v>
      </c>
      <c r="B150" s="144">
        <v>5.42</v>
      </c>
      <c r="C150" s="144">
        <v>4.3499999999999996</v>
      </c>
      <c r="D150" s="144">
        <v>4.03</v>
      </c>
      <c r="E150" s="144">
        <v>6.84</v>
      </c>
      <c r="F150" s="144">
        <v>20.64</v>
      </c>
      <c r="H150" s="146">
        <v>3</v>
      </c>
      <c r="I150" s="144">
        <v>3.82</v>
      </c>
      <c r="J150" s="144"/>
      <c r="K150" s="144">
        <v>3.14</v>
      </c>
      <c r="L150" s="144">
        <v>7.28</v>
      </c>
      <c r="M150" s="144">
        <v>14.24</v>
      </c>
      <c r="O150" s="145">
        <v>39919</v>
      </c>
      <c r="P150" s="144"/>
      <c r="Q150" s="144">
        <v>5.92</v>
      </c>
      <c r="R150" s="144">
        <v>8.24</v>
      </c>
      <c r="S150" s="144">
        <v>7.3</v>
      </c>
      <c r="T150" s="144"/>
      <c r="U150" s="144"/>
      <c r="V150" s="144"/>
      <c r="W150" s="144">
        <v>21.46</v>
      </c>
    </row>
    <row r="151" spans="1:23" x14ac:dyDescent="0.2">
      <c r="A151" s="145">
        <v>40311</v>
      </c>
      <c r="B151" s="144">
        <v>4.96</v>
      </c>
      <c r="C151" s="144">
        <v>4.49</v>
      </c>
      <c r="D151" s="144">
        <v>4.28</v>
      </c>
      <c r="E151" s="144">
        <v>6.6</v>
      </c>
      <c r="F151" s="144">
        <v>20.329999999999998</v>
      </c>
      <c r="H151" s="146">
        <v>4</v>
      </c>
      <c r="I151" s="144">
        <v>3.98</v>
      </c>
      <c r="J151" s="144"/>
      <c r="K151" s="144">
        <v>3.23</v>
      </c>
      <c r="L151" s="144">
        <v>9.42</v>
      </c>
      <c r="M151" s="144">
        <v>16.63</v>
      </c>
      <c r="O151" s="145">
        <v>39926</v>
      </c>
      <c r="P151" s="144"/>
      <c r="Q151" s="144">
        <v>5.24</v>
      </c>
      <c r="R151" s="144">
        <v>7.21</v>
      </c>
      <c r="S151" s="144">
        <v>6.3</v>
      </c>
      <c r="T151" s="144"/>
      <c r="U151" s="144"/>
      <c r="V151" s="144"/>
      <c r="W151" s="144">
        <v>18.75</v>
      </c>
    </row>
    <row r="152" spans="1:23" x14ac:dyDescent="0.2">
      <c r="A152" s="145">
        <v>40318</v>
      </c>
      <c r="B152" s="144">
        <v>5.45</v>
      </c>
      <c r="C152" s="144">
        <v>4.41</v>
      </c>
      <c r="D152" s="144">
        <v>4.55</v>
      </c>
      <c r="E152" s="144">
        <v>6.6</v>
      </c>
      <c r="F152" s="144">
        <v>21.009999999999998</v>
      </c>
      <c r="H152" s="146">
        <v>5</v>
      </c>
      <c r="I152" s="144">
        <v>3.23</v>
      </c>
      <c r="J152" s="144"/>
      <c r="K152" s="144">
        <v>3.27</v>
      </c>
      <c r="L152" s="144">
        <v>9.42</v>
      </c>
      <c r="M152" s="144">
        <v>15.92</v>
      </c>
      <c r="O152" s="145">
        <v>39933</v>
      </c>
      <c r="P152" s="144"/>
      <c r="Q152" s="144">
        <v>5.29</v>
      </c>
      <c r="R152" s="144">
        <v>7.31</v>
      </c>
      <c r="S152" s="144">
        <v>6</v>
      </c>
      <c r="T152" s="144"/>
      <c r="U152" s="144"/>
      <c r="V152" s="144"/>
      <c r="W152" s="144">
        <v>18.600000000000001</v>
      </c>
    </row>
    <row r="153" spans="1:23" x14ac:dyDescent="0.2">
      <c r="A153" s="145">
        <v>40444</v>
      </c>
      <c r="B153" s="144">
        <v>5.85</v>
      </c>
      <c r="C153" s="144">
        <v>5.01</v>
      </c>
      <c r="D153" s="144"/>
      <c r="E153" s="144">
        <v>8.4</v>
      </c>
      <c r="F153" s="144">
        <v>19.259999999999998</v>
      </c>
      <c r="H153" s="146">
        <v>6</v>
      </c>
      <c r="I153" s="144">
        <v>3.88</v>
      </c>
      <c r="J153" s="144"/>
      <c r="K153" s="144">
        <v>3.03</v>
      </c>
      <c r="L153" s="144">
        <v>8.1</v>
      </c>
      <c r="M153" s="144">
        <v>15.01</v>
      </c>
      <c r="O153" s="145">
        <v>39940</v>
      </c>
      <c r="P153" s="144"/>
      <c r="Q153" s="144">
        <v>4.6399999999999997</v>
      </c>
      <c r="R153" s="144">
        <v>7.71</v>
      </c>
      <c r="S153" s="144">
        <v>6.2</v>
      </c>
      <c r="T153" s="144"/>
      <c r="U153" s="144"/>
      <c r="V153" s="144"/>
      <c r="W153" s="144">
        <v>18.55</v>
      </c>
    </row>
    <row r="154" spans="1:23" x14ac:dyDescent="0.2">
      <c r="A154" s="145">
        <v>40451</v>
      </c>
      <c r="B154" s="144">
        <v>5.68</v>
      </c>
      <c r="C154" s="144">
        <v>4.53</v>
      </c>
      <c r="D154" s="144"/>
      <c r="E154" s="144">
        <v>7.36</v>
      </c>
      <c r="F154" s="144">
        <v>17.57</v>
      </c>
      <c r="H154" s="146">
        <v>7</v>
      </c>
      <c r="I154" s="144">
        <v>3.59</v>
      </c>
      <c r="J154" s="144"/>
      <c r="K154" s="144">
        <v>3.03</v>
      </c>
      <c r="L154" s="144">
        <v>8.52</v>
      </c>
      <c r="M154" s="144">
        <v>15.139999999999999</v>
      </c>
      <c r="O154" s="145">
        <v>39947</v>
      </c>
      <c r="P154" s="144"/>
      <c r="Q154" s="144">
        <v>4.25</v>
      </c>
      <c r="R154" s="144">
        <v>6.72</v>
      </c>
      <c r="S154" s="144">
        <v>5.7</v>
      </c>
      <c r="T154" s="144"/>
      <c r="U154" s="144"/>
      <c r="V154" s="144"/>
      <c r="W154" s="144">
        <v>16.669999999999998</v>
      </c>
    </row>
    <row r="155" spans="1:23" x14ac:dyDescent="0.2">
      <c r="A155" s="145">
        <v>40458</v>
      </c>
      <c r="B155" s="144">
        <v>4.9000000000000004</v>
      </c>
      <c r="C155" s="144">
        <v>4.2</v>
      </c>
      <c r="D155" s="144"/>
      <c r="E155" s="144">
        <v>6.95</v>
      </c>
      <c r="F155" s="144">
        <v>16.05</v>
      </c>
      <c r="H155" s="146">
        <v>8</v>
      </c>
      <c r="I155" s="144">
        <v>3.59</v>
      </c>
      <c r="J155" s="144"/>
      <c r="K155" s="144">
        <v>2.81</v>
      </c>
      <c r="L155" s="144">
        <v>8.1999999999999993</v>
      </c>
      <c r="M155" s="144">
        <v>14.6</v>
      </c>
      <c r="O155" s="145">
        <v>40073</v>
      </c>
      <c r="P155" s="144"/>
      <c r="Q155" s="144">
        <v>5</v>
      </c>
      <c r="R155" s="144">
        <v>8.1999999999999993</v>
      </c>
      <c r="S155" s="144">
        <v>7.89</v>
      </c>
      <c r="T155" s="144"/>
      <c r="U155" s="144"/>
      <c r="V155" s="144"/>
      <c r="W155" s="144">
        <v>21.09</v>
      </c>
    </row>
    <row r="156" spans="1:23" x14ac:dyDescent="0.2">
      <c r="A156" s="145">
        <v>40465</v>
      </c>
      <c r="B156" s="144">
        <v>6.7</v>
      </c>
      <c r="C156" s="144">
        <v>4.8099999999999996</v>
      </c>
      <c r="D156" s="144"/>
      <c r="E156" s="144">
        <v>7.36</v>
      </c>
      <c r="F156" s="144">
        <v>18.87</v>
      </c>
      <c r="H156" s="146">
        <v>9</v>
      </c>
      <c r="I156" s="144">
        <v>3.7</v>
      </c>
      <c r="J156" s="144"/>
      <c r="K156" s="144">
        <v>2.81</v>
      </c>
      <c r="L156" s="144">
        <v>7.94</v>
      </c>
      <c r="M156" s="144">
        <v>14.45</v>
      </c>
      <c r="O156" s="145">
        <v>40080</v>
      </c>
      <c r="P156" s="144"/>
      <c r="Q156" s="144">
        <v>4.22</v>
      </c>
      <c r="R156" s="144">
        <v>7.33</v>
      </c>
      <c r="S156" s="144">
        <v>5.39</v>
      </c>
      <c r="T156" s="144"/>
      <c r="U156" s="144"/>
      <c r="V156" s="144"/>
      <c r="W156" s="144">
        <v>16.940000000000001</v>
      </c>
    </row>
    <row r="157" spans="1:23" x14ac:dyDescent="0.2">
      <c r="A157" s="145">
        <v>40472</v>
      </c>
      <c r="B157" s="144">
        <v>5.18</v>
      </c>
      <c r="C157" s="144">
        <v>4.46</v>
      </c>
      <c r="D157" s="144"/>
      <c r="E157" s="144">
        <v>6.87</v>
      </c>
      <c r="F157" s="144">
        <v>16.510000000000002</v>
      </c>
      <c r="H157" s="146">
        <v>10</v>
      </c>
      <c r="I157" s="144">
        <v>3.77</v>
      </c>
      <c r="J157" s="144"/>
      <c r="K157" s="144">
        <v>3.43</v>
      </c>
      <c r="L157" s="144">
        <v>7.76</v>
      </c>
      <c r="M157" s="144">
        <v>14.96</v>
      </c>
      <c r="O157" s="145">
        <v>40087</v>
      </c>
      <c r="P157" s="144"/>
      <c r="Q157" s="144">
        <v>4.63</v>
      </c>
      <c r="R157" s="144">
        <v>7.28</v>
      </c>
      <c r="S157" s="144">
        <v>5.86</v>
      </c>
      <c r="T157" s="144"/>
      <c r="U157" s="144"/>
      <c r="V157" s="144"/>
      <c r="W157" s="144">
        <v>17.77</v>
      </c>
    </row>
    <row r="158" spans="1:23" x14ac:dyDescent="0.2">
      <c r="A158" s="145">
        <v>40479</v>
      </c>
      <c r="B158" s="144"/>
      <c r="C158" s="144">
        <v>5.64</v>
      </c>
      <c r="D158" s="144"/>
      <c r="E158" s="144">
        <v>8.07</v>
      </c>
      <c r="F158" s="144">
        <v>13.71</v>
      </c>
      <c r="H158" s="146">
        <v>11</v>
      </c>
      <c r="I158" s="144">
        <v>3.42</v>
      </c>
      <c r="J158" s="144"/>
      <c r="K158" s="144">
        <v>3.05</v>
      </c>
      <c r="L158" s="144">
        <v>7.43</v>
      </c>
      <c r="M158" s="144">
        <v>13.899999999999999</v>
      </c>
      <c r="O158" s="145">
        <v>40094</v>
      </c>
      <c r="P158" s="144">
        <v>4.87</v>
      </c>
      <c r="Q158" s="144">
        <v>4.97</v>
      </c>
      <c r="R158" s="144">
        <v>9.42</v>
      </c>
      <c r="S158" s="144">
        <v>9.42</v>
      </c>
      <c r="T158" s="144"/>
      <c r="U158" s="144"/>
      <c r="V158" s="144"/>
      <c r="W158" s="144">
        <v>28.68</v>
      </c>
    </row>
    <row r="159" spans="1:23" x14ac:dyDescent="0.2">
      <c r="A159" s="145">
        <v>40486</v>
      </c>
      <c r="B159" s="144">
        <v>5.31</v>
      </c>
      <c r="C159" s="144">
        <v>4.6100000000000003</v>
      </c>
      <c r="D159" s="144"/>
      <c r="E159" s="144">
        <v>7.65</v>
      </c>
      <c r="F159" s="144">
        <v>17.57</v>
      </c>
      <c r="H159" s="146">
        <v>12</v>
      </c>
      <c r="I159" s="144">
        <v>4</v>
      </c>
      <c r="J159" s="144"/>
      <c r="K159" s="144">
        <v>2.98</v>
      </c>
      <c r="L159" s="144">
        <v>8.1</v>
      </c>
      <c r="M159" s="144">
        <v>15.08</v>
      </c>
      <c r="O159" s="145">
        <v>40101</v>
      </c>
      <c r="P159" s="144">
        <v>5.01</v>
      </c>
      <c r="Q159" s="144">
        <v>4.6900000000000004</v>
      </c>
      <c r="R159" s="144">
        <v>8.1</v>
      </c>
      <c r="S159" s="144">
        <v>6.39</v>
      </c>
      <c r="T159" s="144"/>
      <c r="U159" s="144"/>
      <c r="V159" s="144"/>
      <c r="W159" s="144">
        <v>24.189999999999998</v>
      </c>
    </row>
    <row r="160" spans="1:23" x14ac:dyDescent="0.2">
      <c r="A160" s="145">
        <v>40493</v>
      </c>
      <c r="B160" s="144">
        <v>5.09</v>
      </c>
      <c r="C160" s="144">
        <v>4.53</v>
      </c>
      <c r="D160" s="144"/>
      <c r="E160" s="144">
        <v>7.15</v>
      </c>
      <c r="F160" s="144">
        <v>16.770000000000003</v>
      </c>
      <c r="H160" s="146">
        <v>13</v>
      </c>
      <c r="I160" s="144">
        <v>3.31</v>
      </c>
      <c r="J160" s="144"/>
      <c r="K160" s="144">
        <v>3.03</v>
      </c>
      <c r="L160" s="144">
        <v>8.51</v>
      </c>
      <c r="M160" s="144">
        <v>14.85</v>
      </c>
      <c r="O160" s="145">
        <v>40108</v>
      </c>
      <c r="P160" s="144">
        <v>5.18</v>
      </c>
      <c r="Q160" s="144">
        <v>4.9800000000000004</v>
      </c>
      <c r="R160" s="144">
        <v>8.52</v>
      </c>
      <c r="S160" s="144">
        <v>6.68</v>
      </c>
      <c r="T160" s="144"/>
      <c r="U160" s="144"/>
      <c r="V160" s="144"/>
      <c r="W160" s="144">
        <v>25.36</v>
      </c>
    </row>
    <row r="161" spans="1:23" x14ac:dyDescent="0.2">
      <c r="A161" s="145">
        <v>40500</v>
      </c>
      <c r="B161" s="144">
        <v>5.1100000000000003</v>
      </c>
      <c r="C161" s="144">
        <v>4.41</v>
      </c>
      <c r="D161" s="144"/>
      <c r="E161" s="144">
        <v>7.28</v>
      </c>
      <c r="F161" s="144">
        <v>16.8</v>
      </c>
      <c r="H161" s="146">
        <v>14</v>
      </c>
      <c r="I161" s="144">
        <v>3.42</v>
      </c>
      <c r="J161" s="144"/>
      <c r="K161" s="144">
        <v>2.52</v>
      </c>
      <c r="L161" s="144">
        <v>7.29</v>
      </c>
      <c r="M161" s="144">
        <v>13.23</v>
      </c>
      <c r="O161" s="145">
        <v>40115</v>
      </c>
      <c r="P161" s="144">
        <v>5.32</v>
      </c>
      <c r="Q161" s="144">
        <v>4.96</v>
      </c>
      <c r="R161" s="144">
        <v>8.1999999999999993</v>
      </c>
      <c r="S161" s="144">
        <v>6.01</v>
      </c>
      <c r="T161" s="144"/>
      <c r="U161" s="144"/>
      <c r="V161" s="144"/>
      <c r="W161" s="144">
        <v>24.490000000000002</v>
      </c>
    </row>
    <row r="162" spans="1:23" x14ac:dyDescent="0.2">
      <c r="A162" s="145">
        <v>40514</v>
      </c>
      <c r="B162" s="144">
        <v>5.03</v>
      </c>
      <c r="C162" s="144">
        <v>4.55</v>
      </c>
      <c r="D162" s="144"/>
      <c r="E162" s="144">
        <v>7.31</v>
      </c>
      <c r="F162" s="144">
        <v>16.89</v>
      </c>
      <c r="H162" s="146">
        <v>15</v>
      </c>
      <c r="I162" s="144">
        <v>3.14</v>
      </c>
      <c r="J162" s="144"/>
      <c r="K162" s="144">
        <v>2.95</v>
      </c>
      <c r="L162" s="144">
        <v>7.36</v>
      </c>
      <c r="M162" s="144">
        <v>13.45</v>
      </c>
      <c r="O162" s="145">
        <v>40122</v>
      </c>
      <c r="P162" s="144">
        <v>5.45</v>
      </c>
      <c r="Q162" s="144">
        <v>4.9400000000000004</v>
      </c>
      <c r="R162" s="144">
        <v>7.94</v>
      </c>
      <c r="S162" s="144">
        <v>6.15</v>
      </c>
      <c r="T162" s="144"/>
      <c r="U162" s="144"/>
      <c r="V162" s="144"/>
      <c r="W162" s="144">
        <v>24.480000000000004</v>
      </c>
    </row>
    <row r="163" spans="1:23" x14ac:dyDescent="0.2">
      <c r="A163" s="145">
        <v>40521</v>
      </c>
      <c r="B163" s="144">
        <v>4.76</v>
      </c>
      <c r="C163" s="144">
        <v>4.29</v>
      </c>
      <c r="D163" s="144"/>
      <c r="E163" s="144">
        <v>14.36</v>
      </c>
      <c r="F163" s="144">
        <v>23.41</v>
      </c>
      <c r="H163" s="146">
        <v>16</v>
      </c>
      <c r="I163" s="144">
        <v>2.79</v>
      </c>
      <c r="J163" s="144"/>
      <c r="K163" s="144">
        <v>2.72</v>
      </c>
      <c r="L163" s="144">
        <v>7.4</v>
      </c>
      <c r="M163" s="144">
        <v>12.91</v>
      </c>
      <c r="O163" s="145">
        <v>40129</v>
      </c>
      <c r="P163" s="144">
        <v>5.09</v>
      </c>
      <c r="Q163" s="144">
        <v>4.67</v>
      </c>
      <c r="R163" s="144">
        <v>7.76</v>
      </c>
      <c r="S163" s="144">
        <v>6</v>
      </c>
      <c r="T163" s="144"/>
      <c r="U163" s="144"/>
      <c r="V163" s="144"/>
      <c r="W163" s="144">
        <v>23.52</v>
      </c>
    </row>
    <row r="164" spans="1:23" x14ac:dyDescent="0.2">
      <c r="A164" s="143" t="s">
        <v>1005</v>
      </c>
      <c r="B164" s="144">
        <v>57.900000000000006</v>
      </c>
      <c r="C164" s="144">
        <v>87.58</v>
      </c>
      <c r="D164" s="144">
        <v>115.14000000000001</v>
      </c>
      <c r="E164" s="144">
        <v>161.93</v>
      </c>
      <c r="F164" s="144">
        <v>422.55000000000007</v>
      </c>
      <c r="H164" s="146">
        <v>17</v>
      </c>
      <c r="I164" s="144">
        <v>2.98</v>
      </c>
      <c r="J164" s="144"/>
      <c r="K164" s="144">
        <v>3.05</v>
      </c>
      <c r="L164" s="144">
        <v>9</v>
      </c>
      <c r="M164" s="144">
        <v>15.03</v>
      </c>
      <c r="O164" s="145">
        <v>40136</v>
      </c>
      <c r="P164" s="144">
        <v>4.8600000000000003</v>
      </c>
      <c r="Q164" s="144">
        <v>4.6100000000000003</v>
      </c>
      <c r="R164" s="144">
        <v>7.43</v>
      </c>
      <c r="S164" s="144">
        <v>5.72</v>
      </c>
      <c r="T164" s="144"/>
      <c r="U164" s="144"/>
      <c r="V164" s="144"/>
      <c r="W164" s="144">
        <v>22.619999999999997</v>
      </c>
    </row>
    <row r="165" spans="1:23" x14ac:dyDescent="0.2">
      <c r="A165" s="145">
        <v>40563</v>
      </c>
      <c r="B165" s="144">
        <v>5.34</v>
      </c>
      <c r="C165" s="144">
        <v>4.7300000000000004</v>
      </c>
      <c r="D165" s="144">
        <v>6.14</v>
      </c>
      <c r="E165" s="144">
        <v>8.26</v>
      </c>
      <c r="F165" s="144">
        <v>24.47</v>
      </c>
      <c r="H165" s="146">
        <v>18</v>
      </c>
      <c r="I165" s="144">
        <v>3.06</v>
      </c>
      <c r="J165" s="144"/>
      <c r="K165" s="144">
        <v>2.67</v>
      </c>
      <c r="L165" s="144">
        <v>9</v>
      </c>
      <c r="M165" s="144">
        <v>14.73</v>
      </c>
      <c r="O165" s="145">
        <v>40150</v>
      </c>
      <c r="P165" s="144">
        <v>5.42</v>
      </c>
      <c r="Q165" s="144">
        <v>4.83</v>
      </c>
      <c r="R165" s="144">
        <v>8.1</v>
      </c>
      <c r="S165" s="144">
        <v>6.08</v>
      </c>
      <c r="T165" s="144"/>
      <c r="U165" s="144"/>
      <c r="V165" s="144"/>
      <c r="W165" s="144">
        <v>24.43</v>
      </c>
    </row>
    <row r="166" spans="1:23" x14ac:dyDescent="0.2">
      <c r="A166" s="145">
        <v>40570</v>
      </c>
      <c r="B166" s="144">
        <v>4.92</v>
      </c>
      <c r="C166" s="144">
        <v>4.59</v>
      </c>
      <c r="D166" s="144">
        <v>5.83</v>
      </c>
      <c r="E166" s="144">
        <v>7.93</v>
      </c>
      <c r="F166" s="144">
        <v>23.27</v>
      </c>
      <c r="H166" s="146">
        <v>19</v>
      </c>
      <c r="I166" s="144">
        <v>3.47</v>
      </c>
      <c r="J166" s="144"/>
      <c r="K166" s="144">
        <v>2.56</v>
      </c>
      <c r="L166" s="144">
        <v>7.51</v>
      </c>
      <c r="M166" s="144">
        <v>13.54</v>
      </c>
      <c r="O166" s="145">
        <v>40157</v>
      </c>
      <c r="P166" s="144">
        <v>5.51</v>
      </c>
      <c r="Q166" s="144">
        <v>4.9000000000000004</v>
      </c>
      <c r="R166" s="144">
        <v>8.51</v>
      </c>
      <c r="S166" s="144">
        <v>6.7</v>
      </c>
      <c r="T166" s="144"/>
      <c r="U166" s="144"/>
      <c r="V166" s="144"/>
      <c r="W166" s="144">
        <v>25.62</v>
      </c>
    </row>
    <row r="167" spans="1:23" x14ac:dyDescent="0.2">
      <c r="A167" s="145">
        <v>40577</v>
      </c>
      <c r="B167" s="144">
        <v>4.78</v>
      </c>
      <c r="C167" s="144">
        <v>4.37</v>
      </c>
      <c r="D167" s="144">
        <v>4.95</v>
      </c>
      <c r="E167" s="144">
        <v>7.29</v>
      </c>
      <c r="F167" s="144">
        <v>21.39</v>
      </c>
      <c r="H167" s="146">
        <v>20</v>
      </c>
      <c r="I167" s="144">
        <v>3.04</v>
      </c>
      <c r="J167" s="144"/>
      <c r="K167" s="144">
        <v>2.39</v>
      </c>
      <c r="L167" s="144">
        <v>7.63</v>
      </c>
      <c r="M167" s="144">
        <v>13.059999999999999</v>
      </c>
      <c r="O167" s="143" t="s">
        <v>1004</v>
      </c>
      <c r="P167" s="144"/>
      <c r="Q167" s="144"/>
      <c r="R167" s="144"/>
      <c r="S167" s="144"/>
      <c r="T167" s="144"/>
      <c r="U167" s="144"/>
      <c r="V167" s="144"/>
      <c r="W167" s="144"/>
    </row>
    <row r="168" spans="1:23" x14ac:dyDescent="0.2">
      <c r="A168" s="145">
        <v>40584</v>
      </c>
      <c r="B168" s="144">
        <v>4.59</v>
      </c>
      <c r="C168" s="144">
        <v>3.81</v>
      </c>
      <c r="D168" s="144">
        <v>5.03</v>
      </c>
      <c r="E168" s="144">
        <v>6.9</v>
      </c>
      <c r="F168" s="144">
        <v>20.329999999999998</v>
      </c>
      <c r="H168" s="146">
        <v>21</v>
      </c>
      <c r="I168" s="144">
        <v>2.92</v>
      </c>
      <c r="J168" s="144"/>
      <c r="K168" s="144">
        <v>2.71</v>
      </c>
      <c r="L168" s="144">
        <v>7.17</v>
      </c>
      <c r="M168" s="144">
        <v>12.8</v>
      </c>
      <c r="O168" s="145">
        <v>40192</v>
      </c>
      <c r="P168" s="144">
        <v>5.42</v>
      </c>
      <c r="Q168" s="144">
        <v>4.59</v>
      </c>
      <c r="R168" s="144">
        <v>5.12</v>
      </c>
      <c r="S168" s="144">
        <v>5.01</v>
      </c>
      <c r="T168" s="144"/>
      <c r="U168" s="144"/>
      <c r="V168" s="144"/>
      <c r="W168" s="144">
        <v>20.14</v>
      </c>
    </row>
    <row r="169" spans="1:23" x14ac:dyDescent="0.2">
      <c r="A169" s="145">
        <v>40591</v>
      </c>
      <c r="B169" s="144">
        <v>4.07</v>
      </c>
      <c r="C169" s="144">
        <v>4.1100000000000003</v>
      </c>
      <c r="D169" s="144">
        <v>4.33</v>
      </c>
      <c r="E169" s="144">
        <v>6.41</v>
      </c>
      <c r="F169" s="144">
        <v>18.920000000000002</v>
      </c>
      <c r="H169" s="146">
        <v>22</v>
      </c>
      <c r="I169" s="144">
        <v>2.84</v>
      </c>
      <c r="J169" s="144"/>
      <c r="K169" s="144">
        <v>2.71</v>
      </c>
      <c r="L169" s="144">
        <v>6.3</v>
      </c>
      <c r="M169" s="144">
        <v>11.85</v>
      </c>
      <c r="O169" s="145">
        <v>40199</v>
      </c>
      <c r="P169" s="144">
        <v>4.7300000000000004</v>
      </c>
      <c r="Q169" s="144">
        <v>4.3499999999999996</v>
      </c>
      <c r="R169" s="144">
        <v>7.29</v>
      </c>
      <c r="S169" s="144">
        <v>5.58</v>
      </c>
      <c r="T169" s="144"/>
      <c r="U169" s="144"/>
      <c r="V169" s="144"/>
      <c r="W169" s="144">
        <v>21.950000000000003</v>
      </c>
    </row>
    <row r="170" spans="1:23" x14ac:dyDescent="0.2">
      <c r="A170" s="145">
        <v>40598</v>
      </c>
      <c r="B170" s="144">
        <v>4.5</v>
      </c>
      <c r="C170" s="144">
        <v>3.79</v>
      </c>
      <c r="D170" s="144">
        <v>4.59</v>
      </c>
      <c r="E170" s="144">
        <v>6.12</v>
      </c>
      <c r="F170" s="144">
        <v>19</v>
      </c>
      <c r="H170" s="146">
        <v>23</v>
      </c>
      <c r="I170" s="144"/>
      <c r="J170" s="144"/>
      <c r="K170" s="144"/>
      <c r="L170" s="144">
        <v>7.01</v>
      </c>
      <c r="M170" s="144">
        <v>7.01</v>
      </c>
      <c r="O170" s="145">
        <v>40213</v>
      </c>
      <c r="P170" s="144">
        <v>5.23</v>
      </c>
      <c r="Q170" s="144">
        <v>4.87</v>
      </c>
      <c r="R170" s="144">
        <v>7.36</v>
      </c>
      <c r="S170" s="144">
        <v>5.79</v>
      </c>
      <c r="T170" s="144"/>
      <c r="U170" s="144"/>
      <c r="V170" s="144"/>
      <c r="W170" s="144">
        <v>23.25</v>
      </c>
    </row>
    <row r="171" spans="1:23" x14ac:dyDescent="0.2">
      <c r="A171" s="145">
        <v>40619</v>
      </c>
      <c r="B171" s="144">
        <v>4.1900000000000004</v>
      </c>
      <c r="C171" s="144">
        <v>4.1500000000000004</v>
      </c>
      <c r="D171" s="144">
        <v>4.08</v>
      </c>
      <c r="E171" s="144"/>
      <c r="F171" s="144">
        <v>12.42</v>
      </c>
      <c r="H171" s="146">
        <v>24</v>
      </c>
      <c r="I171" s="144"/>
      <c r="J171" s="144"/>
      <c r="K171" s="144"/>
      <c r="L171" s="144">
        <v>6.84</v>
      </c>
      <c r="M171" s="144">
        <v>6.84</v>
      </c>
      <c r="O171" s="145">
        <v>40220</v>
      </c>
      <c r="P171" s="144">
        <v>5.15</v>
      </c>
      <c r="Q171" s="144">
        <v>4.9800000000000004</v>
      </c>
      <c r="R171" s="144">
        <v>7.4</v>
      </c>
      <c r="S171" s="144">
        <v>6</v>
      </c>
      <c r="T171" s="144"/>
      <c r="U171" s="144"/>
      <c r="V171" s="144"/>
      <c r="W171" s="144">
        <v>23.53</v>
      </c>
    </row>
    <row r="172" spans="1:23" x14ac:dyDescent="0.2">
      <c r="A172" s="145">
        <v>40626</v>
      </c>
      <c r="B172" s="144">
        <v>4.3600000000000003</v>
      </c>
      <c r="C172" s="144">
        <v>4.46</v>
      </c>
      <c r="D172" s="144">
        <v>5.15</v>
      </c>
      <c r="E172" s="144">
        <v>7.07</v>
      </c>
      <c r="F172" s="144">
        <v>21.04</v>
      </c>
      <c r="H172" s="146">
        <v>25</v>
      </c>
      <c r="I172" s="144"/>
      <c r="J172" s="144"/>
      <c r="K172" s="144"/>
      <c r="L172" s="144">
        <v>6.6</v>
      </c>
      <c r="M172" s="144">
        <v>6.6</v>
      </c>
      <c r="O172" s="145">
        <v>40241</v>
      </c>
      <c r="P172" s="144">
        <v>5.0599999999999996</v>
      </c>
      <c r="Q172" s="144">
        <v>4.6399999999999997</v>
      </c>
      <c r="R172" s="144">
        <v>9</v>
      </c>
      <c r="S172" s="144">
        <v>9</v>
      </c>
      <c r="T172" s="144"/>
      <c r="U172" s="144"/>
      <c r="V172" s="144"/>
      <c r="W172" s="144">
        <v>27.7</v>
      </c>
    </row>
    <row r="173" spans="1:23" x14ac:dyDescent="0.2">
      <c r="A173" s="145">
        <v>40647</v>
      </c>
      <c r="B173" s="144">
        <v>4.45</v>
      </c>
      <c r="C173" s="144">
        <v>3.49</v>
      </c>
      <c r="D173" s="144">
        <v>5.16</v>
      </c>
      <c r="E173" s="144">
        <v>7.87</v>
      </c>
      <c r="F173" s="144">
        <v>20.970000000000002</v>
      </c>
      <c r="H173" s="146">
        <v>26</v>
      </c>
      <c r="I173" s="144"/>
      <c r="J173" s="144"/>
      <c r="K173" s="144"/>
      <c r="L173" s="144">
        <v>6.6</v>
      </c>
      <c r="M173" s="144">
        <v>6.6</v>
      </c>
      <c r="O173" s="145">
        <v>40248</v>
      </c>
      <c r="P173" s="144">
        <v>4.7</v>
      </c>
      <c r="Q173" s="144">
        <v>4.6100000000000003</v>
      </c>
      <c r="R173" s="144">
        <v>7.51</v>
      </c>
      <c r="S173" s="144">
        <v>5.89</v>
      </c>
      <c r="T173" s="144"/>
      <c r="U173" s="144"/>
      <c r="V173" s="144"/>
      <c r="W173" s="144">
        <v>22.71</v>
      </c>
    </row>
    <row r="174" spans="1:23" x14ac:dyDescent="0.2">
      <c r="A174" s="145">
        <v>40654</v>
      </c>
      <c r="B174" s="144">
        <v>4.5999999999999996</v>
      </c>
      <c r="C174" s="144">
        <v>3.17</v>
      </c>
      <c r="D174" s="144">
        <v>4.88</v>
      </c>
      <c r="E174" s="144">
        <v>6.85</v>
      </c>
      <c r="F174" s="144">
        <v>19.5</v>
      </c>
      <c r="H174" s="143" t="s">
        <v>225</v>
      </c>
      <c r="I174" s="144">
        <v>47.38</v>
      </c>
      <c r="J174" s="144"/>
      <c r="K174" s="144">
        <v>43.309999999999995</v>
      </c>
      <c r="L174" s="144">
        <v>189.80999999999995</v>
      </c>
      <c r="M174" s="144">
        <v>280.5</v>
      </c>
      <c r="O174" s="145">
        <v>40255</v>
      </c>
      <c r="P174" s="144">
        <v>5.21</v>
      </c>
      <c r="Q174" s="144">
        <v>4.7</v>
      </c>
      <c r="R174" s="144">
        <v>7.63</v>
      </c>
      <c r="S174" s="144">
        <v>6.79</v>
      </c>
      <c r="T174" s="144"/>
      <c r="U174" s="144"/>
      <c r="V174" s="144"/>
      <c r="W174" s="144">
        <v>24.33</v>
      </c>
    </row>
    <row r="175" spans="1:23" x14ac:dyDescent="0.2">
      <c r="A175" s="145">
        <v>40661</v>
      </c>
      <c r="B175" s="144">
        <v>7.9</v>
      </c>
      <c r="C175" s="144">
        <v>3.35</v>
      </c>
      <c r="D175" s="144">
        <v>4.71</v>
      </c>
      <c r="E175" s="144">
        <v>8.42</v>
      </c>
      <c r="F175" s="144">
        <v>24.380000000000003</v>
      </c>
      <c r="H175" s="146">
        <v>1</v>
      </c>
      <c r="I175" s="144">
        <v>3.46</v>
      </c>
      <c r="J175" s="144"/>
      <c r="K175" s="144">
        <v>3.75</v>
      </c>
      <c r="L175" s="144">
        <v>8.4</v>
      </c>
      <c r="M175" s="144">
        <v>15.61</v>
      </c>
      <c r="O175" s="145">
        <v>40262</v>
      </c>
      <c r="P175" s="144">
        <v>5.07</v>
      </c>
      <c r="Q175" s="144">
        <v>4.49</v>
      </c>
      <c r="R175" s="144">
        <v>7.17</v>
      </c>
      <c r="S175" s="144">
        <v>6.25</v>
      </c>
      <c r="T175" s="144"/>
      <c r="U175" s="144"/>
      <c r="V175" s="144"/>
      <c r="W175" s="144">
        <v>22.98</v>
      </c>
    </row>
    <row r="176" spans="1:23" x14ac:dyDescent="0.2">
      <c r="A176" s="145">
        <v>40668</v>
      </c>
      <c r="B176" s="144">
        <v>4.2</v>
      </c>
      <c r="C176" s="144">
        <v>3.49</v>
      </c>
      <c r="D176" s="144">
        <v>5.0599999999999996</v>
      </c>
      <c r="E176" s="144">
        <v>6.9</v>
      </c>
      <c r="F176" s="144">
        <v>19.649999999999999</v>
      </c>
      <c r="H176" s="146">
        <v>2</v>
      </c>
      <c r="I176" s="144">
        <v>3.4</v>
      </c>
      <c r="J176" s="144"/>
      <c r="K176" s="144">
        <v>3.25</v>
      </c>
      <c r="L176" s="144">
        <v>7.36</v>
      </c>
      <c r="M176" s="144">
        <v>14.010000000000002</v>
      </c>
      <c r="O176" s="145">
        <v>40290</v>
      </c>
      <c r="P176" s="144">
        <v>3.67</v>
      </c>
      <c r="Q176" s="144">
        <v>4</v>
      </c>
      <c r="R176" s="144">
        <v>11.46</v>
      </c>
      <c r="S176" s="144"/>
      <c r="T176" s="144"/>
      <c r="U176" s="144"/>
      <c r="V176" s="144"/>
      <c r="W176" s="144">
        <v>19.130000000000003</v>
      </c>
    </row>
    <row r="177" spans="1:23" x14ac:dyDescent="0.2">
      <c r="A177" s="145">
        <v>40675</v>
      </c>
      <c r="B177" s="144"/>
      <c r="C177" s="144">
        <v>3.32</v>
      </c>
      <c r="D177" s="144">
        <v>8.09</v>
      </c>
      <c r="E177" s="144">
        <v>6.45</v>
      </c>
      <c r="F177" s="144">
        <v>17.86</v>
      </c>
      <c r="H177" s="146">
        <v>3</v>
      </c>
      <c r="I177" s="144">
        <v>3.04</v>
      </c>
      <c r="J177" s="144"/>
      <c r="K177" s="144">
        <v>3.87</v>
      </c>
      <c r="L177" s="144">
        <v>6.95</v>
      </c>
      <c r="M177" s="144">
        <v>13.86</v>
      </c>
      <c r="O177" s="145">
        <v>40297</v>
      </c>
      <c r="P177" s="144">
        <v>4.3600000000000003</v>
      </c>
      <c r="Q177" s="144">
        <v>4.03</v>
      </c>
      <c r="R177" s="144">
        <v>7.01</v>
      </c>
      <c r="S177" s="144">
        <v>5.44</v>
      </c>
      <c r="T177" s="144"/>
      <c r="U177" s="144"/>
      <c r="V177" s="144"/>
      <c r="W177" s="144">
        <v>20.84</v>
      </c>
    </row>
    <row r="178" spans="1:23" x14ac:dyDescent="0.2">
      <c r="A178" s="145">
        <v>40682</v>
      </c>
      <c r="B178" s="144"/>
      <c r="C178" s="144"/>
      <c r="D178" s="144">
        <v>7.99</v>
      </c>
      <c r="E178" s="144">
        <v>14.58</v>
      </c>
      <c r="F178" s="144">
        <v>22.57</v>
      </c>
      <c r="H178" s="146">
        <v>4</v>
      </c>
      <c r="I178" s="144">
        <v>3.13</v>
      </c>
      <c r="J178" s="144"/>
      <c r="K178" s="144">
        <v>3.3</v>
      </c>
      <c r="L178" s="144">
        <v>7.36</v>
      </c>
      <c r="M178" s="144">
        <v>13.79</v>
      </c>
      <c r="O178" s="145">
        <v>40304</v>
      </c>
      <c r="P178" s="144">
        <v>4.3499999999999996</v>
      </c>
      <c r="Q178" s="144">
        <v>4.03</v>
      </c>
      <c r="R178" s="144">
        <v>6.84</v>
      </c>
      <c r="S178" s="144">
        <v>5.42</v>
      </c>
      <c r="T178" s="144"/>
      <c r="U178" s="144"/>
      <c r="V178" s="144"/>
      <c r="W178" s="144">
        <v>20.64</v>
      </c>
    </row>
    <row r="179" spans="1:23" x14ac:dyDescent="0.2">
      <c r="A179" s="145">
        <v>40808</v>
      </c>
      <c r="B179" s="144"/>
      <c r="C179" s="144">
        <v>3.93</v>
      </c>
      <c r="D179" s="144">
        <v>4.1100000000000003</v>
      </c>
      <c r="E179" s="144">
        <v>7.64</v>
      </c>
      <c r="F179" s="144">
        <v>15.68</v>
      </c>
      <c r="H179" s="146">
        <v>5</v>
      </c>
      <c r="I179" s="144">
        <v>3.38</v>
      </c>
      <c r="J179" s="144"/>
      <c r="K179" s="144">
        <v>3.48</v>
      </c>
      <c r="L179" s="144">
        <v>6.87</v>
      </c>
      <c r="M179" s="144">
        <v>13.73</v>
      </c>
      <c r="O179" s="145">
        <v>40311</v>
      </c>
      <c r="P179" s="144">
        <v>4.49</v>
      </c>
      <c r="Q179" s="144">
        <v>4.28</v>
      </c>
      <c r="R179" s="144">
        <v>6.6</v>
      </c>
      <c r="S179" s="144">
        <v>4.96</v>
      </c>
      <c r="T179" s="144"/>
      <c r="U179" s="144"/>
      <c r="V179" s="144"/>
      <c r="W179" s="144">
        <v>20.329999999999998</v>
      </c>
    </row>
    <row r="180" spans="1:23" x14ac:dyDescent="0.2">
      <c r="A180" s="145">
        <v>40815</v>
      </c>
      <c r="B180" s="144"/>
      <c r="C180" s="144">
        <v>3.98</v>
      </c>
      <c r="D180" s="144">
        <v>4.33</v>
      </c>
      <c r="E180" s="144">
        <v>6.7</v>
      </c>
      <c r="F180" s="144">
        <v>15.010000000000002</v>
      </c>
      <c r="H180" s="146">
        <v>6</v>
      </c>
      <c r="I180" s="144">
        <v>3.34</v>
      </c>
      <c r="J180" s="144"/>
      <c r="K180" s="144">
        <v>2.97</v>
      </c>
      <c r="L180" s="144">
        <v>8.07</v>
      </c>
      <c r="M180" s="144">
        <v>14.38</v>
      </c>
      <c r="O180" s="145">
        <v>40318</v>
      </c>
      <c r="P180" s="144">
        <v>4.41</v>
      </c>
      <c r="Q180" s="144">
        <v>4.55</v>
      </c>
      <c r="R180" s="144">
        <v>6.6</v>
      </c>
      <c r="S180" s="144">
        <v>5.45</v>
      </c>
      <c r="T180" s="144"/>
      <c r="U180" s="144"/>
      <c r="V180" s="144"/>
      <c r="W180" s="144">
        <v>21.01</v>
      </c>
    </row>
    <row r="181" spans="1:23" x14ac:dyDescent="0.2">
      <c r="A181" s="145">
        <v>40822</v>
      </c>
      <c r="B181" s="144"/>
      <c r="C181" s="144">
        <v>3.35</v>
      </c>
      <c r="D181" s="144">
        <v>4.1500000000000004</v>
      </c>
      <c r="E181" s="144">
        <v>5.82</v>
      </c>
      <c r="F181" s="144">
        <v>13.32</v>
      </c>
      <c r="H181" s="146">
        <v>7</v>
      </c>
      <c r="I181" s="144">
        <v>3.61</v>
      </c>
      <c r="J181" s="144"/>
      <c r="K181" s="144">
        <v>3.45</v>
      </c>
      <c r="L181" s="144">
        <v>7.65</v>
      </c>
      <c r="M181" s="144">
        <v>14.71</v>
      </c>
      <c r="O181" s="145">
        <v>40444</v>
      </c>
      <c r="P181" s="144">
        <v>5.01</v>
      </c>
      <c r="Q181" s="144">
        <v>5.85</v>
      </c>
      <c r="R181" s="144">
        <v>8.4</v>
      </c>
      <c r="S181" s="144"/>
      <c r="T181" s="144"/>
      <c r="U181" s="144"/>
      <c r="V181" s="144"/>
      <c r="W181" s="144">
        <v>19.259999999999998</v>
      </c>
    </row>
    <row r="182" spans="1:23" x14ac:dyDescent="0.2">
      <c r="A182" s="145">
        <v>40829</v>
      </c>
      <c r="B182" s="144"/>
      <c r="C182" s="144">
        <v>3.78</v>
      </c>
      <c r="D182" s="144">
        <v>3.99</v>
      </c>
      <c r="E182" s="144">
        <v>6.08</v>
      </c>
      <c r="F182" s="144">
        <v>13.85</v>
      </c>
      <c r="H182" s="146">
        <v>8</v>
      </c>
      <c r="I182" s="144">
        <v>3.22</v>
      </c>
      <c r="J182" s="144"/>
      <c r="K182" s="144">
        <v>3.06</v>
      </c>
      <c r="L182" s="144">
        <v>7.15</v>
      </c>
      <c r="M182" s="144">
        <v>13.43</v>
      </c>
      <c r="O182" s="145">
        <v>40451</v>
      </c>
      <c r="P182" s="144">
        <v>4.53</v>
      </c>
      <c r="Q182" s="144">
        <v>5.68</v>
      </c>
      <c r="R182" s="144">
        <v>7.36</v>
      </c>
      <c r="S182" s="144"/>
      <c r="T182" s="144"/>
      <c r="U182" s="144"/>
      <c r="V182" s="144"/>
      <c r="W182" s="144">
        <v>17.57</v>
      </c>
    </row>
    <row r="183" spans="1:23" x14ac:dyDescent="0.2">
      <c r="A183" s="145">
        <v>40843</v>
      </c>
      <c r="B183" s="144"/>
      <c r="C183" s="144">
        <v>3.42</v>
      </c>
      <c r="D183" s="144">
        <v>3.9</v>
      </c>
      <c r="E183" s="144">
        <v>5.53</v>
      </c>
      <c r="F183" s="144">
        <v>12.850000000000001</v>
      </c>
      <c r="H183" s="146">
        <v>9</v>
      </c>
      <c r="I183" s="144">
        <v>3.79</v>
      </c>
      <c r="J183" s="144"/>
      <c r="K183" s="144">
        <v>2.4700000000000002</v>
      </c>
      <c r="L183" s="144">
        <v>7.28</v>
      </c>
      <c r="M183" s="144">
        <v>13.54</v>
      </c>
      <c r="O183" s="145">
        <v>40458</v>
      </c>
      <c r="P183" s="144">
        <v>4.2</v>
      </c>
      <c r="Q183" s="144">
        <v>4.9000000000000004</v>
      </c>
      <c r="R183" s="144">
        <v>6.95</v>
      </c>
      <c r="S183" s="144"/>
      <c r="T183" s="144"/>
      <c r="U183" s="144"/>
      <c r="V183" s="144"/>
      <c r="W183" s="144">
        <v>16.05</v>
      </c>
    </row>
    <row r="184" spans="1:23" x14ac:dyDescent="0.2">
      <c r="A184" s="145">
        <v>40850</v>
      </c>
      <c r="B184" s="144"/>
      <c r="C184" s="144">
        <v>3.84</v>
      </c>
      <c r="D184" s="144">
        <v>4</v>
      </c>
      <c r="E184" s="144">
        <v>6.15</v>
      </c>
      <c r="F184" s="144">
        <v>13.99</v>
      </c>
      <c r="H184" s="146">
        <v>10</v>
      </c>
      <c r="I184" s="144">
        <v>3.44</v>
      </c>
      <c r="J184" s="144"/>
      <c r="K184" s="144">
        <v>2.94</v>
      </c>
      <c r="L184" s="144">
        <v>7.31</v>
      </c>
      <c r="M184" s="144">
        <v>13.69</v>
      </c>
      <c r="O184" s="145">
        <v>40465</v>
      </c>
      <c r="P184" s="144">
        <v>4.8099999999999996</v>
      </c>
      <c r="Q184" s="144">
        <v>6.7</v>
      </c>
      <c r="R184" s="144">
        <v>7.36</v>
      </c>
      <c r="S184" s="144"/>
      <c r="T184" s="144"/>
      <c r="U184" s="144"/>
      <c r="V184" s="144"/>
      <c r="W184" s="144">
        <v>18.87</v>
      </c>
    </row>
    <row r="185" spans="1:23" x14ac:dyDescent="0.2">
      <c r="A185" s="145">
        <v>40857</v>
      </c>
      <c r="B185" s="144"/>
      <c r="C185" s="144">
        <v>3.49</v>
      </c>
      <c r="D185" s="144">
        <v>3.66</v>
      </c>
      <c r="E185" s="144">
        <v>5.96</v>
      </c>
      <c r="F185" s="144">
        <v>13.11</v>
      </c>
      <c r="H185" s="146">
        <v>11</v>
      </c>
      <c r="I185" s="144">
        <v>3.81</v>
      </c>
      <c r="J185" s="144"/>
      <c r="K185" s="144">
        <v>2.4700000000000002</v>
      </c>
      <c r="L185" s="144">
        <v>7.18</v>
      </c>
      <c r="M185" s="144">
        <v>13.46</v>
      </c>
      <c r="O185" s="145">
        <v>40472</v>
      </c>
      <c r="P185" s="144">
        <v>4.46</v>
      </c>
      <c r="Q185" s="144">
        <v>5.18</v>
      </c>
      <c r="R185" s="144">
        <v>6.87</v>
      </c>
      <c r="S185" s="144"/>
      <c r="T185" s="144"/>
      <c r="U185" s="144"/>
      <c r="V185" s="144"/>
      <c r="W185" s="144">
        <v>16.510000000000002</v>
      </c>
    </row>
    <row r="186" spans="1:23" x14ac:dyDescent="0.2">
      <c r="A186" s="145">
        <v>40864</v>
      </c>
      <c r="B186" s="144"/>
      <c r="C186" s="144">
        <v>3.62</v>
      </c>
      <c r="D186" s="144">
        <v>3.68</v>
      </c>
      <c r="E186" s="144">
        <v>5.5</v>
      </c>
      <c r="F186" s="144">
        <v>12.8</v>
      </c>
      <c r="H186" s="146">
        <v>12</v>
      </c>
      <c r="I186" s="144">
        <v>4.88</v>
      </c>
      <c r="J186" s="144"/>
      <c r="K186" s="144">
        <v>4.1500000000000004</v>
      </c>
      <c r="L186" s="144">
        <v>7.18</v>
      </c>
      <c r="M186" s="144">
        <v>16.21</v>
      </c>
      <c r="O186" s="145">
        <v>40479</v>
      </c>
      <c r="P186" s="144">
        <v>5.64</v>
      </c>
      <c r="Q186" s="144"/>
      <c r="R186" s="144">
        <v>8.07</v>
      </c>
      <c r="S186" s="144"/>
      <c r="T186" s="144"/>
      <c r="U186" s="144"/>
      <c r="V186" s="144"/>
      <c r="W186" s="144">
        <v>13.71</v>
      </c>
    </row>
    <row r="187" spans="1:23" x14ac:dyDescent="0.2">
      <c r="A187" s="145">
        <v>40878</v>
      </c>
      <c r="B187" s="144"/>
      <c r="C187" s="144">
        <v>3.74</v>
      </c>
      <c r="D187" s="144">
        <v>3.69</v>
      </c>
      <c r="E187" s="144">
        <v>5.71</v>
      </c>
      <c r="F187" s="144">
        <v>13.14</v>
      </c>
      <c r="H187" s="146">
        <v>13</v>
      </c>
      <c r="I187" s="144">
        <v>4.88</v>
      </c>
      <c r="J187" s="144"/>
      <c r="K187" s="144">
        <v>4.1500000000000004</v>
      </c>
      <c r="L187" s="144">
        <v>8.26</v>
      </c>
      <c r="M187" s="144">
        <v>17.29</v>
      </c>
      <c r="O187" s="145">
        <v>40486</v>
      </c>
      <c r="P187" s="144">
        <v>4.6100000000000003</v>
      </c>
      <c r="Q187" s="144">
        <v>5.31</v>
      </c>
      <c r="R187" s="144">
        <v>7.65</v>
      </c>
      <c r="S187" s="144"/>
      <c r="T187" s="144"/>
      <c r="U187" s="144"/>
      <c r="V187" s="144"/>
      <c r="W187" s="144">
        <v>17.57</v>
      </c>
    </row>
    <row r="188" spans="1:23" x14ac:dyDescent="0.2">
      <c r="A188" s="145">
        <v>40885</v>
      </c>
      <c r="B188" s="144"/>
      <c r="C188" s="144">
        <v>3.6</v>
      </c>
      <c r="D188" s="144">
        <v>3.64</v>
      </c>
      <c r="E188" s="144">
        <v>5.79</v>
      </c>
      <c r="F188" s="144">
        <v>13.030000000000001</v>
      </c>
      <c r="H188" s="146">
        <v>14</v>
      </c>
      <c r="I188" s="144"/>
      <c r="J188" s="144"/>
      <c r="K188" s="144"/>
      <c r="L188" s="144">
        <v>7.93</v>
      </c>
      <c r="M188" s="144">
        <v>7.93</v>
      </c>
      <c r="O188" s="145">
        <v>40493</v>
      </c>
      <c r="P188" s="144">
        <v>4.53</v>
      </c>
      <c r="Q188" s="144">
        <v>5.09</v>
      </c>
      <c r="R188" s="144">
        <v>7.15</v>
      </c>
      <c r="S188" s="144"/>
      <c r="T188" s="144"/>
      <c r="U188" s="144"/>
      <c r="V188" s="144"/>
      <c r="W188" s="144">
        <v>16.770000000000003</v>
      </c>
    </row>
    <row r="189" spans="1:23" x14ac:dyDescent="0.2">
      <c r="A189" s="143" t="s">
        <v>1006</v>
      </c>
      <c r="B189" s="144">
        <v>103.05000000000001</v>
      </c>
      <c r="C189" s="144">
        <v>38.42</v>
      </c>
      <c r="D189" s="144">
        <v>73.39</v>
      </c>
      <c r="E189" s="144">
        <v>106.22999999999999</v>
      </c>
      <c r="F189" s="144">
        <v>321.08999999999997</v>
      </c>
      <c r="H189" s="146">
        <v>15</v>
      </c>
      <c r="I189" s="144"/>
      <c r="J189" s="144"/>
      <c r="K189" s="144"/>
      <c r="L189" s="144">
        <v>7.29</v>
      </c>
      <c r="M189" s="144">
        <v>7.29</v>
      </c>
      <c r="O189" s="145">
        <v>40500</v>
      </c>
      <c r="P189" s="144">
        <v>4.41</v>
      </c>
      <c r="Q189" s="144">
        <v>5.1100000000000003</v>
      </c>
      <c r="R189" s="144">
        <v>7.28</v>
      </c>
      <c r="S189" s="144"/>
      <c r="T189" s="144"/>
      <c r="U189" s="144"/>
      <c r="V189" s="144"/>
      <c r="W189" s="144">
        <v>16.8</v>
      </c>
    </row>
    <row r="190" spans="1:23" x14ac:dyDescent="0.2">
      <c r="A190" s="145">
        <v>40920</v>
      </c>
      <c r="B190" s="144">
        <v>4.47</v>
      </c>
      <c r="C190" s="144"/>
      <c r="D190" s="144">
        <v>4.09</v>
      </c>
      <c r="E190" s="144">
        <v>5.9</v>
      </c>
      <c r="F190" s="144">
        <v>14.459999999999999</v>
      </c>
      <c r="H190" s="146">
        <v>16</v>
      </c>
      <c r="I190" s="144"/>
      <c r="J190" s="144"/>
      <c r="K190" s="144"/>
      <c r="L190" s="144">
        <v>6.9</v>
      </c>
      <c r="M190" s="144">
        <v>6.9</v>
      </c>
      <c r="O190" s="145">
        <v>40514</v>
      </c>
      <c r="P190" s="144">
        <v>4.55</v>
      </c>
      <c r="Q190" s="144">
        <v>5.03</v>
      </c>
      <c r="R190" s="144">
        <v>7.31</v>
      </c>
      <c r="S190" s="144"/>
      <c r="T190" s="144"/>
      <c r="U190" s="144"/>
      <c r="V190" s="144"/>
      <c r="W190" s="144">
        <v>16.89</v>
      </c>
    </row>
    <row r="191" spans="1:23" x14ac:dyDescent="0.2">
      <c r="A191" s="145">
        <v>40927</v>
      </c>
      <c r="B191" s="144">
        <v>4.05</v>
      </c>
      <c r="C191" s="144"/>
      <c r="D191" s="144">
        <v>4.25</v>
      </c>
      <c r="E191" s="144">
        <v>6.02</v>
      </c>
      <c r="F191" s="144">
        <v>14.32</v>
      </c>
      <c r="H191" s="146">
        <v>17</v>
      </c>
      <c r="I191" s="144"/>
      <c r="J191" s="144"/>
      <c r="K191" s="144"/>
      <c r="L191" s="144">
        <v>6.41</v>
      </c>
      <c r="M191" s="144">
        <v>6.41</v>
      </c>
      <c r="O191" s="145">
        <v>40521</v>
      </c>
      <c r="P191" s="144">
        <v>4.29</v>
      </c>
      <c r="Q191" s="144">
        <v>4.76</v>
      </c>
      <c r="R191" s="144">
        <v>7.18</v>
      </c>
      <c r="S191" s="144">
        <v>7.18</v>
      </c>
      <c r="T191" s="144"/>
      <c r="U191" s="144"/>
      <c r="V191" s="144"/>
      <c r="W191" s="144">
        <v>23.41</v>
      </c>
    </row>
    <row r="192" spans="1:23" x14ac:dyDescent="0.2">
      <c r="A192" s="145">
        <v>40934</v>
      </c>
      <c r="B192" s="144">
        <v>7.8</v>
      </c>
      <c r="C192" s="144"/>
      <c r="D192" s="144">
        <v>3.49</v>
      </c>
      <c r="E192" s="144"/>
      <c r="F192" s="144">
        <v>11.29</v>
      </c>
      <c r="H192" s="146">
        <v>18</v>
      </c>
      <c r="I192" s="144"/>
      <c r="J192" s="144"/>
      <c r="K192" s="144"/>
      <c r="L192" s="144">
        <v>6.12</v>
      </c>
      <c r="M192" s="144">
        <v>6.12</v>
      </c>
      <c r="O192" s="143" t="s">
        <v>1005</v>
      </c>
      <c r="P192" s="144"/>
      <c r="Q192" s="144"/>
      <c r="R192" s="144"/>
      <c r="S192" s="144"/>
      <c r="T192" s="144"/>
      <c r="U192" s="144"/>
      <c r="V192" s="144"/>
      <c r="W192" s="144"/>
    </row>
    <row r="193" spans="1:23" x14ac:dyDescent="0.2">
      <c r="A193" s="145">
        <v>40941</v>
      </c>
      <c r="B193" s="144">
        <v>3.23</v>
      </c>
      <c r="C193" s="144"/>
      <c r="D193" s="144">
        <v>3.6</v>
      </c>
      <c r="E193" s="144">
        <v>5.31</v>
      </c>
      <c r="F193" s="144">
        <v>12.14</v>
      </c>
      <c r="H193" s="146">
        <v>19</v>
      </c>
      <c r="I193" s="144"/>
      <c r="J193" s="144"/>
      <c r="K193" s="144"/>
      <c r="L193" s="144">
        <v>7.07</v>
      </c>
      <c r="M193" s="144">
        <v>7.07</v>
      </c>
      <c r="O193" s="145">
        <v>40563</v>
      </c>
      <c r="P193" s="144">
        <v>4.7300000000000004</v>
      </c>
      <c r="Q193" s="144"/>
      <c r="R193" s="144">
        <v>8.26</v>
      </c>
      <c r="S193" s="144">
        <v>6.14</v>
      </c>
      <c r="T193" s="144">
        <v>5.34</v>
      </c>
      <c r="U193" s="144"/>
      <c r="V193" s="144"/>
      <c r="W193" s="144">
        <v>24.47</v>
      </c>
    </row>
    <row r="194" spans="1:23" x14ac:dyDescent="0.2">
      <c r="A194" s="145">
        <v>40948</v>
      </c>
      <c r="B194" s="144">
        <v>3.88</v>
      </c>
      <c r="C194" s="144"/>
      <c r="D194" s="144"/>
      <c r="E194" s="144">
        <v>5.19</v>
      </c>
      <c r="F194" s="144">
        <v>9.07</v>
      </c>
      <c r="H194" s="146">
        <v>20</v>
      </c>
      <c r="I194" s="144"/>
      <c r="J194" s="144"/>
      <c r="K194" s="144"/>
      <c r="L194" s="144">
        <v>7.87</v>
      </c>
      <c r="M194" s="144">
        <v>7.87</v>
      </c>
      <c r="O194" s="145">
        <v>40570</v>
      </c>
      <c r="P194" s="144">
        <v>4.59</v>
      </c>
      <c r="Q194" s="144"/>
      <c r="R194" s="144">
        <v>7.93</v>
      </c>
      <c r="S194" s="144">
        <v>5.83</v>
      </c>
      <c r="T194" s="144">
        <v>4.92</v>
      </c>
      <c r="U194" s="144"/>
      <c r="V194" s="144"/>
      <c r="W194" s="144">
        <v>23.270000000000003</v>
      </c>
    </row>
    <row r="195" spans="1:23" x14ac:dyDescent="0.2">
      <c r="A195" s="145">
        <v>40955</v>
      </c>
      <c r="B195" s="144">
        <v>7.18</v>
      </c>
      <c r="C195" s="144"/>
      <c r="D195" s="144">
        <v>3.45</v>
      </c>
      <c r="E195" s="144">
        <v>4.38</v>
      </c>
      <c r="F195" s="144">
        <v>15.009999999999998</v>
      </c>
      <c r="H195" s="146">
        <v>21</v>
      </c>
      <c r="I195" s="144"/>
      <c r="J195" s="144"/>
      <c r="K195" s="144"/>
      <c r="L195" s="144">
        <v>6.85</v>
      </c>
      <c r="M195" s="144">
        <v>6.85</v>
      </c>
      <c r="O195" s="145">
        <v>40577</v>
      </c>
      <c r="P195" s="144">
        <v>4.37</v>
      </c>
      <c r="Q195" s="144"/>
      <c r="R195" s="144">
        <v>7.29</v>
      </c>
      <c r="S195" s="144">
        <v>4.95</v>
      </c>
      <c r="T195" s="144">
        <v>4.78</v>
      </c>
      <c r="U195" s="144"/>
      <c r="V195" s="144"/>
      <c r="W195" s="144">
        <v>21.39</v>
      </c>
    </row>
    <row r="196" spans="1:23" x14ac:dyDescent="0.2">
      <c r="A196" s="145">
        <v>40962</v>
      </c>
      <c r="B196" s="144">
        <v>3.7</v>
      </c>
      <c r="C196" s="144"/>
      <c r="D196" s="144">
        <v>3.43</v>
      </c>
      <c r="E196" s="144">
        <v>5.0199999999999996</v>
      </c>
      <c r="F196" s="144">
        <v>12.15</v>
      </c>
      <c r="H196" s="146">
        <v>22</v>
      </c>
      <c r="I196" s="144"/>
      <c r="J196" s="144"/>
      <c r="K196" s="144"/>
      <c r="L196" s="144">
        <v>8.42</v>
      </c>
      <c r="M196" s="144">
        <v>8.42</v>
      </c>
      <c r="O196" s="145">
        <v>40584</v>
      </c>
      <c r="P196" s="144">
        <v>3.81</v>
      </c>
      <c r="Q196" s="144"/>
      <c r="R196" s="144">
        <v>6.9</v>
      </c>
      <c r="S196" s="144">
        <v>5.03</v>
      </c>
      <c r="T196" s="144">
        <v>4.59</v>
      </c>
      <c r="U196" s="144"/>
      <c r="V196" s="144"/>
      <c r="W196" s="144">
        <v>20.330000000000002</v>
      </c>
    </row>
    <row r="197" spans="1:23" x14ac:dyDescent="0.2">
      <c r="A197" s="145">
        <v>40969</v>
      </c>
      <c r="B197" s="144">
        <v>3.77</v>
      </c>
      <c r="C197" s="144"/>
      <c r="D197" s="144">
        <v>3.77</v>
      </c>
      <c r="E197" s="144">
        <v>4.95</v>
      </c>
      <c r="F197" s="144">
        <v>12.49</v>
      </c>
      <c r="H197" s="146">
        <v>23</v>
      </c>
      <c r="I197" s="144"/>
      <c r="J197" s="144"/>
      <c r="K197" s="144"/>
      <c r="L197" s="144">
        <v>6.9</v>
      </c>
      <c r="M197" s="144">
        <v>6.9</v>
      </c>
      <c r="O197" s="145">
        <v>40591</v>
      </c>
      <c r="P197" s="144">
        <v>4.1100000000000003</v>
      </c>
      <c r="Q197" s="144"/>
      <c r="R197" s="144">
        <v>6.41</v>
      </c>
      <c r="S197" s="144">
        <v>4.33</v>
      </c>
      <c r="T197" s="144">
        <v>4.07</v>
      </c>
      <c r="U197" s="144"/>
      <c r="V197" s="144"/>
      <c r="W197" s="144">
        <v>18.920000000000002</v>
      </c>
    </row>
    <row r="198" spans="1:23" x14ac:dyDescent="0.2">
      <c r="A198" s="145">
        <v>40976</v>
      </c>
      <c r="B198" s="144">
        <v>3.42</v>
      </c>
      <c r="C198" s="144"/>
      <c r="D198" s="144">
        <v>3.66</v>
      </c>
      <c r="E198" s="144">
        <v>4.8899999999999997</v>
      </c>
      <c r="F198" s="144">
        <v>11.969999999999999</v>
      </c>
      <c r="H198" s="146">
        <v>24</v>
      </c>
      <c r="I198" s="144"/>
      <c r="J198" s="144"/>
      <c r="K198" s="144"/>
      <c r="L198" s="144">
        <v>6.45</v>
      </c>
      <c r="M198" s="144">
        <v>6.45</v>
      </c>
      <c r="O198" s="145">
        <v>40598</v>
      </c>
      <c r="P198" s="144">
        <v>3.79</v>
      </c>
      <c r="Q198" s="144"/>
      <c r="R198" s="144">
        <v>6.12</v>
      </c>
      <c r="S198" s="144">
        <v>4.59</v>
      </c>
      <c r="T198" s="144">
        <v>4.5</v>
      </c>
      <c r="U198" s="144"/>
      <c r="V198" s="144"/>
      <c r="W198" s="144">
        <v>19</v>
      </c>
    </row>
    <row r="199" spans="1:23" x14ac:dyDescent="0.2">
      <c r="A199" s="145">
        <v>40983</v>
      </c>
      <c r="B199" s="144">
        <v>4</v>
      </c>
      <c r="C199" s="144">
        <v>4.75</v>
      </c>
      <c r="D199" s="144"/>
      <c r="E199" s="144">
        <v>4.87</v>
      </c>
      <c r="F199" s="144">
        <v>13.620000000000001</v>
      </c>
      <c r="H199" s="146">
        <v>25</v>
      </c>
      <c r="I199" s="144"/>
      <c r="J199" s="144"/>
      <c r="K199" s="144"/>
      <c r="L199" s="144">
        <v>7.29</v>
      </c>
      <c r="M199" s="144">
        <v>7.29</v>
      </c>
      <c r="O199" s="145">
        <v>40619</v>
      </c>
      <c r="P199" s="144">
        <v>4.1500000000000004</v>
      </c>
      <c r="Q199" s="144"/>
      <c r="R199" s="144"/>
      <c r="S199" s="144">
        <v>4.08</v>
      </c>
      <c r="T199" s="144">
        <v>4.1900000000000004</v>
      </c>
      <c r="U199" s="144"/>
      <c r="V199" s="144"/>
      <c r="W199" s="144">
        <v>12.420000000000002</v>
      </c>
    </row>
    <row r="200" spans="1:23" x14ac:dyDescent="0.2">
      <c r="A200" s="145">
        <v>40990</v>
      </c>
      <c r="B200" s="144">
        <v>6.73</v>
      </c>
      <c r="C200" s="144">
        <v>3.87</v>
      </c>
      <c r="D200" s="144"/>
      <c r="E200" s="144"/>
      <c r="F200" s="144">
        <v>10.600000000000001</v>
      </c>
      <c r="H200" s="146">
        <v>26</v>
      </c>
      <c r="I200" s="144"/>
      <c r="J200" s="144"/>
      <c r="K200" s="144"/>
      <c r="L200" s="144">
        <v>7.29</v>
      </c>
      <c r="M200" s="144">
        <v>7.29</v>
      </c>
      <c r="O200" s="145">
        <v>40626</v>
      </c>
      <c r="P200" s="144">
        <v>4.46</v>
      </c>
      <c r="Q200" s="144"/>
      <c r="R200" s="144">
        <v>7.07</v>
      </c>
      <c r="S200" s="144">
        <v>5.15</v>
      </c>
      <c r="T200" s="144">
        <v>4.3600000000000003</v>
      </c>
      <c r="U200" s="144"/>
      <c r="V200" s="144"/>
      <c r="W200" s="144">
        <v>21.04</v>
      </c>
    </row>
    <row r="201" spans="1:23" x14ac:dyDescent="0.2">
      <c r="A201" s="145">
        <v>40997</v>
      </c>
      <c r="B201" s="144">
        <v>3.14</v>
      </c>
      <c r="C201" s="144">
        <v>3.48</v>
      </c>
      <c r="D201" s="144"/>
      <c r="E201" s="144"/>
      <c r="F201" s="144">
        <v>6.62</v>
      </c>
      <c r="H201" s="143" t="s">
        <v>226</v>
      </c>
      <c r="I201" s="144"/>
      <c r="J201" s="144"/>
      <c r="K201" s="144"/>
      <c r="L201" s="144">
        <v>129.25</v>
      </c>
      <c r="M201" s="144">
        <v>129.25</v>
      </c>
      <c r="O201" s="145">
        <v>40647</v>
      </c>
      <c r="P201" s="144">
        <v>3.49</v>
      </c>
      <c r="Q201" s="144"/>
      <c r="R201" s="144">
        <v>7.87</v>
      </c>
      <c r="S201" s="144">
        <v>5.16</v>
      </c>
      <c r="T201" s="144">
        <v>4.45</v>
      </c>
      <c r="U201" s="144"/>
      <c r="V201" s="144"/>
      <c r="W201" s="144">
        <v>20.97</v>
      </c>
    </row>
    <row r="202" spans="1:23" x14ac:dyDescent="0.2">
      <c r="A202" s="145">
        <v>41004</v>
      </c>
      <c r="B202" s="144">
        <v>2.79</v>
      </c>
      <c r="C202" s="144">
        <v>3</v>
      </c>
      <c r="D202" s="144"/>
      <c r="E202" s="144"/>
      <c r="F202" s="144">
        <v>5.79</v>
      </c>
      <c r="H202" s="146">
        <v>1</v>
      </c>
      <c r="I202" s="144"/>
      <c r="J202" s="144"/>
      <c r="K202" s="144"/>
      <c r="L202" s="144">
        <v>7.64</v>
      </c>
      <c r="M202" s="144">
        <v>7.64</v>
      </c>
      <c r="O202" s="145">
        <v>40654</v>
      </c>
      <c r="P202" s="144">
        <v>3.17</v>
      </c>
      <c r="Q202" s="144"/>
      <c r="R202" s="144">
        <v>6.85</v>
      </c>
      <c r="S202" s="144">
        <v>4.88</v>
      </c>
      <c r="T202" s="144">
        <v>4.5999999999999996</v>
      </c>
      <c r="U202" s="144"/>
      <c r="V202" s="144"/>
      <c r="W202" s="144">
        <v>19.5</v>
      </c>
    </row>
    <row r="203" spans="1:23" x14ac:dyDescent="0.2">
      <c r="A203" s="145">
        <v>41011</v>
      </c>
      <c r="B203" s="144">
        <v>2.98</v>
      </c>
      <c r="C203" s="144">
        <v>3.09</v>
      </c>
      <c r="D203" s="144"/>
      <c r="E203" s="144">
        <v>4.3899999999999997</v>
      </c>
      <c r="F203" s="144">
        <v>10.46</v>
      </c>
      <c r="H203" s="146">
        <v>2</v>
      </c>
      <c r="I203" s="144"/>
      <c r="J203" s="144"/>
      <c r="K203" s="144"/>
      <c r="L203" s="144">
        <v>6.7</v>
      </c>
      <c r="M203" s="144">
        <v>6.7</v>
      </c>
      <c r="O203" s="145">
        <v>40661</v>
      </c>
      <c r="P203" s="144">
        <v>3.35</v>
      </c>
      <c r="Q203" s="144"/>
      <c r="R203" s="144">
        <v>8.42</v>
      </c>
      <c r="S203" s="144">
        <v>4.71</v>
      </c>
      <c r="T203" s="144"/>
      <c r="U203" s="144">
        <v>3.95</v>
      </c>
      <c r="V203" s="144">
        <v>3.95</v>
      </c>
      <c r="W203" s="144">
        <v>24.38</v>
      </c>
    </row>
    <row r="204" spans="1:23" x14ac:dyDescent="0.2">
      <c r="A204" s="145">
        <v>41018</v>
      </c>
      <c r="B204" s="144">
        <v>3.06</v>
      </c>
      <c r="C204" s="144">
        <v>2.77</v>
      </c>
      <c r="D204" s="144">
        <v>3.46</v>
      </c>
      <c r="E204" s="144">
        <v>4.3499999999999996</v>
      </c>
      <c r="F204" s="144">
        <v>13.639999999999999</v>
      </c>
      <c r="H204" s="146">
        <v>3</v>
      </c>
      <c r="I204" s="144"/>
      <c r="J204" s="144"/>
      <c r="K204" s="144"/>
      <c r="L204" s="144">
        <v>5.82</v>
      </c>
      <c r="M204" s="144">
        <v>5.82</v>
      </c>
      <c r="O204" s="145">
        <v>40668</v>
      </c>
      <c r="P204" s="144">
        <v>3.49</v>
      </c>
      <c r="Q204" s="144"/>
      <c r="R204" s="144">
        <v>6.9</v>
      </c>
      <c r="S204" s="144">
        <v>5.0599999999999996</v>
      </c>
      <c r="T204" s="144">
        <v>4.2</v>
      </c>
      <c r="U204" s="144"/>
      <c r="V204" s="144"/>
      <c r="W204" s="144">
        <v>19.649999999999999</v>
      </c>
    </row>
    <row r="205" spans="1:23" x14ac:dyDescent="0.2">
      <c r="A205" s="145">
        <v>41025</v>
      </c>
      <c r="B205" s="144">
        <v>3.47</v>
      </c>
      <c r="C205" s="144">
        <v>3.21</v>
      </c>
      <c r="D205" s="144">
        <v>3.17</v>
      </c>
      <c r="E205" s="144">
        <v>4.17</v>
      </c>
      <c r="F205" s="144">
        <v>14.02</v>
      </c>
      <c r="H205" s="146">
        <v>4</v>
      </c>
      <c r="I205" s="144"/>
      <c r="J205" s="144"/>
      <c r="K205" s="144"/>
      <c r="L205" s="144">
        <v>6.08</v>
      </c>
      <c r="M205" s="144">
        <v>6.08</v>
      </c>
      <c r="O205" s="145">
        <v>40675</v>
      </c>
      <c r="P205" s="144">
        <v>3.32</v>
      </c>
      <c r="Q205" s="144"/>
      <c r="R205" s="144">
        <v>6.45</v>
      </c>
      <c r="S205" s="144">
        <v>4.55</v>
      </c>
      <c r="T205" s="144">
        <v>3.54</v>
      </c>
      <c r="U205" s="144"/>
      <c r="V205" s="144"/>
      <c r="W205" s="144">
        <v>17.86</v>
      </c>
    </row>
    <row r="206" spans="1:23" x14ac:dyDescent="0.2">
      <c r="A206" s="145">
        <v>41032</v>
      </c>
      <c r="B206" s="144">
        <v>3.04</v>
      </c>
      <c r="C206" s="144">
        <v>3.2</v>
      </c>
      <c r="D206" s="144">
        <v>3.26</v>
      </c>
      <c r="E206" s="144">
        <v>4.4400000000000004</v>
      </c>
      <c r="F206" s="144">
        <v>13.940000000000001</v>
      </c>
      <c r="H206" s="146">
        <v>5</v>
      </c>
      <c r="I206" s="144"/>
      <c r="J206" s="144"/>
      <c r="K206" s="144"/>
      <c r="L206" s="144">
        <v>5.53</v>
      </c>
      <c r="M206" s="144">
        <v>5.53</v>
      </c>
      <c r="O206" s="145">
        <v>40682</v>
      </c>
      <c r="P206" s="144"/>
      <c r="Q206" s="144"/>
      <c r="R206" s="144">
        <v>7.29</v>
      </c>
      <c r="S206" s="144">
        <v>7.29</v>
      </c>
      <c r="T206" s="144">
        <v>4.2699999999999996</v>
      </c>
      <c r="U206" s="144">
        <v>3.72</v>
      </c>
      <c r="V206" s="144"/>
      <c r="W206" s="144">
        <v>22.57</v>
      </c>
    </row>
    <row r="207" spans="1:23" x14ac:dyDescent="0.2">
      <c r="A207" s="145">
        <v>41039</v>
      </c>
      <c r="B207" s="144">
        <v>2.92</v>
      </c>
      <c r="C207" s="144">
        <v>2.99</v>
      </c>
      <c r="D207" s="144">
        <v>3.42</v>
      </c>
      <c r="E207" s="144">
        <v>4.49</v>
      </c>
      <c r="F207" s="144">
        <v>13.82</v>
      </c>
      <c r="H207" s="146">
        <v>6</v>
      </c>
      <c r="I207" s="144"/>
      <c r="J207" s="144"/>
      <c r="K207" s="144"/>
      <c r="L207" s="144">
        <v>6.15</v>
      </c>
      <c r="M207" s="144">
        <v>6.15</v>
      </c>
      <c r="O207" s="145">
        <v>40808</v>
      </c>
      <c r="P207" s="144">
        <v>3.93</v>
      </c>
      <c r="Q207" s="144">
        <v>4.1100000000000003</v>
      </c>
      <c r="R207" s="144">
        <v>7.64</v>
      </c>
      <c r="S207" s="144"/>
      <c r="T207" s="144"/>
      <c r="U207" s="144"/>
      <c r="V207" s="144"/>
      <c r="W207" s="144">
        <v>15.68</v>
      </c>
    </row>
    <row r="208" spans="1:23" x14ac:dyDescent="0.2">
      <c r="A208" s="145">
        <v>41046</v>
      </c>
      <c r="B208" s="144">
        <v>2.84</v>
      </c>
      <c r="C208" s="144">
        <v>8.06</v>
      </c>
      <c r="D208" s="144"/>
      <c r="E208" s="144"/>
      <c r="F208" s="144">
        <v>10.9</v>
      </c>
      <c r="H208" s="146">
        <v>7</v>
      </c>
      <c r="I208" s="144"/>
      <c r="J208" s="144"/>
      <c r="K208" s="144"/>
      <c r="L208" s="144">
        <v>5.96</v>
      </c>
      <c r="M208" s="144">
        <v>5.96</v>
      </c>
      <c r="O208" s="145">
        <v>40815</v>
      </c>
      <c r="P208" s="144">
        <v>3.98</v>
      </c>
      <c r="Q208" s="144">
        <v>4.33</v>
      </c>
      <c r="R208" s="144">
        <v>6.7</v>
      </c>
      <c r="S208" s="144"/>
      <c r="T208" s="144"/>
      <c r="U208" s="144"/>
      <c r="V208" s="144"/>
      <c r="W208" s="144">
        <v>15.010000000000002</v>
      </c>
    </row>
    <row r="209" spans="1:23" x14ac:dyDescent="0.2">
      <c r="A209" s="145">
        <v>41172</v>
      </c>
      <c r="B209" s="144"/>
      <c r="C209" s="144"/>
      <c r="D209" s="144">
        <v>3.5</v>
      </c>
      <c r="E209" s="144">
        <v>4.28</v>
      </c>
      <c r="F209" s="144">
        <v>7.78</v>
      </c>
      <c r="H209" s="146">
        <v>8</v>
      </c>
      <c r="I209" s="144"/>
      <c r="J209" s="144"/>
      <c r="K209" s="144"/>
      <c r="L209" s="144">
        <v>5.5</v>
      </c>
      <c r="M209" s="144">
        <v>5.5</v>
      </c>
      <c r="O209" s="145">
        <v>40822</v>
      </c>
      <c r="P209" s="144">
        <v>3.35</v>
      </c>
      <c r="Q209" s="144">
        <v>4.1500000000000004</v>
      </c>
      <c r="R209" s="144">
        <v>5.82</v>
      </c>
      <c r="S209" s="144"/>
      <c r="T209" s="144"/>
      <c r="U209" s="144"/>
      <c r="V209" s="144"/>
      <c r="W209" s="144">
        <v>13.32</v>
      </c>
    </row>
    <row r="210" spans="1:23" x14ac:dyDescent="0.2">
      <c r="A210" s="145">
        <v>41179</v>
      </c>
      <c r="B210" s="144"/>
      <c r="C210" s="144"/>
      <c r="D210" s="144">
        <v>3.27</v>
      </c>
      <c r="E210" s="144">
        <v>4.13</v>
      </c>
      <c r="F210" s="144">
        <v>7.4</v>
      </c>
      <c r="H210" s="146">
        <v>9</v>
      </c>
      <c r="I210" s="144"/>
      <c r="J210" s="144"/>
      <c r="K210" s="144"/>
      <c r="L210" s="144">
        <v>5.71</v>
      </c>
      <c r="M210" s="144">
        <v>5.71</v>
      </c>
      <c r="O210" s="145">
        <v>40829</v>
      </c>
      <c r="P210" s="144">
        <v>3.78</v>
      </c>
      <c r="Q210" s="144">
        <v>3.99</v>
      </c>
      <c r="R210" s="144">
        <v>6.08</v>
      </c>
      <c r="S210" s="144"/>
      <c r="T210" s="144"/>
      <c r="U210" s="144"/>
      <c r="V210" s="144"/>
      <c r="W210" s="144">
        <v>13.85</v>
      </c>
    </row>
    <row r="211" spans="1:23" x14ac:dyDescent="0.2">
      <c r="A211" s="145">
        <v>41186</v>
      </c>
      <c r="B211" s="144">
        <v>3.46</v>
      </c>
      <c r="C211" s="144"/>
      <c r="D211" s="144">
        <v>3.53</v>
      </c>
      <c r="E211" s="144">
        <v>4.1399999999999997</v>
      </c>
      <c r="F211" s="144">
        <v>11.129999999999999</v>
      </c>
      <c r="H211" s="146">
        <v>10</v>
      </c>
      <c r="I211" s="144"/>
      <c r="J211" s="144"/>
      <c r="K211" s="144"/>
      <c r="L211" s="144">
        <v>5.79</v>
      </c>
      <c r="M211" s="144">
        <v>5.79</v>
      </c>
      <c r="O211" s="145">
        <v>40843</v>
      </c>
      <c r="P211" s="144">
        <v>3.42</v>
      </c>
      <c r="Q211" s="144">
        <v>3.9</v>
      </c>
      <c r="R211" s="144">
        <v>5.53</v>
      </c>
      <c r="S211" s="144"/>
      <c r="T211" s="144"/>
      <c r="U211" s="144"/>
      <c r="V211" s="144"/>
      <c r="W211" s="144">
        <v>12.850000000000001</v>
      </c>
    </row>
    <row r="212" spans="1:23" x14ac:dyDescent="0.2">
      <c r="A212" s="145">
        <v>41193</v>
      </c>
      <c r="B212" s="144">
        <v>3.4</v>
      </c>
      <c r="C212" s="144"/>
      <c r="D212" s="144"/>
      <c r="E212" s="144"/>
      <c r="F212" s="144">
        <v>3.4</v>
      </c>
      <c r="H212" s="146">
        <v>11</v>
      </c>
      <c r="I212" s="144"/>
      <c r="J212" s="144"/>
      <c r="K212" s="144"/>
      <c r="L212" s="144">
        <v>5.9</v>
      </c>
      <c r="M212" s="144">
        <v>5.9</v>
      </c>
      <c r="O212" s="145">
        <v>40850</v>
      </c>
      <c r="P212" s="144">
        <v>3.84</v>
      </c>
      <c r="Q212" s="144">
        <v>4</v>
      </c>
      <c r="R212" s="144">
        <v>6.15</v>
      </c>
      <c r="S212" s="144"/>
      <c r="T212" s="144"/>
      <c r="U212" s="144"/>
      <c r="V212" s="144"/>
      <c r="W212" s="144">
        <v>13.99</v>
      </c>
    </row>
    <row r="213" spans="1:23" x14ac:dyDescent="0.2">
      <c r="A213" s="145">
        <v>41200</v>
      </c>
      <c r="B213" s="144">
        <v>3.04</v>
      </c>
      <c r="C213" s="144"/>
      <c r="D213" s="144">
        <v>3.46</v>
      </c>
      <c r="E213" s="144">
        <v>4.28</v>
      </c>
      <c r="F213" s="144">
        <v>10.780000000000001</v>
      </c>
      <c r="H213" s="146">
        <v>12</v>
      </c>
      <c r="I213" s="144"/>
      <c r="J213" s="144"/>
      <c r="K213" s="144"/>
      <c r="L213" s="144">
        <v>6.02</v>
      </c>
      <c r="M213" s="144">
        <v>6.02</v>
      </c>
      <c r="O213" s="145">
        <v>40857</v>
      </c>
      <c r="P213" s="144">
        <v>3.49</v>
      </c>
      <c r="Q213" s="144">
        <v>3.66</v>
      </c>
      <c r="R213" s="144">
        <v>5.96</v>
      </c>
      <c r="S213" s="144"/>
      <c r="T213" s="144"/>
      <c r="U213" s="144"/>
      <c r="V213" s="144"/>
      <c r="W213" s="144">
        <v>13.11</v>
      </c>
    </row>
    <row r="214" spans="1:23" x14ac:dyDescent="0.2">
      <c r="A214" s="145">
        <v>41207</v>
      </c>
      <c r="B214" s="144">
        <v>3.13</v>
      </c>
      <c r="C214" s="144"/>
      <c r="D214" s="144">
        <v>3.34</v>
      </c>
      <c r="E214" s="144">
        <v>4</v>
      </c>
      <c r="F214" s="144">
        <v>10.469999999999999</v>
      </c>
      <c r="H214" s="146">
        <v>13</v>
      </c>
      <c r="I214" s="144"/>
      <c r="J214" s="144"/>
      <c r="K214" s="144"/>
      <c r="L214" s="144">
        <v>5.31</v>
      </c>
      <c r="M214" s="144">
        <v>5.31</v>
      </c>
      <c r="O214" s="145">
        <v>40864</v>
      </c>
      <c r="P214" s="144">
        <v>3.62</v>
      </c>
      <c r="Q214" s="144">
        <v>3.68</v>
      </c>
      <c r="R214" s="144">
        <v>5.5</v>
      </c>
      <c r="S214" s="144"/>
      <c r="T214" s="144"/>
      <c r="U214" s="144"/>
      <c r="V214" s="144"/>
      <c r="W214" s="144">
        <v>12.8</v>
      </c>
    </row>
    <row r="215" spans="1:23" x14ac:dyDescent="0.2">
      <c r="A215" s="145">
        <v>41213</v>
      </c>
      <c r="B215" s="144">
        <v>3.38</v>
      </c>
      <c r="C215" s="144"/>
      <c r="D215" s="144"/>
      <c r="E215" s="144"/>
      <c r="F215" s="144">
        <v>3.38</v>
      </c>
      <c r="H215" s="146">
        <v>14</v>
      </c>
      <c r="I215" s="144"/>
      <c r="J215" s="144"/>
      <c r="K215" s="144"/>
      <c r="L215" s="144">
        <v>5.19</v>
      </c>
      <c r="M215" s="144">
        <v>5.19</v>
      </c>
      <c r="O215" s="145">
        <v>40878</v>
      </c>
      <c r="P215" s="144">
        <v>3.74</v>
      </c>
      <c r="Q215" s="144">
        <v>3.69</v>
      </c>
      <c r="R215" s="144">
        <v>5.71</v>
      </c>
      <c r="S215" s="144"/>
      <c r="T215" s="144"/>
      <c r="U215" s="144"/>
      <c r="V215" s="144"/>
      <c r="W215" s="144">
        <v>13.14</v>
      </c>
    </row>
    <row r="216" spans="1:23" x14ac:dyDescent="0.2">
      <c r="A216" s="145">
        <v>41221</v>
      </c>
      <c r="B216" s="144"/>
      <c r="C216" s="144"/>
      <c r="D216" s="144">
        <v>3.46</v>
      </c>
      <c r="E216" s="144">
        <v>4.83</v>
      </c>
      <c r="F216" s="144">
        <v>8.2899999999999991</v>
      </c>
      <c r="H216" s="146">
        <v>15</v>
      </c>
      <c r="I216" s="144"/>
      <c r="J216" s="144"/>
      <c r="K216" s="144"/>
      <c r="L216" s="144">
        <v>4.38</v>
      </c>
      <c r="M216" s="144">
        <v>4.38</v>
      </c>
      <c r="O216" s="145">
        <v>40885</v>
      </c>
      <c r="P216" s="144">
        <v>3.6</v>
      </c>
      <c r="Q216" s="144">
        <v>3.64</v>
      </c>
      <c r="R216" s="144">
        <v>5.79</v>
      </c>
      <c r="S216" s="144"/>
      <c r="T216" s="144"/>
      <c r="U216" s="144"/>
      <c r="V216" s="144"/>
      <c r="W216" s="144">
        <v>13.030000000000001</v>
      </c>
    </row>
    <row r="217" spans="1:23" x14ac:dyDescent="0.2">
      <c r="A217" s="145">
        <v>41228</v>
      </c>
      <c r="B217" s="144">
        <v>3.34</v>
      </c>
      <c r="C217" s="144"/>
      <c r="D217" s="144">
        <v>3.52</v>
      </c>
      <c r="E217" s="144">
        <v>4.16</v>
      </c>
      <c r="F217" s="144">
        <v>11.02</v>
      </c>
      <c r="H217" s="146">
        <v>16</v>
      </c>
      <c r="I217" s="144"/>
      <c r="J217" s="144"/>
      <c r="K217" s="144"/>
      <c r="L217" s="144">
        <v>5.0199999999999996</v>
      </c>
      <c r="M217" s="144">
        <v>5.0199999999999996</v>
      </c>
      <c r="O217" s="143" t="s">
        <v>1006</v>
      </c>
      <c r="P217" s="144"/>
      <c r="Q217" s="144"/>
      <c r="R217" s="144"/>
      <c r="S217" s="144"/>
      <c r="T217" s="144"/>
      <c r="U217" s="144"/>
      <c r="V217" s="144"/>
      <c r="W217" s="144"/>
    </row>
    <row r="218" spans="1:23" x14ac:dyDescent="0.2">
      <c r="A218" s="145">
        <v>41242</v>
      </c>
      <c r="B218" s="144">
        <v>3.61</v>
      </c>
      <c r="C218" s="144"/>
      <c r="D218" s="144">
        <v>2.99</v>
      </c>
      <c r="E218" s="144">
        <v>3.88</v>
      </c>
      <c r="F218" s="144">
        <v>10.48</v>
      </c>
      <c r="H218" s="146">
        <v>17</v>
      </c>
      <c r="I218" s="144"/>
      <c r="J218" s="144"/>
      <c r="K218" s="144"/>
      <c r="L218" s="144">
        <v>4.95</v>
      </c>
      <c r="M218" s="144">
        <v>4.95</v>
      </c>
      <c r="O218" s="145">
        <v>40920</v>
      </c>
      <c r="P218" s="144">
        <v>4.47</v>
      </c>
      <c r="Q218" s="144"/>
      <c r="R218" s="144">
        <v>5.9</v>
      </c>
      <c r="S218" s="144">
        <v>4.09</v>
      </c>
      <c r="T218" s="144"/>
      <c r="U218" s="144"/>
      <c r="V218" s="144"/>
      <c r="W218" s="144">
        <v>14.46</v>
      </c>
    </row>
    <row r="219" spans="1:23" x14ac:dyDescent="0.2">
      <c r="A219" s="145">
        <v>41249</v>
      </c>
      <c r="B219" s="144">
        <v>3.22</v>
      </c>
      <c r="C219" s="144"/>
      <c r="D219" s="144">
        <v>3.27</v>
      </c>
      <c r="E219" s="144">
        <v>4.16</v>
      </c>
      <c r="F219" s="144">
        <v>10.65</v>
      </c>
      <c r="H219" s="146">
        <v>18</v>
      </c>
      <c r="I219" s="144"/>
      <c r="J219" s="144"/>
      <c r="K219" s="144"/>
      <c r="L219" s="144">
        <v>4.8899999999999997</v>
      </c>
      <c r="M219" s="144">
        <v>4.8899999999999997</v>
      </c>
      <c r="O219" s="145">
        <v>40927</v>
      </c>
      <c r="P219" s="144">
        <v>4.05</v>
      </c>
      <c r="Q219" s="144"/>
      <c r="R219" s="144">
        <v>6.02</v>
      </c>
      <c r="S219" s="144">
        <v>4.25</v>
      </c>
      <c r="T219" s="144"/>
      <c r="U219" s="144"/>
      <c r="V219" s="144"/>
      <c r="W219" s="144">
        <v>14.32</v>
      </c>
    </row>
    <row r="220" spans="1:23" x14ac:dyDescent="0.2">
      <c r="A220" s="143" t="s">
        <v>1007</v>
      </c>
      <c r="B220" s="144">
        <v>20.8</v>
      </c>
      <c r="C220" s="144">
        <v>37.74</v>
      </c>
      <c r="D220" s="144">
        <v>70.03</v>
      </c>
      <c r="E220" s="144">
        <v>67.58</v>
      </c>
      <c r="F220" s="144">
        <v>196.14999999999995</v>
      </c>
      <c r="H220" s="146">
        <v>19</v>
      </c>
      <c r="I220" s="144"/>
      <c r="J220" s="144"/>
      <c r="K220" s="144"/>
      <c r="L220" s="144">
        <v>4.87</v>
      </c>
      <c r="M220" s="144">
        <v>4.87</v>
      </c>
      <c r="O220" s="145">
        <v>40934</v>
      </c>
      <c r="P220" s="144"/>
      <c r="Q220" s="144"/>
      <c r="R220" s="144">
        <v>3.82</v>
      </c>
      <c r="S220" s="144">
        <v>7.4700000000000006</v>
      </c>
      <c r="T220" s="144"/>
      <c r="U220" s="144"/>
      <c r="V220" s="144"/>
      <c r="W220" s="144">
        <v>11.290000000000001</v>
      </c>
    </row>
    <row r="221" spans="1:23" x14ac:dyDescent="0.2">
      <c r="A221" s="145">
        <v>41284</v>
      </c>
      <c r="B221" s="144">
        <v>3.79</v>
      </c>
      <c r="C221" s="144"/>
      <c r="D221" s="144"/>
      <c r="E221" s="144">
        <v>4.54</v>
      </c>
      <c r="F221" s="144">
        <v>8.33</v>
      </c>
      <c r="H221" s="146">
        <v>20</v>
      </c>
      <c r="I221" s="144"/>
      <c r="J221" s="144"/>
      <c r="K221" s="144"/>
      <c r="L221" s="144">
        <v>4.3899999999999997</v>
      </c>
      <c r="M221" s="144">
        <v>4.3899999999999997</v>
      </c>
      <c r="O221" s="145">
        <v>40941</v>
      </c>
      <c r="P221" s="144">
        <v>3.23</v>
      </c>
      <c r="Q221" s="144"/>
      <c r="R221" s="144">
        <v>5.31</v>
      </c>
      <c r="S221" s="144">
        <v>3.6</v>
      </c>
      <c r="T221" s="144"/>
      <c r="U221" s="144"/>
      <c r="V221" s="144"/>
      <c r="W221" s="144">
        <v>12.139999999999999</v>
      </c>
    </row>
    <row r="222" spans="1:23" x14ac:dyDescent="0.2">
      <c r="A222" s="145">
        <v>41291</v>
      </c>
      <c r="B222" s="144">
        <v>3.44</v>
      </c>
      <c r="C222" s="144"/>
      <c r="D222" s="144">
        <v>3.92</v>
      </c>
      <c r="E222" s="144">
        <v>4.1500000000000004</v>
      </c>
      <c r="F222" s="144">
        <v>11.51</v>
      </c>
      <c r="H222" s="146">
        <v>21</v>
      </c>
      <c r="I222" s="144"/>
      <c r="J222" s="144"/>
      <c r="K222" s="144"/>
      <c r="L222" s="144">
        <v>4.3499999999999996</v>
      </c>
      <c r="M222" s="144">
        <v>4.3499999999999996</v>
      </c>
      <c r="O222" s="145">
        <v>40948</v>
      </c>
      <c r="P222" s="144">
        <v>3.88</v>
      </c>
      <c r="Q222" s="144"/>
      <c r="R222" s="144">
        <v>5.19</v>
      </c>
      <c r="S222" s="144"/>
      <c r="T222" s="144"/>
      <c r="U222" s="144"/>
      <c r="V222" s="144"/>
      <c r="W222" s="144">
        <v>9.07</v>
      </c>
    </row>
    <row r="223" spans="1:23" x14ac:dyDescent="0.2">
      <c r="A223" s="145">
        <v>41298</v>
      </c>
      <c r="B223" s="144">
        <v>3.81</v>
      </c>
      <c r="C223" s="144"/>
      <c r="D223" s="144">
        <v>3.94</v>
      </c>
      <c r="E223" s="144">
        <v>4.1900000000000004</v>
      </c>
      <c r="F223" s="144">
        <v>11.940000000000001</v>
      </c>
      <c r="H223" s="146">
        <v>22</v>
      </c>
      <c r="I223" s="144"/>
      <c r="J223" s="144"/>
      <c r="K223" s="144"/>
      <c r="L223" s="144">
        <v>4.17</v>
      </c>
      <c r="M223" s="144">
        <v>4.17</v>
      </c>
      <c r="O223" s="145">
        <v>40955</v>
      </c>
      <c r="P223" s="144">
        <v>7.18</v>
      </c>
      <c r="Q223" s="144"/>
      <c r="R223" s="144">
        <v>4.38</v>
      </c>
      <c r="S223" s="144">
        <v>3.45</v>
      </c>
      <c r="T223" s="144"/>
      <c r="U223" s="144"/>
      <c r="V223" s="144"/>
      <c r="W223" s="144">
        <v>15.009999999999998</v>
      </c>
    </row>
    <row r="224" spans="1:23" x14ac:dyDescent="0.2">
      <c r="A224" s="145">
        <v>41305</v>
      </c>
      <c r="B224" s="144">
        <v>9.76</v>
      </c>
      <c r="C224" s="144"/>
      <c r="D224" s="144"/>
      <c r="E224" s="144">
        <v>8.42</v>
      </c>
      <c r="F224" s="144">
        <v>18.18</v>
      </c>
      <c r="H224" s="146">
        <v>23</v>
      </c>
      <c r="I224" s="144"/>
      <c r="J224" s="144"/>
      <c r="K224" s="144"/>
      <c r="L224" s="144">
        <v>4.4400000000000004</v>
      </c>
      <c r="M224" s="144">
        <v>4.4400000000000004</v>
      </c>
      <c r="O224" s="145">
        <v>40962</v>
      </c>
      <c r="P224" s="144">
        <v>3.7</v>
      </c>
      <c r="Q224" s="144"/>
      <c r="R224" s="144">
        <v>5.0199999999999996</v>
      </c>
      <c r="S224" s="144">
        <v>3.43</v>
      </c>
      <c r="T224" s="144"/>
      <c r="U224" s="144"/>
      <c r="V224" s="144"/>
      <c r="W224" s="144">
        <v>12.149999999999999</v>
      </c>
    </row>
    <row r="225" spans="1:23" x14ac:dyDescent="0.2">
      <c r="A225" s="145">
        <v>41312</v>
      </c>
      <c r="B225" s="144"/>
      <c r="C225" s="144">
        <v>3.88</v>
      </c>
      <c r="D225" s="144">
        <v>3.76</v>
      </c>
      <c r="E225" s="144">
        <v>4.1500000000000004</v>
      </c>
      <c r="F225" s="144">
        <v>11.79</v>
      </c>
      <c r="H225" s="146">
        <v>24</v>
      </c>
      <c r="I225" s="144"/>
      <c r="J225" s="144"/>
      <c r="K225" s="144"/>
      <c r="L225" s="144">
        <v>4.49</v>
      </c>
      <c r="M225" s="144">
        <v>4.49</v>
      </c>
      <c r="O225" s="145">
        <v>40969</v>
      </c>
      <c r="P225" s="144">
        <v>3.77</v>
      </c>
      <c r="Q225" s="144"/>
      <c r="R225" s="144">
        <v>4.95</v>
      </c>
      <c r="S225" s="144">
        <v>3.77</v>
      </c>
      <c r="T225" s="144"/>
      <c r="U225" s="144"/>
      <c r="V225" s="144"/>
      <c r="W225" s="144">
        <v>12.49</v>
      </c>
    </row>
    <row r="226" spans="1:23" x14ac:dyDescent="0.2">
      <c r="A226" s="145">
        <v>41319</v>
      </c>
      <c r="B226" s="144"/>
      <c r="C226" s="144">
        <v>2.76</v>
      </c>
      <c r="D226" s="144">
        <v>3.18</v>
      </c>
      <c r="E226" s="144">
        <v>4.0599999999999996</v>
      </c>
      <c r="F226" s="144">
        <v>10</v>
      </c>
      <c r="H226" s="143" t="s">
        <v>227</v>
      </c>
      <c r="I226" s="144"/>
      <c r="J226" s="144"/>
      <c r="K226" s="144"/>
      <c r="L226" s="144">
        <v>105.44</v>
      </c>
      <c r="M226" s="144">
        <v>105.44</v>
      </c>
      <c r="O226" s="145">
        <v>40976</v>
      </c>
      <c r="P226" s="144">
        <v>3.42</v>
      </c>
      <c r="Q226" s="144"/>
      <c r="R226" s="144">
        <v>4.8899999999999997</v>
      </c>
      <c r="S226" s="144">
        <v>3.66</v>
      </c>
      <c r="T226" s="144"/>
      <c r="U226" s="144"/>
      <c r="V226" s="144"/>
      <c r="W226" s="144">
        <v>11.969999999999999</v>
      </c>
    </row>
    <row r="227" spans="1:23" x14ac:dyDescent="0.2">
      <c r="A227" s="145">
        <v>41326</v>
      </c>
      <c r="B227" s="144"/>
      <c r="C227" s="144">
        <v>3.08</v>
      </c>
      <c r="D227" s="144">
        <v>6.02</v>
      </c>
      <c r="E227" s="144"/>
      <c r="F227" s="144">
        <v>9.1</v>
      </c>
      <c r="H227" s="146">
        <v>1</v>
      </c>
      <c r="I227" s="144"/>
      <c r="J227" s="144"/>
      <c r="K227" s="144"/>
      <c r="L227" s="144">
        <v>4.28</v>
      </c>
      <c r="M227" s="144">
        <v>4.28</v>
      </c>
      <c r="O227" s="145">
        <v>40983</v>
      </c>
      <c r="P227" s="144">
        <v>4.75</v>
      </c>
      <c r="Q227" s="144">
        <v>4</v>
      </c>
      <c r="R227" s="144">
        <v>4.87</v>
      </c>
      <c r="S227" s="144"/>
      <c r="T227" s="144"/>
      <c r="U227" s="144"/>
      <c r="V227" s="144"/>
      <c r="W227" s="144">
        <v>13.620000000000001</v>
      </c>
    </row>
    <row r="228" spans="1:23" x14ac:dyDescent="0.2">
      <c r="A228" s="145">
        <v>41333</v>
      </c>
      <c r="B228" s="144"/>
      <c r="C228" s="144">
        <v>2.83</v>
      </c>
      <c r="D228" s="144"/>
      <c r="E228" s="144"/>
      <c r="F228" s="144">
        <v>2.83</v>
      </c>
      <c r="H228" s="146">
        <v>2</v>
      </c>
      <c r="I228" s="144"/>
      <c r="J228" s="144"/>
      <c r="K228" s="144"/>
      <c r="L228" s="144">
        <v>4.13</v>
      </c>
      <c r="M228" s="144">
        <v>4.13</v>
      </c>
      <c r="O228" s="145">
        <v>40990</v>
      </c>
      <c r="P228" s="144">
        <v>3.87</v>
      </c>
      <c r="Q228" s="144">
        <v>6.73</v>
      </c>
      <c r="R228" s="144"/>
      <c r="S228" s="144"/>
      <c r="T228" s="144"/>
      <c r="U228" s="144"/>
      <c r="V228" s="144"/>
      <c r="W228" s="144">
        <v>10.600000000000001</v>
      </c>
    </row>
    <row r="229" spans="1:23" x14ac:dyDescent="0.2">
      <c r="A229" s="145">
        <v>41340</v>
      </c>
      <c r="B229" s="144"/>
      <c r="C229" s="144">
        <v>3.29</v>
      </c>
      <c r="D229" s="144"/>
      <c r="E229" s="144"/>
      <c r="F229" s="144">
        <v>3.29</v>
      </c>
      <c r="H229" s="146">
        <v>3</v>
      </c>
      <c r="I229" s="144"/>
      <c r="J229" s="144"/>
      <c r="K229" s="144"/>
      <c r="L229" s="144">
        <v>4.1399999999999997</v>
      </c>
      <c r="M229" s="144">
        <v>4.1399999999999997</v>
      </c>
      <c r="O229" s="145">
        <v>40997</v>
      </c>
      <c r="P229" s="144">
        <v>3.48</v>
      </c>
      <c r="Q229" s="144">
        <v>3.14</v>
      </c>
      <c r="R229" s="144"/>
      <c r="S229" s="144"/>
      <c r="T229" s="144"/>
      <c r="U229" s="144"/>
      <c r="V229" s="144"/>
      <c r="W229" s="144">
        <v>6.62</v>
      </c>
    </row>
    <row r="230" spans="1:23" x14ac:dyDescent="0.2">
      <c r="A230" s="145">
        <v>41347</v>
      </c>
      <c r="B230" s="144"/>
      <c r="C230" s="144">
        <v>2.58</v>
      </c>
      <c r="D230" s="144">
        <v>3</v>
      </c>
      <c r="E230" s="144">
        <v>3.54</v>
      </c>
      <c r="F230" s="144">
        <v>9.120000000000001</v>
      </c>
      <c r="H230" s="146">
        <v>4</v>
      </c>
      <c r="I230" s="144"/>
      <c r="J230" s="144"/>
      <c r="K230" s="144"/>
      <c r="L230" s="144">
        <v>4.28</v>
      </c>
      <c r="M230" s="144">
        <v>4.28</v>
      </c>
      <c r="O230" s="145">
        <v>41004</v>
      </c>
      <c r="P230" s="144">
        <v>3</v>
      </c>
      <c r="Q230" s="144">
        <v>2.79</v>
      </c>
      <c r="R230" s="144"/>
      <c r="S230" s="144"/>
      <c r="T230" s="144"/>
      <c r="U230" s="144"/>
      <c r="V230" s="144"/>
      <c r="W230" s="144">
        <v>5.79</v>
      </c>
    </row>
    <row r="231" spans="1:23" x14ac:dyDescent="0.2">
      <c r="A231" s="145">
        <v>41354</v>
      </c>
      <c r="B231" s="144"/>
      <c r="C231" s="144">
        <v>2.95</v>
      </c>
      <c r="D231" s="144"/>
      <c r="E231" s="144"/>
      <c r="F231" s="144">
        <v>2.95</v>
      </c>
      <c r="H231" s="146">
        <v>5</v>
      </c>
      <c r="I231" s="144"/>
      <c r="J231" s="144"/>
      <c r="K231" s="144"/>
      <c r="L231" s="144">
        <v>4</v>
      </c>
      <c r="M231" s="144">
        <v>4</v>
      </c>
      <c r="O231" s="145">
        <v>41011</v>
      </c>
      <c r="P231" s="144">
        <v>3.09</v>
      </c>
      <c r="Q231" s="144">
        <v>2.98</v>
      </c>
      <c r="R231" s="144">
        <v>4.3899999999999997</v>
      </c>
      <c r="S231" s="144"/>
      <c r="T231" s="144"/>
      <c r="U231" s="144"/>
      <c r="V231" s="144"/>
      <c r="W231" s="144">
        <v>10.46</v>
      </c>
    </row>
    <row r="232" spans="1:23" x14ac:dyDescent="0.2">
      <c r="A232" s="145">
        <v>41368</v>
      </c>
      <c r="B232" s="144"/>
      <c r="C232" s="144">
        <v>2.3199999999999998</v>
      </c>
      <c r="D232" s="144">
        <v>2.93</v>
      </c>
      <c r="E232" s="144">
        <v>3.44</v>
      </c>
      <c r="F232" s="144">
        <v>8.69</v>
      </c>
      <c r="H232" s="146">
        <v>6</v>
      </c>
      <c r="I232" s="144"/>
      <c r="J232" s="144"/>
      <c r="K232" s="144"/>
      <c r="L232" s="144">
        <v>4.83</v>
      </c>
      <c r="M232" s="144">
        <v>4.83</v>
      </c>
      <c r="O232" s="145">
        <v>41018</v>
      </c>
      <c r="P232" s="144">
        <v>2.77</v>
      </c>
      <c r="Q232" s="144">
        <v>3.06</v>
      </c>
      <c r="R232" s="144">
        <v>4.3499999999999996</v>
      </c>
      <c r="S232" s="144">
        <v>3.46</v>
      </c>
      <c r="T232" s="144"/>
      <c r="U232" s="144"/>
      <c r="V232" s="144"/>
      <c r="W232" s="144">
        <v>13.64</v>
      </c>
    </row>
    <row r="233" spans="1:23" x14ac:dyDescent="0.2">
      <c r="A233" s="145">
        <v>41375</v>
      </c>
      <c r="B233" s="144"/>
      <c r="C233" s="144">
        <v>2.84</v>
      </c>
      <c r="D233" s="144">
        <v>3.15</v>
      </c>
      <c r="E233" s="144">
        <v>3.83</v>
      </c>
      <c r="F233" s="144">
        <v>9.82</v>
      </c>
      <c r="H233" s="146">
        <v>7</v>
      </c>
      <c r="I233" s="144"/>
      <c r="J233" s="144"/>
      <c r="K233" s="144"/>
      <c r="L233" s="144">
        <v>4.16</v>
      </c>
      <c r="M233" s="144">
        <v>4.16</v>
      </c>
      <c r="O233" s="145">
        <v>41025</v>
      </c>
      <c r="P233" s="144">
        <v>3.21</v>
      </c>
      <c r="Q233" s="144">
        <v>3.47</v>
      </c>
      <c r="R233" s="144">
        <v>4.17</v>
      </c>
      <c r="S233" s="144">
        <v>3.17</v>
      </c>
      <c r="T233" s="144"/>
      <c r="U233" s="144"/>
      <c r="V233" s="144"/>
      <c r="W233" s="144">
        <v>14.02</v>
      </c>
    </row>
    <row r="234" spans="1:23" x14ac:dyDescent="0.2">
      <c r="A234" s="145">
        <v>41382</v>
      </c>
      <c r="B234" s="144"/>
      <c r="C234" s="144">
        <v>3.13</v>
      </c>
      <c r="D234" s="144">
        <v>6.6899999999999995</v>
      </c>
      <c r="E234" s="144"/>
      <c r="F234" s="144">
        <v>9.82</v>
      </c>
      <c r="H234" s="146">
        <v>8</v>
      </c>
      <c r="I234" s="144"/>
      <c r="J234" s="144"/>
      <c r="K234" s="144"/>
      <c r="L234" s="144">
        <v>3.88</v>
      </c>
      <c r="M234" s="144">
        <v>3.88</v>
      </c>
      <c r="O234" s="145">
        <v>41032</v>
      </c>
      <c r="P234" s="144">
        <v>3.2</v>
      </c>
      <c r="Q234" s="144">
        <v>3.04</v>
      </c>
      <c r="R234" s="144">
        <v>4.4400000000000004</v>
      </c>
      <c r="S234" s="144">
        <v>3.26</v>
      </c>
      <c r="T234" s="144"/>
      <c r="U234" s="144"/>
      <c r="V234" s="144"/>
      <c r="W234" s="144">
        <v>13.94</v>
      </c>
    </row>
    <row r="235" spans="1:23" x14ac:dyDescent="0.2">
      <c r="A235" s="145">
        <v>41389</v>
      </c>
      <c r="B235" s="144"/>
      <c r="C235" s="144">
        <v>2.33</v>
      </c>
      <c r="D235" s="144">
        <v>2.59</v>
      </c>
      <c r="E235" s="144">
        <v>3.25</v>
      </c>
      <c r="F235" s="144">
        <v>8.17</v>
      </c>
      <c r="H235" s="146">
        <v>9</v>
      </c>
      <c r="I235" s="144"/>
      <c r="J235" s="144"/>
      <c r="K235" s="144"/>
      <c r="L235" s="144">
        <v>4.16</v>
      </c>
      <c r="M235" s="144">
        <v>4.16</v>
      </c>
      <c r="O235" s="145">
        <v>41039</v>
      </c>
      <c r="P235" s="144">
        <v>2.99</v>
      </c>
      <c r="Q235" s="144">
        <v>2.92</v>
      </c>
      <c r="R235" s="144">
        <v>4.49</v>
      </c>
      <c r="S235" s="144">
        <v>3.42</v>
      </c>
      <c r="T235" s="144"/>
      <c r="U235" s="144"/>
      <c r="V235" s="144"/>
      <c r="W235" s="144">
        <v>13.82</v>
      </c>
    </row>
    <row r="236" spans="1:23" x14ac:dyDescent="0.2">
      <c r="A236" s="145">
        <v>41396</v>
      </c>
      <c r="B236" s="144"/>
      <c r="C236" s="144">
        <v>2.67</v>
      </c>
      <c r="D236" s="144">
        <v>2.99</v>
      </c>
      <c r="E236" s="144">
        <v>3.51</v>
      </c>
      <c r="F236" s="144">
        <v>9.17</v>
      </c>
      <c r="H236" s="146">
        <v>10</v>
      </c>
      <c r="I236" s="144"/>
      <c r="J236" s="144"/>
      <c r="K236" s="144"/>
      <c r="L236" s="144">
        <v>4.54</v>
      </c>
      <c r="M236" s="144">
        <v>4.54</v>
      </c>
      <c r="O236" s="145">
        <v>41046</v>
      </c>
      <c r="P236" s="144">
        <v>2.97</v>
      </c>
      <c r="Q236" s="144">
        <v>2.84</v>
      </c>
      <c r="R236" s="144">
        <v>2.61</v>
      </c>
      <c r="S236" s="144">
        <v>2.48</v>
      </c>
      <c r="T236" s="144"/>
      <c r="U236" s="144"/>
      <c r="V236" s="144"/>
      <c r="W236" s="144">
        <v>10.9</v>
      </c>
    </row>
    <row r="237" spans="1:23" x14ac:dyDescent="0.2">
      <c r="A237" s="145">
        <v>41403</v>
      </c>
      <c r="B237" s="144"/>
      <c r="C237" s="144">
        <v>3.08</v>
      </c>
      <c r="D237" s="144"/>
      <c r="E237" s="144">
        <v>9.1199999999999992</v>
      </c>
      <c r="F237" s="144">
        <v>12.2</v>
      </c>
      <c r="H237" s="146">
        <v>11</v>
      </c>
      <c r="I237" s="144"/>
      <c r="J237" s="144"/>
      <c r="K237" s="144"/>
      <c r="L237" s="144">
        <v>4.1500000000000004</v>
      </c>
      <c r="M237" s="144">
        <v>4.1500000000000004</v>
      </c>
      <c r="O237" s="145">
        <v>41172</v>
      </c>
      <c r="P237" s="144"/>
      <c r="Q237" s="144"/>
      <c r="R237" s="144">
        <v>4.28</v>
      </c>
      <c r="S237" s="144">
        <v>3.5</v>
      </c>
      <c r="T237" s="144"/>
      <c r="U237" s="144"/>
      <c r="V237" s="144"/>
      <c r="W237" s="144">
        <v>7.78</v>
      </c>
    </row>
    <row r="238" spans="1:23" x14ac:dyDescent="0.2">
      <c r="A238" s="145">
        <v>41410</v>
      </c>
      <c r="B238" s="144"/>
      <c r="C238" s="144"/>
      <c r="D238" s="144"/>
      <c r="E238" s="144">
        <v>11.38</v>
      </c>
      <c r="F238" s="144">
        <v>11.38</v>
      </c>
      <c r="H238" s="146">
        <v>12</v>
      </c>
      <c r="I238" s="144"/>
      <c r="J238" s="144"/>
      <c r="K238" s="144"/>
      <c r="L238" s="144">
        <v>4.1900000000000004</v>
      </c>
      <c r="M238" s="144">
        <v>4.1900000000000004</v>
      </c>
      <c r="O238" s="145">
        <v>41179</v>
      </c>
      <c r="P238" s="144"/>
      <c r="Q238" s="144"/>
      <c r="R238" s="144">
        <v>4.13</v>
      </c>
      <c r="S238" s="144">
        <v>3.27</v>
      </c>
      <c r="T238" s="144"/>
      <c r="U238" s="144"/>
      <c r="V238" s="144"/>
      <c r="W238" s="144">
        <v>7.4</v>
      </c>
    </row>
    <row r="239" spans="1:23" x14ac:dyDescent="0.2">
      <c r="A239" s="145">
        <v>41543</v>
      </c>
      <c r="B239" s="144"/>
      <c r="C239" s="144"/>
      <c r="D239" s="144">
        <v>6.54</v>
      </c>
      <c r="E239" s="144"/>
      <c r="F239" s="144">
        <v>6.54</v>
      </c>
      <c r="H239" s="146">
        <v>13</v>
      </c>
      <c r="I239" s="144"/>
      <c r="J239" s="144"/>
      <c r="K239" s="144"/>
      <c r="L239" s="144">
        <v>4.45</v>
      </c>
      <c r="M239" s="144">
        <v>4.45</v>
      </c>
      <c r="O239" s="145">
        <v>41186</v>
      </c>
      <c r="P239" s="144">
        <v>3.46</v>
      </c>
      <c r="Q239" s="144"/>
      <c r="R239" s="144">
        <v>4.1399999999999997</v>
      </c>
      <c r="S239" s="144">
        <v>3.53</v>
      </c>
      <c r="T239" s="144"/>
      <c r="U239" s="144"/>
      <c r="V239" s="144"/>
      <c r="W239" s="144">
        <v>11.129999999999999</v>
      </c>
    </row>
    <row r="240" spans="1:23" x14ac:dyDescent="0.2">
      <c r="A240" s="145">
        <v>41550</v>
      </c>
      <c r="B240" s="144"/>
      <c r="C240" s="144"/>
      <c r="D240" s="144">
        <v>3.14</v>
      </c>
      <c r="E240" s="144"/>
      <c r="F240" s="144">
        <v>3.14</v>
      </c>
      <c r="H240" s="146">
        <v>14</v>
      </c>
      <c r="I240" s="144"/>
      <c r="J240" s="144"/>
      <c r="K240" s="144"/>
      <c r="L240" s="144">
        <v>3.97</v>
      </c>
      <c r="M240" s="144">
        <v>3.97</v>
      </c>
      <c r="O240" s="145">
        <v>41193</v>
      </c>
      <c r="P240" s="144">
        <v>3.4</v>
      </c>
      <c r="Q240" s="144"/>
      <c r="R240" s="144"/>
      <c r="S240" s="144"/>
      <c r="T240" s="144"/>
      <c r="U240" s="144"/>
      <c r="V240" s="144"/>
      <c r="W240" s="144">
        <v>3.4</v>
      </c>
    </row>
    <row r="241" spans="1:23" x14ac:dyDescent="0.2">
      <c r="A241" s="145">
        <v>41557</v>
      </c>
      <c r="B241" s="144"/>
      <c r="C241" s="144"/>
      <c r="D241" s="144">
        <v>3.23</v>
      </c>
      <c r="E241" s="144"/>
      <c r="F241" s="144">
        <v>3.23</v>
      </c>
      <c r="H241" s="146">
        <v>15</v>
      </c>
      <c r="I241" s="144"/>
      <c r="J241" s="144"/>
      <c r="K241" s="144"/>
      <c r="L241" s="144">
        <v>4.1500000000000004</v>
      </c>
      <c r="M241" s="144">
        <v>4.1500000000000004</v>
      </c>
      <c r="O241" s="145">
        <v>41200</v>
      </c>
      <c r="P241" s="144">
        <v>3.04</v>
      </c>
      <c r="Q241" s="144"/>
      <c r="R241" s="144">
        <v>4.28</v>
      </c>
      <c r="S241" s="144">
        <v>3.46</v>
      </c>
      <c r="T241" s="144"/>
      <c r="U241" s="144"/>
      <c r="V241" s="144"/>
      <c r="W241" s="144">
        <v>10.780000000000001</v>
      </c>
    </row>
    <row r="242" spans="1:23" x14ac:dyDescent="0.2">
      <c r="A242" s="145">
        <v>41564</v>
      </c>
      <c r="B242" s="144"/>
      <c r="C242" s="144"/>
      <c r="D242" s="144">
        <v>3.27</v>
      </c>
      <c r="E242" s="144"/>
      <c r="F242" s="144">
        <v>3.27</v>
      </c>
      <c r="H242" s="146">
        <v>16</v>
      </c>
      <c r="I242" s="144"/>
      <c r="J242" s="144"/>
      <c r="K242" s="144"/>
      <c r="L242" s="144">
        <v>4.0599999999999996</v>
      </c>
      <c r="M242" s="144">
        <v>4.0599999999999996</v>
      </c>
      <c r="O242" s="145">
        <v>41207</v>
      </c>
      <c r="P242" s="144">
        <v>3.13</v>
      </c>
      <c r="Q242" s="144"/>
      <c r="R242" s="144">
        <v>4</v>
      </c>
      <c r="S242" s="144">
        <v>3.34</v>
      </c>
      <c r="T242" s="144"/>
      <c r="U242" s="144"/>
      <c r="V242" s="144"/>
      <c r="W242" s="144">
        <v>10.469999999999999</v>
      </c>
    </row>
    <row r="243" spans="1:23" x14ac:dyDescent="0.2">
      <c r="A243" s="145">
        <v>41592</v>
      </c>
      <c r="B243" s="144"/>
      <c r="C243" s="144"/>
      <c r="D243" s="144">
        <v>6.06</v>
      </c>
      <c r="E243" s="144"/>
      <c r="F243" s="144">
        <v>6.06</v>
      </c>
      <c r="H243" s="146">
        <v>17</v>
      </c>
      <c r="I243" s="144"/>
      <c r="J243" s="144"/>
      <c r="K243" s="144"/>
      <c r="L243" s="144">
        <v>3.54</v>
      </c>
      <c r="M243" s="144">
        <v>3.54</v>
      </c>
      <c r="O243" s="145">
        <v>41221</v>
      </c>
      <c r="P243" s="144"/>
      <c r="Q243" s="144"/>
      <c r="R243" s="144">
        <v>4.83</v>
      </c>
      <c r="S243" s="144">
        <v>3.46</v>
      </c>
      <c r="T243" s="144"/>
      <c r="U243" s="144"/>
      <c r="V243" s="144"/>
      <c r="W243" s="144">
        <v>8.2899999999999991</v>
      </c>
    </row>
    <row r="244" spans="1:23" x14ac:dyDescent="0.2">
      <c r="A244" s="145">
        <v>41599</v>
      </c>
      <c r="B244" s="144"/>
      <c r="C244" s="144"/>
      <c r="D244" s="144">
        <v>5.62</v>
      </c>
      <c r="E244" s="144"/>
      <c r="F244" s="144">
        <v>5.62</v>
      </c>
      <c r="H244" s="146">
        <v>18</v>
      </c>
      <c r="I244" s="144"/>
      <c r="J244" s="144"/>
      <c r="K244" s="144"/>
      <c r="L244" s="144">
        <v>3.44</v>
      </c>
      <c r="M244" s="144">
        <v>3.44</v>
      </c>
      <c r="O244" s="145">
        <v>41228</v>
      </c>
      <c r="P244" s="144">
        <v>3.34</v>
      </c>
      <c r="Q244" s="144"/>
      <c r="R244" s="144">
        <v>4.16</v>
      </c>
      <c r="S244" s="144">
        <v>3.52</v>
      </c>
      <c r="T244" s="144"/>
      <c r="U244" s="144"/>
      <c r="V244" s="144"/>
      <c r="W244" s="144">
        <v>11.02</v>
      </c>
    </row>
    <row r="245" spans="1:23" x14ac:dyDescent="0.2">
      <c r="A245" s="143" t="s">
        <v>1008</v>
      </c>
      <c r="B245" s="144"/>
      <c r="C245" s="144">
        <v>39.03</v>
      </c>
      <c r="D245" s="144">
        <v>36.769999999999996</v>
      </c>
      <c r="E245" s="144"/>
      <c r="F245" s="144">
        <v>75.800000000000011</v>
      </c>
      <c r="H245" s="146">
        <v>19</v>
      </c>
      <c r="I245" s="144"/>
      <c r="J245" s="144"/>
      <c r="K245" s="144"/>
      <c r="L245" s="144">
        <v>3.83</v>
      </c>
      <c r="M245" s="144">
        <v>3.83</v>
      </c>
      <c r="O245" s="145">
        <v>41242</v>
      </c>
      <c r="P245" s="144">
        <v>3.61</v>
      </c>
      <c r="Q245" s="144"/>
      <c r="R245" s="144">
        <v>3.88</v>
      </c>
      <c r="S245" s="144">
        <v>2.99</v>
      </c>
      <c r="T245" s="144"/>
      <c r="U245" s="144"/>
      <c r="V245" s="144"/>
      <c r="W245" s="144">
        <v>10.48</v>
      </c>
    </row>
    <row r="246" spans="1:23" x14ac:dyDescent="0.2">
      <c r="A246" s="145">
        <v>41641</v>
      </c>
      <c r="B246" s="144"/>
      <c r="C246" s="144">
        <v>6.98</v>
      </c>
      <c r="D246" s="144"/>
      <c r="E246" s="144"/>
      <c r="F246" s="144">
        <v>6.98</v>
      </c>
      <c r="H246" s="146">
        <v>20</v>
      </c>
      <c r="I246" s="144"/>
      <c r="J246" s="144"/>
      <c r="K246" s="144"/>
      <c r="L246" s="144">
        <v>3.25</v>
      </c>
      <c r="M246" s="144">
        <v>3.25</v>
      </c>
      <c r="O246" s="145">
        <v>41249</v>
      </c>
      <c r="P246" s="144">
        <v>3.22</v>
      </c>
      <c r="Q246" s="144"/>
      <c r="R246" s="144">
        <v>4.16</v>
      </c>
      <c r="S246" s="144">
        <v>3.27</v>
      </c>
      <c r="T246" s="144"/>
      <c r="U246" s="144"/>
      <c r="V246" s="144"/>
      <c r="W246" s="144">
        <v>10.65</v>
      </c>
    </row>
    <row r="247" spans="1:23" x14ac:dyDescent="0.2">
      <c r="A247" s="145">
        <v>41648</v>
      </c>
      <c r="B247" s="144"/>
      <c r="C247" s="144">
        <v>3.58</v>
      </c>
      <c r="D247" s="144">
        <v>3.43</v>
      </c>
      <c r="E247" s="144"/>
      <c r="F247" s="144">
        <v>7.01</v>
      </c>
      <c r="H247" s="146">
        <v>21</v>
      </c>
      <c r="I247" s="144"/>
      <c r="J247" s="144"/>
      <c r="K247" s="144"/>
      <c r="L247" s="144">
        <v>3.51</v>
      </c>
      <c r="M247" s="144">
        <v>3.51</v>
      </c>
      <c r="O247" s="143" t="s">
        <v>1007</v>
      </c>
      <c r="P247" s="144"/>
      <c r="Q247" s="144"/>
      <c r="R247" s="144"/>
      <c r="S247" s="144"/>
      <c r="T247" s="144"/>
      <c r="U247" s="144"/>
      <c r="V247" s="144"/>
      <c r="W247" s="144"/>
    </row>
    <row r="248" spans="1:23" x14ac:dyDescent="0.2">
      <c r="A248" s="145">
        <v>41655</v>
      </c>
      <c r="B248" s="144"/>
      <c r="C248" s="144">
        <v>3.07</v>
      </c>
      <c r="D248" s="144">
        <v>3.05</v>
      </c>
      <c r="E248" s="144"/>
      <c r="F248" s="144">
        <v>6.1199999999999992</v>
      </c>
      <c r="H248" s="146">
        <v>22</v>
      </c>
      <c r="I248" s="144"/>
      <c r="J248" s="144"/>
      <c r="K248" s="144"/>
      <c r="L248" s="144">
        <v>4.5599999999999996</v>
      </c>
      <c r="M248" s="144">
        <v>4.5599999999999996</v>
      </c>
      <c r="O248" s="145">
        <v>41284</v>
      </c>
      <c r="P248" s="144">
        <v>3.79</v>
      </c>
      <c r="Q248" s="144"/>
      <c r="R248" s="144">
        <v>4.54</v>
      </c>
      <c r="S248" s="144"/>
      <c r="T248" s="144"/>
      <c r="U248" s="144"/>
      <c r="V248" s="144"/>
      <c r="W248" s="144">
        <v>8.33</v>
      </c>
    </row>
    <row r="249" spans="1:23" x14ac:dyDescent="0.2">
      <c r="A249" s="145">
        <v>41662</v>
      </c>
      <c r="B249" s="144"/>
      <c r="C249" s="144">
        <v>3.02</v>
      </c>
      <c r="D249" s="144">
        <v>2.98</v>
      </c>
      <c r="E249" s="144"/>
      <c r="F249" s="144">
        <v>6</v>
      </c>
      <c r="H249" s="146">
        <v>23</v>
      </c>
      <c r="I249" s="144"/>
      <c r="J249" s="144"/>
      <c r="K249" s="144"/>
      <c r="L249" s="144">
        <v>4.5599999999999996</v>
      </c>
      <c r="M249" s="144">
        <v>4.5599999999999996</v>
      </c>
      <c r="O249" s="145">
        <v>41291</v>
      </c>
      <c r="P249" s="144">
        <v>3.44</v>
      </c>
      <c r="Q249" s="144">
        <v>3.92</v>
      </c>
      <c r="R249" s="144">
        <v>4.1500000000000004</v>
      </c>
      <c r="S249" s="144"/>
      <c r="T249" s="144"/>
      <c r="U249" s="144"/>
      <c r="V249" s="144"/>
      <c r="W249" s="144">
        <v>11.51</v>
      </c>
    </row>
    <row r="250" spans="1:23" x14ac:dyDescent="0.2">
      <c r="A250" s="145">
        <v>41669</v>
      </c>
      <c r="B250" s="144"/>
      <c r="C250" s="144">
        <v>3.01</v>
      </c>
      <c r="D250" s="144">
        <v>3.03</v>
      </c>
      <c r="E250" s="144"/>
      <c r="F250" s="144">
        <v>6.0399999999999991</v>
      </c>
      <c r="H250" s="146">
        <v>24</v>
      </c>
      <c r="I250" s="144"/>
      <c r="J250" s="144"/>
      <c r="K250" s="144"/>
      <c r="L250" s="144">
        <v>5.69</v>
      </c>
      <c r="M250" s="144">
        <v>5.69</v>
      </c>
      <c r="O250" s="145">
        <v>41298</v>
      </c>
      <c r="P250" s="144">
        <v>3.81</v>
      </c>
      <c r="Q250" s="144">
        <v>3.94</v>
      </c>
      <c r="R250" s="144">
        <v>4.1900000000000004</v>
      </c>
      <c r="S250" s="144"/>
      <c r="T250" s="144"/>
      <c r="U250" s="144"/>
      <c r="V250" s="144"/>
      <c r="W250" s="144">
        <v>11.940000000000001</v>
      </c>
    </row>
    <row r="251" spans="1:23" x14ac:dyDescent="0.2">
      <c r="A251" s="145">
        <v>41697</v>
      </c>
      <c r="B251" s="144"/>
      <c r="C251" s="144">
        <v>2.56</v>
      </c>
      <c r="D251" s="144">
        <v>2.52</v>
      </c>
      <c r="E251" s="144"/>
      <c r="F251" s="144">
        <v>5.08</v>
      </c>
      <c r="H251" s="146">
        <v>25</v>
      </c>
      <c r="I251" s="144"/>
      <c r="J251" s="144"/>
      <c r="K251" s="144"/>
      <c r="L251" s="144">
        <v>5.69</v>
      </c>
      <c r="M251" s="144">
        <v>5.69</v>
      </c>
      <c r="O251" s="145">
        <v>41305</v>
      </c>
      <c r="P251" s="144">
        <v>9.76</v>
      </c>
      <c r="Q251" s="144"/>
      <c r="R251" s="144">
        <v>8.42</v>
      </c>
      <c r="S251" s="144"/>
      <c r="T251" s="144"/>
      <c r="U251" s="144"/>
      <c r="V251" s="144"/>
      <c r="W251" s="144">
        <v>18.18</v>
      </c>
    </row>
    <row r="252" spans="1:23" x14ac:dyDescent="0.2">
      <c r="A252" s="145">
        <v>41704</v>
      </c>
      <c r="B252" s="144"/>
      <c r="C252" s="144">
        <v>2.79</v>
      </c>
      <c r="D252" s="144">
        <v>2.95</v>
      </c>
      <c r="E252" s="144"/>
      <c r="F252" s="144">
        <v>5.74</v>
      </c>
      <c r="H252" s="143" t="s">
        <v>997</v>
      </c>
      <c r="I252" s="144">
        <v>723.05000000000007</v>
      </c>
      <c r="J252" s="144">
        <v>381.50999999999993</v>
      </c>
      <c r="K252" s="144">
        <v>482.26999999999987</v>
      </c>
      <c r="L252" s="144">
        <v>1479.130000000001</v>
      </c>
      <c r="M252" s="144">
        <v>3065.9599999999982</v>
      </c>
      <c r="O252" s="145">
        <v>41312</v>
      </c>
      <c r="P252" s="144">
        <v>3.88</v>
      </c>
      <c r="Q252" s="144">
        <v>3.76</v>
      </c>
      <c r="R252" s="144">
        <v>4.1500000000000004</v>
      </c>
      <c r="S252" s="144"/>
      <c r="T252" s="144"/>
      <c r="U252" s="144"/>
      <c r="V252" s="144"/>
      <c r="W252" s="144">
        <v>11.79</v>
      </c>
    </row>
    <row r="253" spans="1:23" x14ac:dyDescent="0.2">
      <c r="A253" s="145">
        <v>41711</v>
      </c>
      <c r="B253" s="144"/>
      <c r="C253" s="144">
        <v>2.77</v>
      </c>
      <c r="D253" s="144">
        <v>2.72</v>
      </c>
      <c r="E253" s="144"/>
      <c r="F253" s="144">
        <v>5.49</v>
      </c>
      <c r="O253" s="145">
        <v>41319</v>
      </c>
      <c r="P253" s="144">
        <v>2.76</v>
      </c>
      <c r="Q253" s="144">
        <v>3.18</v>
      </c>
      <c r="R253" s="144">
        <v>4.0599999999999996</v>
      </c>
      <c r="S253" s="144"/>
      <c r="T253" s="144"/>
      <c r="U253" s="144"/>
      <c r="V253" s="144"/>
      <c r="W253" s="144">
        <v>10</v>
      </c>
    </row>
    <row r="254" spans="1:23" x14ac:dyDescent="0.2">
      <c r="A254" s="145">
        <v>41718</v>
      </c>
      <c r="B254" s="144"/>
      <c r="C254" s="144">
        <v>3.32</v>
      </c>
      <c r="D254" s="144">
        <v>3.05</v>
      </c>
      <c r="E254" s="144"/>
      <c r="F254" s="144">
        <v>6.3699999999999992</v>
      </c>
      <c r="O254" s="145">
        <v>41326</v>
      </c>
      <c r="P254" s="144">
        <v>3.08</v>
      </c>
      <c r="Q254" s="144">
        <v>6.02</v>
      </c>
      <c r="R254" s="144"/>
      <c r="S254" s="144"/>
      <c r="T254" s="144"/>
      <c r="U254" s="144"/>
      <c r="V254" s="144"/>
      <c r="W254" s="144">
        <v>9.1</v>
      </c>
    </row>
    <row r="255" spans="1:23" x14ac:dyDescent="0.2">
      <c r="A255" s="145">
        <v>41732</v>
      </c>
      <c r="B255" s="144"/>
      <c r="C255" s="144">
        <v>2.5</v>
      </c>
      <c r="D255" s="144">
        <v>2.67</v>
      </c>
      <c r="E255" s="144"/>
      <c r="F255" s="144">
        <v>5.17</v>
      </c>
      <c r="O255" s="145">
        <v>41333</v>
      </c>
      <c r="P255" s="144">
        <v>2.83</v>
      </c>
      <c r="Q255" s="144"/>
      <c r="R255" s="144"/>
      <c r="S255" s="144"/>
      <c r="T255" s="144"/>
      <c r="U255" s="144"/>
      <c r="V255" s="144"/>
      <c r="W255" s="144">
        <v>2.83</v>
      </c>
    </row>
    <row r="256" spans="1:23" x14ac:dyDescent="0.2">
      <c r="A256" s="145">
        <v>41739</v>
      </c>
      <c r="B256" s="144"/>
      <c r="C256" s="144">
        <v>2.56</v>
      </c>
      <c r="D256" s="144">
        <v>2.56</v>
      </c>
      <c r="E256" s="144"/>
      <c r="F256" s="144">
        <v>5.12</v>
      </c>
      <c r="O256" s="145">
        <v>41340</v>
      </c>
      <c r="P256" s="144">
        <v>3.29</v>
      </c>
      <c r="Q256" s="144"/>
      <c r="R256" s="144"/>
      <c r="S256" s="144"/>
      <c r="T256" s="144"/>
      <c r="U256" s="144"/>
      <c r="V256" s="144"/>
      <c r="W256" s="144">
        <v>3.29</v>
      </c>
    </row>
    <row r="257" spans="1:23" x14ac:dyDescent="0.2">
      <c r="A257" s="145">
        <v>41746</v>
      </c>
      <c r="B257" s="144"/>
      <c r="C257" s="144">
        <v>2.87</v>
      </c>
      <c r="D257" s="144">
        <v>2.39</v>
      </c>
      <c r="E257" s="144"/>
      <c r="F257" s="144">
        <v>5.26</v>
      </c>
      <c r="O257" s="145">
        <v>41347</v>
      </c>
      <c r="P257" s="144">
        <v>2.58</v>
      </c>
      <c r="Q257" s="144">
        <v>3</v>
      </c>
      <c r="R257" s="144">
        <v>3.54</v>
      </c>
      <c r="S257" s="144"/>
      <c r="T257" s="144"/>
      <c r="U257" s="144"/>
      <c r="V257" s="144"/>
      <c r="W257" s="144">
        <v>9.120000000000001</v>
      </c>
    </row>
    <row r="258" spans="1:23" x14ac:dyDescent="0.2">
      <c r="A258" s="145">
        <v>41753</v>
      </c>
      <c r="B258" s="144"/>
      <c r="C258" s="144"/>
      <c r="D258" s="144">
        <v>5.42</v>
      </c>
      <c r="E258" s="144"/>
      <c r="F258" s="144">
        <v>5.42</v>
      </c>
      <c r="O258" s="145">
        <v>41354</v>
      </c>
      <c r="P258" s="144">
        <v>2.95</v>
      </c>
      <c r="Q258" s="144"/>
      <c r="R258" s="144"/>
      <c r="S258" s="144"/>
      <c r="T258" s="144"/>
      <c r="U258" s="144"/>
      <c r="V258" s="144"/>
      <c r="W258" s="144">
        <v>2.95</v>
      </c>
    </row>
    <row r="259" spans="1:23" x14ac:dyDescent="0.2">
      <c r="A259" s="143" t="s">
        <v>1009</v>
      </c>
      <c r="B259" s="144"/>
      <c r="C259" s="144"/>
      <c r="D259" s="144">
        <v>43.31</v>
      </c>
      <c r="E259" s="144"/>
      <c r="F259" s="144">
        <v>43.31</v>
      </c>
      <c r="O259" s="145">
        <v>41368</v>
      </c>
      <c r="P259" s="144">
        <v>2.3199999999999998</v>
      </c>
      <c r="Q259" s="144">
        <v>2.93</v>
      </c>
      <c r="R259" s="144">
        <v>3.44</v>
      </c>
      <c r="S259" s="144"/>
      <c r="T259" s="144"/>
      <c r="U259" s="144"/>
      <c r="V259" s="144"/>
      <c r="W259" s="144">
        <v>8.69</v>
      </c>
    </row>
    <row r="260" spans="1:23" x14ac:dyDescent="0.2">
      <c r="A260" s="145">
        <v>42017</v>
      </c>
      <c r="B260" s="144"/>
      <c r="C260" s="144"/>
      <c r="D260" s="144">
        <v>7</v>
      </c>
      <c r="E260" s="144"/>
      <c r="F260" s="144">
        <v>7</v>
      </c>
      <c r="O260" s="145">
        <v>41375</v>
      </c>
      <c r="P260" s="144">
        <v>2.84</v>
      </c>
      <c r="Q260" s="144">
        <v>3.15</v>
      </c>
      <c r="R260" s="144">
        <v>3.83</v>
      </c>
      <c r="S260" s="144"/>
      <c r="T260" s="144"/>
      <c r="U260" s="144"/>
      <c r="V260" s="144"/>
      <c r="W260" s="144">
        <v>9.82</v>
      </c>
    </row>
    <row r="261" spans="1:23" x14ac:dyDescent="0.2">
      <c r="A261" s="145">
        <v>42024</v>
      </c>
      <c r="B261" s="144"/>
      <c r="C261" s="144"/>
      <c r="D261" s="144">
        <v>7.17</v>
      </c>
      <c r="E261" s="144"/>
      <c r="F261" s="144">
        <v>7.17</v>
      </c>
      <c r="O261" s="145">
        <v>41382</v>
      </c>
      <c r="P261" s="144">
        <v>3.13</v>
      </c>
      <c r="Q261" s="144">
        <v>6.6899999999999995</v>
      </c>
      <c r="R261" s="144"/>
      <c r="S261" s="144"/>
      <c r="T261" s="144"/>
      <c r="U261" s="144"/>
      <c r="V261" s="144"/>
      <c r="W261" s="144">
        <v>9.82</v>
      </c>
    </row>
    <row r="262" spans="1:23" x14ac:dyDescent="0.2">
      <c r="A262" s="145">
        <v>42031</v>
      </c>
      <c r="B262" s="144"/>
      <c r="C262" s="144"/>
      <c r="D262" s="144">
        <v>6.45</v>
      </c>
      <c r="E262" s="144"/>
      <c r="F262" s="144">
        <v>6.45</v>
      </c>
      <c r="O262" s="145">
        <v>41389</v>
      </c>
      <c r="P262" s="144">
        <v>2.33</v>
      </c>
      <c r="Q262" s="144">
        <v>2.59</v>
      </c>
      <c r="R262" s="144">
        <v>3.25</v>
      </c>
      <c r="S262" s="144"/>
      <c r="T262" s="144"/>
      <c r="U262" s="144"/>
      <c r="V262" s="144"/>
      <c r="W262" s="144">
        <v>8.17</v>
      </c>
    </row>
    <row r="263" spans="1:23" x14ac:dyDescent="0.2">
      <c r="A263" s="145">
        <v>42038</v>
      </c>
      <c r="B263" s="144"/>
      <c r="C263" s="144"/>
      <c r="D263" s="144">
        <v>3.45</v>
      </c>
      <c r="E263" s="144"/>
      <c r="F263" s="144">
        <v>3.45</v>
      </c>
      <c r="O263" s="145">
        <v>41396</v>
      </c>
      <c r="P263" s="144">
        <v>2.67</v>
      </c>
      <c r="Q263" s="144">
        <v>2.99</v>
      </c>
      <c r="R263" s="144">
        <v>3.51</v>
      </c>
      <c r="S263" s="144"/>
      <c r="T263" s="144"/>
      <c r="U263" s="144"/>
      <c r="V263" s="144"/>
      <c r="W263" s="144">
        <v>9.17</v>
      </c>
    </row>
    <row r="264" spans="1:23" x14ac:dyDescent="0.2">
      <c r="A264" s="145">
        <v>42045</v>
      </c>
      <c r="B264" s="144"/>
      <c r="C264" s="144"/>
      <c r="D264" s="144">
        <v>5.53</v>
      </c>
      <c r="E264" s="144"/>
      <c r="F264" s="144">
        <v>5.53</v>
      </c>
      <c r="O264" s="145">
        <v>41403</v>
      </c>
      <c r="P264" s="144">
        <v>3.08</v>
      </c>
      <c r="Q264" s="144"/>
      <c r="R264" s="144">
        <v>4.5599999999999996</v>
      </c>
      <c r="S264" s="144">
        <v>4.5599999999999996</v>
      </c>
      <c r="T264" s="144"/>
      <c r="U264" s="144"/>
      <c r="V264" s="144"/>
      <c r="W264" s="144">
        <v>12.2</v>
      </c>
    </row>
    <row r="265" spans="1:23" x14ac:dyDescent="0.2">
      <c r="A265" s="145">
        <v>42052</v>
      </c>
      <c r="B265" s="144"/>
      <c r="C265" s="144"/>
      <c r="D265" s="144">
        <v>5.41</v>
      </c>
      <c r="E265" s="144"/>
      <c r="F265" s="144">
        <v>5.41</v>
      </c>
      <c r="O265" s="145">
        <v>41410</v>
      </c>
      <c r="P265" s="144"/>
      <c r="Q265" s="144"/>
      <c r="R265" s="144">
        <v>5.69</v>
      </c>
      <c r="S265" s="144">
        <v>5.69</v>
      </c>
      <c r="T265" s="144"/>
      <c r="U265" s="144"/>
      <c r="V265" s="144"/>
      <c r="W265" s="144">
        <v>11.38</v>
      </c>
    </row>
    <row r="266" spans="1:23" x14ac:dyDescent="0.2">
      <c r="A266" s="145">
        <v>42059</v>
      </c>
      <c r="B266" s="144"/>
      <c r="C266" s="144"/>
      <c r="D266" s="144">
        <v>8.3000000000000007</v>
      </c>
      <c r="E266" s="144"/>
      <c r="F266" s="144">
        <v>8.3000000000000007</v>
      </c>
      <c r="O266" s="145">
        <v>41543</v>
      </c>
      <c r="P266" s="144">
        <v>6.54</v>
      </c>
      <c r="Q266" s="144"/>
      <c r="R266" s="144"/>
      <c r="S266" s="144"/>
      <c r="T266" s="144"/>
      <c r="U266" s="144"/>
      <c r="V266" s="144"/>
      <c r="W266" s="144">
        <v>6.54</v>
      </c>
    </row>
    <row r="267" spans="1:23" x14ac:dyDescent="0.2">
      <c r="A267" s="145">
        <v>42080</v>
      </c>
      <c r="B267" s="144"/>
      <c r="C267" s="144"/>
      <c r="D267" s="144"/>
      <c r="E267" s="144"/>
      <c r="F267" s="144"/>
      <c r="O267" s="145">
        <v>41550</v>
      </c>
      <c r="P267" s="144">
        <v>3.14</v>
      </c>
      <c r="Q267" s="144"/>
      <c r="R267" s="144"/>
      <c r="S267" s="144"/>
      <c r="T267" s="144"/>
      <c r="U267" s="144"/>
      <c r="V267" s="144"/>
      <c r="W267" s="144">
        <v>3.14</v>
      </c>
    </row>
    <row r="268" spans="1:23" x14ac:dyDescent="0.2">
      <c r="A268" s="145">
        <v>42087</v>
      </c>
      <c r="B268" s="144"/>
      <c r="C268" s="144"/>
      <c r="D268" s="144"/>
      <c r="E268" s="144"/>
      <c r="F268" s="144"/>
      <c r="O268" s="145">
        <v>41557</v>
      </c>
      <c r="P268" s="144">
        <v>3.23</v>
      </c>
      <c r="Q268" s="144"/>
      <c r="R268" s="144"/>
      <c r="S268" s="144"/>
      <c r="T268" s="144"/>
      <c r="U268" s="144"/>
      <c r="V268" s="144"/>
      <c r="W268" s="144">
        <v>3.23</v>
      </c>
    </row>
    <row r="269" spans="1:23" x14ac:dyDescent="0.2">
      <c r="A269" s="145">
        <v>42094</v>
      </c>
      <c r="B269" s="144"/>
      <c r="C269" s="144"/>
      <c r="D269" s="144"/>
      <c r="E269" s="144"/>
      <c r="F269" s="144"/>
      <c r="O269" s="145">
        <v>41564</v>
      </c>
      <c r="P269" s="144">
        <v>3.27</v>
      </c>
      <c r="Q269" s="144"/>
      <c r="R269" s="144"/>
      <c r="S269" s="144"/>
      <c r="T269" s="144"/>
      <c r="U269" s="144"/>
      <c r="V269" s="144"/>
      <c r="W269" s="144">
        <v>3.27</v>
      </c>
    </row>
    <row r="270" spans="1:23" x14ac:dyDescent="0.2">
      <c r="A270" s="145">
        <v>42101</v>
      </c>
      <c r="B270" s="144"/>
      <c r="C270" s="144"/>
      <c r="D270" s="144"/>
      <c r="E270" s="144"/>
      <c r="F270" s="144"/>
      <c r="O270" s="145">
        <v>41592</v>
      </c>
      <c r="P270" s="144">
        <v>6.06</v>
      </c>
      <c r="Q270" s="144"/>
      <c r="R270" s="144"/>
      <c r="S270" s="144"/>
      <c r="T270" s="144"/>
      <c r="U270" s="144"/>
      <c r="V270" s="144"/>
      <c r="W270" s="144">
        <v>6.06</v>
      </c>
    </row>
    <row r="271" spans="1:23" x14ac:dyDescent="0.2">
      <c r="A271" s="145">
        <v>42108</v>
      </c>
      <c r="B271" s="144"/>
      <c r="C271" s="144"/>
      <c r="D271" s="144"/>
      <c r="E271" s="144"/>
      <c r="F271" s="144"/>
      <c r="O271" s="145">
        <v>41599</v>
      </c>
      <c r="P271" s="144">
        <v>5.62</v>
      </c>
      <c r="Q271" s="144"/>
      <c r="R271" s="144"/>
      <c r="S271" s="144"/>
      <c r="T271" s="144"/>
      <c r="U271" s="144"/>
      <c r="V271" s="144"/>
      <c r="W271" s="144">
        <v>5.62</v>
      </c>
    </row>
    <row r="272" spans="1:23" x14ac:dyDescent="0.2">
      <c r="A272" s="145">
        <v>42115</v>
      </c>
      <c r="B272" s="144"/>
      <c r="C272" s="144"/>
      <c r="D272" s="144"/>
      <c r="E272" s="144"/>
      <c r="F272" s="144"/>
      <c r="O272" s="143" t="s">
        <v>1008</v>
      </c>
      <c r="P272" s="144"/>
      <c r="Q272" s="144"/>
      <c r="R272" s="144"/>
      <c r="S272" s="144"/>
      <c r="T272" s="144"/>
      <c r="U272" s="144"/>
      <c r="V272" s="144"/>
      <c r="W272" s="144"/>
    </row>
    <row r="273" spans="1:23" x14ac:dyDescent="0.2">
      <c r="A273" s="145">
        <v>42122</v>
      </c>
      <c r="B273" s="144"/>
      <c r="C273" s="144"/>
      <c r="D273" s="144"/>
      <c r="E273" s="144"/>
      <c r="F273" s="144"/>
      <c r="O273" s="145">
        <v>41641</v>
      </c>
      <c r="P273" s="144">
        <v>6.98</v>
      </c>
      <c r="Q273" s="144"/>
      <c r="R273" s="144"/>
      <c r="S273" s="144"/>
      <c r="T273" s="144"/>
      <c r="U273" s="144"/>
      <c r="V273" s="144"/>
      <c r="W273" s="144">
        <v>6.98</v>
      </c>
    </row>
    <row r="274" spans="1:23" x14ac:dyDescent="0.2">
      <c r="A274" s="145">
        <v>42129</v>
      </c>
      <c r="B274" s="144"/>
      <c r="C274" s="144"/>
      <c r="D274" s="144"/>
      <c r="E274" s="144"/>
      <c r="F274" s="144"/>
      <c r="O274" s="145">
        <v>41648</v>
      </c>
      <c r="P274" s="144">
        <v>3.58</v>
      </c>
      <c r="Q274" s="144">
        <v>3.43</v>
      </c>
      <c r="R274" s="144"/>
      <c r="S274" s="144"/>
      <c r="T274" s="144"/>
      <c r="U274" s="144"/>
      <c r="V274" s="144"/>
      <c r="W274" s="144">
        <v>7.01</v>
      </c>
    </row>
    <row r="275" spans="1:23" x14ac:dyDescent="0.2">
      <c r="A275" s="145">
        <v>42136</v>
      </c>
      <c r="B275" s="144"/>
      <c r="C275" s="144"/>
      <c r="D275" s="144"/>
      <c r="E275" s="144"/>
      <c r="F275" s="144"/>
      <c r="O275" s="145">
        <v>41655</v>
      </c>
      <c r="P275" s="144">
        <v>3.07</v>
      </c>
      <c r="Q275" s="144">
        <v>3.05</v>
      </c>
      <c r="R275" s="144"/>
      <c r="S275" s="144"/>
      <c r="T275" s="144"/>
      <c r="U275" s="144"/>
      <c r="V275" s="144"/>
      <c r="W275" s="144">
        <v>6.1199999999999992</v>
      </c>
    </row>
    <row r="276" spans="1:23" x14ac:dyDescent="0.2">
      <c r="A276" s="145">
        <v>42143</v>
      </c>
      <c r="B276" s="144"/>
      <c r="C276" s="144"/>
      <c r="D276" s="144"/>
      <c r="E276" s="144"/>
      <c r="F276" s="144"/>
      <c r="O276" s="145">
        <v>41662</v>
      </c>
      <c r="P276" s="144">
        <v>3.02</v>
      </c>
      <c r="Q276" s="144">
        <v>2.98</v>
      </c>
      <c r="R276" s="144"/>
      <c r="S276" s="144"/>
      <c r="T276" s="144"/>
      <c r="U276" s="144"/>
      <c r="V276" s="144"/>
      <c r="W276" s="144">
        <v>6</v>
      </c>
    </row>
    <row r="277" spans="1:23" x14ac:dyDescent="0.2">
      <c r="A277" s="145">
        <v>42150</v>
      </c>
      <c r="B277" s="144"/>
      <c r="C277" s="144"/>
      <c r="D277" s="144"/>
      <c r="E277" s="144"/>
      <c r="F277" s="144"/>
      <c r="O277" s="145">
        <v>41669</v>
      </c>
      <c r="P277" s="144">
        <v>3.01</v>
      </c>
      <c r="Q277" s="144">
        <v>3.03</v>
      </c>
      <c r="R277" s="144"/>
      <c r="S277" s="144"/>
      <c r="T277" s="144"/>
      <c r="U277" s="144"/>
      <c r="V277" s="144"/>
      <c r="W277" s="144">
        <v>6.0399999999999991</v>
      </c>
    </row>
    <row r="278" spans="1:23" x14ac:dyDescent="0.2">
      <c r="A278" s="145">
        <v>42157</v>
      </c>
      <c r="B278" s="144"/>
      <c r="C278" s="144"/>
      <c r="D278" s="144"/>
      <c r="E278" s="144"/>
      <c r="F278" s="144"/>
      <c r="O278" s="145">
        <v>41697</v>
      </c>
      <c r="P278" s="144">
        <v>2.56</v>
      </c>
      <c r="Q278" s="144">
        <v>2.52</v>
      </c>
      <c r="R278" s="144"/>
      <c r="S278" s="144"/>
      <c r="T278" s="144"/>
      <c r="U278" s="144"/>
      <c r="V278" s="144"/>
      <c r="W278" s="144">
        <v>5.08</v>
      </c>
    </row>
    <row r="279" spans="1:23" x14ac:dyDescent="0.2">
      <c r="A279" s="143" t="s">
        <v>997</v>
      </c>
      <c r="B279" s="144">
        <v>723.04999999999984</v>
      </c>
      <c r="C279" s="144">
        <v>381.50999999999988</v>
      </c>
      <c r="D279" s="144">
        <v>482.27</v>
      </c>
      <c r="E279" s="144">
        <v>1479.1300000000006</v>
      </c>
      <c r="F279" s="144">
        <v>3065.9600000000005</v>
      </c>
      <c r="O279" s="145">
        <v>41704</v>
      </c>
      <c r="P279" s="144">
        <v>2.79</v>
      </c>
      <c r="Q279" s="144">
        <v>2.95</v>
      </c>
      <c r="R279" s="144"/>
      <c r="S279" s="144"/>
      <c r="T279" s="144"/>
      <c r="U279" s="144"/>
      <c r="V279" s="144"/>
      <c r="W279" s="144">
        <v>5.74</v>
      </c>
    </row>
    <row r="280" spans="1:23" x14ac:dyDescent="0.2">
      <c r="O280" s="145">
        <v>41711</v>
      </c>
      <c r="P280" s="144">
        <v>2.77</v>
      </c>
      <c r="Q280" s="144">
        <v>2.72</v>
      </c>
      <c r="R280" s="144"/>
      <c r="S280" s="144"/>
      <c r="T280" s="144"/>
      <c r="U280" s="144"/>
      <c r="V280" s="144"/>
      <c r="W280" s="144">
        <v>5.49</v>
      </c>
    </row>
    <row r="281" spans="1:23" x14ac:dyDescent="0.2">
      <c r="O281" s="145">
        <v>41718</v>
      </c>
      <c r="P281" s="144">
        <v>3.32</v>
      </c>
      <c r="Q281" s="144">
        <v>3.05</v>
      </c>
      <c r="R281" s="144"/>
      <c r="S281" s="144"/>
      <c r="T281" s="144"/>
      <c r="U281" s="144"/>
      <c r="V281" s="144"/>
      <c r="W281" s="144">
        <v>6.3699999999999992</v>
      </c>
    </row>
    <row r="282" spans="1:23" x14ac:dyDescent="0.2">
      <c r="O282" s="145">
        <v>41732</v>
      </c>
      <c r="P282" s="144">
        <v>2.5</v>
      </c>
      <c r="Q282" s="144">
        <v>2.67</v>
      </c>
      <c r="R282" s="144"/>
      <c r="S282" s="144"/>
      <c r="T282" s="144"/>
      <c r="U282" s="144"/>
      <c r="V282" s="144"/>
      <c r="W282" s="144">
        <v>5.17</v>
      </c>
    </row>
    <row r="283" spans="1:23" x14ac:dyDescent="0.2">
      <c r="O283" s="145">
        <v>41739</v>
      </c>
      <c r="P283" s="144">
        <v>2.56</v>
      </c>
      <c r="Q283" s="144">
        <v>2.56</v>
      </c>
      <c r="R283" s="144"/>
      <c r="S283" s="144"/>
      <c r="T283" s="144"/>
      <c r="U283" s="144"/>
      <c r="V283" s="144"/>
      <c r="W283" s="144">
        <v>5.12</v>
      </c>
    </row>
    <row r="284" spans="1:23" x14ac:dyDescent="0.2">
      <c r="O284" s="145">
        <v>41746</v>
      </c>
      <c r="P284" s="144">
        <v>2.87</v>
      </c>
      <c r="Q284" s="144">
        <v>2.39</v>
      </c>
      <c r="R284" s="144"/>
      <c r="S284" s="144"/>
      <c r="T284" s="144"/>
      <c r="U284" s="144"/>
      <c r="V284" s="144"/>
      <c r="W284" s="144">
        <v>5.26</v>
      </c>
    </row>
    <row r="285" spans="1:23" x14ac:dyDescent="0.2">
      <c r="O285" s="145">
        <v>41753</v>
      </c>
      <c r="P285" s="144"/>
      <c r="Q285" s="144">
        <v>2.71</v>
      </c>
      <c r="R285" s="144">
        <v>2.71</v>
      </c>
      <c r="S285" s="144"/>
      <c r="T285" s="144"/>
      <c r="U285" s="144"/>
      <c r="V285" s="144"/>
      <c r="W285" s="144">
        <v>5.42</v>
      </c>
    </row>
    <row r="286" spans="1:23" x14ac:dyDescent="0.2">
      <c r="O286" s="143" t="s">
        <v>997</v>
      </c>
      <c r="P286" s="144">
        <v>462.83999999999986</v>
      </c>
      <c r="Q286" s="144">
        <v>616.25999999999965</v>
      </c>
      <c r="R286" s="144">
        <v>969.44999999999982</v>
      </c>
      <c r="S286" s="144">
        <v>722.83999999999992</v>
      </c>
      <c r="T286" s="144">
        <v>57.81</v>
      </c>
      <c r="U286" s="144">
        <v>7.67</v>
      </c>
      <c r="V286" s="144">
        <v>3.95</v>
      </c>
      <c r="W286" s="144">
        <v>2840.82</v>
      </c>
    </row>
  </sheetData>
  <mergeCells count="1">
    <mergeCell ref="O4:W4"/>
  </mergeCells>
  <phoneticPr fontId="1" type="noConversion"/>
  <conditionalFormatting sqref="D8:D11">
    <cfRule type="colorScale" priority="6">
      <colorScale>
        <cfvo type="min"/>
        <cfvo type="percentile" val="50"/>
        <cfvo type="max"/>
        <color theme="7"/>
        <color theme="9"/>
        <color theme="8" tint="-0.249977111117893"/>
      </colorScale>
    </cfRule>
  </conditionalFormatting>
  <conditionalFormatting sqref="D8:D11">
    <cfRule type="expression" dxfId="2" priority="5">
      <formula>$J8&lt;&gt;$J7</formula>
    </cfRule>
  </conditionalFormatting>
  <conditionalFormatting sqref="D12:D13">
    <cfRule type="colorScale" priority="4">
      <colorScale>
        <cfvo type="min"/>
        <cfvo type="percentile" val="50"/>
        <cfvo type="max"/>
        <color theme="7"/>
        <color theme="9"/>
        <color theme="8" tint="-0.249977111117893"/>
      </colorScale>
    </cfRule>
  </conditionalFormatting>
  <conditionalFormatting sqref="D12:D13">
    <cfRule type="expression" dxfId="1" priority="3">
      <formula>$J12&lt;&gt;$J11</formula>
    </cfRule>
  </conditionalFormatting>
  <conditionalFormatting sqref="G8:G15">
    <cfRule type="colorScale" priority="2">
      <colorScale>
        <cfvo type="min"/>
        <cfvo type="percentile" val="50"/>
        <cfvo type="max"/>
        <color theme="7"/>
        <color theme="9"/>
        <color theme="8" tint="-0.249977111117893"/>
      </colorScale>
    </cfRule>
  </conditionalFormatting>
  <conditionalFormatting sqref="G8:G15">
    <cfRule type="expression" dxfId="0" priority="1">
      <formula>$J8&lt;&gt;$J7</formula>
    </cfRule>
  </conditionalFormatting>
  <pageMargins left="0.7" right="0.7" top="0.75" bottom="0.75" header="0.3" footer="0.3"/>
  <drawing r:id="rId8"/>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BEDE0-9C3E-8E48-B6E2-82A5F1A8C09B}">
  <sheetPr codeName="Sheet4"/>
  <dimension ref="A1:L8"/>
  <sheetViews>
    <sheetView workbookViewId="0">
      <selection activeCell="E12" sqref="E12"/>
    </sheetView>
  </sheetViews>
  <sheetFormatPr baseColWidth="10" defaultRowHeight="16" x14ac:dyDescent="0.2"/>
  <cols>
    <col min="4" max="4" width="50.33203125" customWidth="1"/>
    <col min="5" max="5" width="15" customWidth="1"/>
    <col min="10" max="10" width="22.5" customWidth="1"/>
    <col min="12" max="12" width="17.83203125" customWidth="1"/>
  </cols>
  <sheetData>
    <row r="1" spans="1:12" ht="49" customHeight="1" x14ac:dyDescent="0.2">
      <c r="A1" t="s">
        <v>933</v>
      </c>
      <c r="B1" t="s">
        <v>505</v>
      </c>
      <c r="C1" t="s">
        <v>504</v>
      </c>
      <c r="D1" t="s">
        <v>864</v>
      </c>
      <c r="E1" t="s">
        <v>878</v>
      </c>
      <c r="F1" t="s">
        <v>869</v>
      </c>
      <c r="G1" s="2" t="s">
        <v>865</v>
      </c>
      <c r="H1" t="s">
        <v>870</v>
      </c>
      <c r="I1" s="2" t="s">
        <v>866</v>
      </c>
      <c r="J1" t="s">
        <v>867</v>
      </c>
      <c r="K1" t="s">
        <v>868</v>
      </c>
      <c r="L1" s="2" t="s">
        <v>882</v>
      </c>
    </row>
    <row r="2" spans="1:12" ht="48" customHeight="1" x14ac:dyDescent="0.2">
      <c r="A2" t="str">
        <f>B2 &amp;" S" &amp; C2</f>
        <v>30 Rock S1</v>
      </c>
      <c r="B2" t="s">
        <v>228</v>
      </c>
      <c r="C2">
        <v>1</v>
      </c>
      <c r="D2" s="2" t="s">
        <v>874</v>
      </c>
      <c r="E2" s="2">
        <v>21</v>
      </c>
      <c r="F2" s="3">
        <v>39001</v>
      </c>
      <c r="G2">
        <v>8.1300000000000008</v>
      </c>
      <c r="H2" s="3">
        <v>39198</v>
      </c>
      <c r="I2">
        <v>4.72</v>
      </c>
      <c r="J2" t="s">
        <v>1039</v>
      </c>
      <c r="K2">
        <v>102</v>
      </c>
      <c r="L2">
        <v>5.8</v>
      </c>
    </row>
    <row r="3" spans="1:12" ht="48" customHeight="1" x14ac:dyDescent="0.2">
      <c r="A3" t="str">
        <f t="shared" ref="A3:A8" si="0">B3 &amp;" S" &amp; C3</f>
        <v>30 Rock S2</v>
      </c>
      <c r="B3" t="s">
        <v>228</v>
      </c>
      <c r="C3">
        <v>2</v>
      </c>
      <c r="D3" s="2" t="s">
        <v>875</v>
      </c>
      <c r="E3" s="2">
        <v>15</v>
      </c>
      <c r="F3" s="3">
        <v>39359</v>
      </c>
      <c r="G3">
        <v>7.33</v>
      </c>
      <c r="H3" s="3">
        <v>39576</v>
      </c>
      <c r="I3">
        <v>5.45</v>
      </c>
      <c r="J3" t="s">
        <v>1040</v>
      </c>
      <c r="K3">
        <v>111</v>
      </c>
      <c r="L3">
        <v>6.5</v>
      </c>
    </row>
    <row r="4" spans="1:12" ht="48" customHeight="1" x14ac:dyDescent="0.2">
      <c r="A4" t="str">
        <f t="shared" si="0"/>
        <v>30 Rock S3</v>
      </c>
      <c r="B4" t="s">
        <v>228</v>
      </c>
      <c r="C4">
        <v>3</v>
      </c>
      <c r="D4" t="s">
        <v>876</v>
      </c>
      <c r="E4">
        <v>22</v>
      </c>
      <c r="F4" s="3">
        <v>39751</v>
      </c>
      <c r="G4">
        <v>8.66</v>
      </c>
      <c r="H4" s="3">
        <v>39947</v>
      </c>
      <c r="I4">
        <v>5.7</v>
      </c>
      <c r="J4" t="s">
        <v>886</v>
      </c>
      <c r="K4">
        <v>69</v>
      </c>
      <c r="L4">
        <v>7.5</v>
      </c>
    </row>
    <row r="5" spans="1:12" ht="48" customHeight="1" x14ac:dyDescent="0.2">
      <c r="A5" t="str">
        <f t="shared" si="0"/>
        <v>30 Rock S4</v>
      </c>
      <c r="B5" t="s">
        <v>228</v>
      </c>
      <c r="C5">
        <v>4</v>
      </c>
      <c r="D5" s="2" t="s">
        <v>877</v>
      </c>
      <c r="E5" s="2">
        <v>22</v>
      </c>
      <c r="F5" s="3">
        <v>40101</v>
      </c>
      <c r="G5">
        <v>6.39</v>
      </c>
      <c r="H5" s="3">
        <v>40318</v>
      </c>
      <c r="I5">
        <v>5.36</v>
      </c>
      <c r="J5" t="s">
        <v>887</v>
      </c>
      <c r="K5">
        <v>86</v>
      </c>
      <c r="L5">
        <v>5.9</v>
      </c>
    </row>
    <row r="6" spans="1:12" ht="48" customHeight="1" x14ac:dyDescent="0.2">
      <c r="A6" t="str">
        <f t="shared" si="0"/>
        <v>30 Rock S5</v>
      </c>
      <c r="B6" t="s">
        <v>228</v>
      </c>
      <c r="C6">
        <v>5</v>
      </c>
      <c r="D6" s="2" t="s">
        <v>871</v>
      </c>
      <c r="E6" s="2">
        <v>23</v>
      </c>
      <c r="F6" s="3">
        <v>40444</v>
      </c>
      <c r="G6">
        <v>5.91</v>
      </c>
      <c r="H6" s="3">
        <v>40668</v>
      </c>
      <c r="I6">
        <v>4.2</v>
      </c>
      <c r="J6" t="s">
        <v>888</v>
      </c>
      <c r="K6">
        <v>106</v>
      </c>
      <c r="L6">
        <v>5.3</v>
      </c>
    </row>
    <row r="7" spans="1:12" ht="48" customHeight="1" x14ac:dyDescent="0.2">
      <c r="A7" t="str">
        <f t="shared" si="0"/>
        <v>30 Rock S6</v>
      </c>
      <c r="B7" t="s">
        <v>228</v>
      </c>
      <c r="C7">
        <v>6</v>
      </c>
      <c r="D7" s="2" t="s">
        <v>872</v>
      </c>
      <c r="E7" s="2">
        <v>22</v>
      </c>
      <c r="F7" s="3">
        <v>40920</v>
      </c>
      <c r="G7">
        <v>4.47</v>
      </c>
      <c r="H7" s="3">
        <v>41046</v>
      </c>
      <c r="I7">
        <v>2.84</v>
      </c>
      <c r="J7" t="s">
        <v>889</v>
      </c>
      <c r="K7">
        <v>130</v>
      </c>
      <c r="L7">
        <v>4.5999999999999996</v>
      </c>
    </row>
    <row r="8" spans="1:12" ht="48" customHeight="1" x14ac:dyDescent="0.2">
      <c r="A8" t="str">
        <f t="shared" si="0"/>
        <v>30 Rock S7</v>
      </c>
      <c r="B8" t="s">
        <v>228</v>
      </c>
      <c r="C8">
        <v>7</v>
      </c>
      <c r="D8" s="2" t="s">
        <v>873</v>
      </c>
      <c r="E8" s="2">
        <v>13</v>
      </c>
      <c r="F8" s="3">
        <v>41186</v>
      </c>
      <c r="G8">
        <v>3.46</v>
      </c>
      <c r="H8" s="3">
        <v>41305</v>
      </c>
      <c r="I8">
        <v>4.88</v>
      </c>
      <c r="J8" t="s">
        <v>890</v>
      </c>
      <c r="K8">
        <v>99</v>
      </c>
      <c r="L8">
        <v>4.5999999999999996</v>
      </c>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46A8-7DE7-2646-9101-79B3340FEFEE}">
  <sheetPr codeName="Sheet5"/>
  <dimension ref="A1:W8"/>
  <sheetViews>
    <sheetView workbookViewId="0">
      <selection activeCell="F21" sqref="F21"/>
    </sheetView>
  </sheetViews>
  <sheetFormatPr baseColWidth="10" defaultRowHeight="16" x14ac:dyDescent="0.2"/>
  <cols>
    <col min="1" max="1" width="19.5" customWidth="1"/>
    <col min="2" max="2" width="18.5" customWidth="1"/>
    <col min="4" max="4" width="24.33203125" customWidth="1"/>
    <col min="6" max="6" width="33" customWidth="1"/>
    <col min="7" max="7" width="14.33203125" customWidth="1"/>
    <col min="8" max="8" width="31" customWidth="1"/>
    <col min="9" max="9" width="20" customWidth="1"/>
  </cols>
  <sheetData>
    <row r="1" spans="1:23" ht="68" x14ac:dyDescent="0.2">
      <c r="A1" t="s">
        <v>933</v>
      </c>
      <c r="B1" t="s">
        <v>505</v>
      </c>
      <c r="C1" t="s">
        <v>504</v>
      </c>
      <c r="D1" t="s">
        <v>864</v>
      </c>
      <c r="E1" t="s">
        <v>878</v>
      </c>
      <c r="F1" t="s">
        <v>869</v>
      </c>
      <c r="G1" s="2" t="s">
        <v>865</v>
      </c>
      <c r="H1" t="s">
        <v>870</v>
      </c>
      <c r="I1" s="2" t="s">
        <v>866</v>
      </c>
      <c r="J1" t="s">
        <v>867</v>
      </c>
      <c r="K1" t="s">
        <v>868</v>
      </c>
      <c r="L1" s="2" t="s">
        <v>882</v>
      </c>
      <c r="R1" s="2"/>
      <c r="T1" s="2"/>
      <c r="W1" s="2"/>
    </row>
    <row r="2" spans="1:23" x14ac:dyDescent="0.2">
      <c r="A2" t="str">
        <f>B2 &amp; " S" &amp; C2</f>
        <v>Parks and Rec S1</v>
      </c>
      <c r="B2" s="1" t="s">
        <v>859</v>
      </c>
      <c r="C2">
        <v>1</v>
      </c>
      <c r="D2" t="s">
        <v>879</v>
      </c>
      <c r="E2">
        <v>6</v>
      </c>
      <c r="F2" t="s">
        <v>893</v>
      </c>
      <c r="G2">
        <v>6.88</v>
      </c>
      <c r="H2" t="s">
        <v>894</v>
      </c>
      <c r="I2">
        <v>4.29</v>
      </c>
      <c r="J2" t="s">
        <v>886</v>
      </c>
      <c r="K2">
        <v>96</v>
      </c>
      <c r="L2">
        <v>6</v>
      </c>
    </row>
    <row r="3" spans="1:23" x14ac:dyDescent="0.2">
      <c r="A3" t="str">
        <f t="shared" ref="A3:A8" si="0">B3 &amp; " S" &amp; C3</f>
        <v>Parks and Rec S2</v>
      </c>
      <c r="B3" s="1" t="s">
        <v>859</v>
      </c>
      <c r="C3">
        <v>2</v>
      </c>
      <c r="D3" t="s">
        <v>879</v>
      </c>
      <c r="E3">
        <v>24</v>
      </c>
      <c r="F3" t="s">
        <v>895</v>
      </c>
      <c r="G3">
        <v>4.8899999999999997</v>
      </c>
      <c r="H3" t="s">
        <v>896</v>
      </c>
      <c r="I3">
        <v>4.57</v>
      </c>
      <c r="J3" t="s">
        <v>887</v>
      </c>
      <c r="K3">
        <v>108</v>
      </c>
      <c r="L3">
        <v>4.5999999999999996</v>
      </c>
    </row>
    <row r="4" spans="1:23" x14ac:dyDescent="0.2">
      <c r="A4" t="str">
        <f t="shared" si="0"/>
        <v>Parks and Rec S3</v>
      </c>
      <c r="B4" s="1" t="s">
        <v>859</v>
      </c>
      <c r="C4">
        <v>3</v>
      </c>
      <c r="D4" t="s">
        <v>880</v>
      </c>
      <c r="E4">
        <v>16</v>
      </c>
      <c r="F4" t="s">
        <v>897</v>
      </c>
      <c r="G4">
        <v>6.14</v>
      </c>
      <c r="H4" t="s">
        <v>898</v>
      </c>
      <c r="I4">
        <v>3.72</v>
      </c>
      <c r="J4" t="s">
        <v>888</v>
      </c>
      <c r="K4">
        <v>116</v>
      </c>
      <c r="L4">
        <v>5.0999999999999996</v>
      </c>
    </row>
    <row r="5" spans="1:23" ht="34" x14ac:dyDescent="0.2">
      <c r="A5" t="str">
        <f t="shared" si="0"/>
        <v>Parks and Rec S4</v>
      </c>
      <c r="B5" s="1" t="s">
        <v>859</v>
      </c>
      <c r="C5">
        <v>4</v>
      </c>
      <c r="D5" s="2" t="s">
        <v>883</v>
      </c>
      <c r="E5">
        <v>22</v>
      </c>
      <c r="F5" t="s">
        <v>899</v>
      </c>
      <c r="G5">
        <v>4.1100000000000003</v>
      </c>
      <c r="H5" t="s">
        <v>900</v>
      </c>
      <c r="I5">
        <v>3.42</v>
      </c>
      <c r="J5" t="s">
        <v>889</v>
      </c>
      <c r="K5">
        <v>134</v>
      </c>
      <c r="L5">
        <v>4.4000000000000004</v>
      </c>
    </row>
    <row r="6" spans="1:23" ht="34" x14ac:dyDescent="0.2">
      <c r="A6" t="str">
        <f t="shared" si="0"/>
        <v>Parks and Rec S5</v>
      </c>
      <c r="B6" s="1" t="s">
        <v>859</v>
      </c>
      <c r="C6">
        <v>5</v>
      </c>
      <c r="D6" s="2" t="s">
        <v>884</v>
      </c>
      <c r="E6">
        <v>22</v>
      </c>
      <c r="F6" t="s">
        <v>901</v>
      </c>
      <c r="G6">
        <v>3.5</v>
      </c>
      <c r="H6" t="s">
        <v>902</v>
      </c>
      <c r="I6">
        <v>2.99</v>
      </c>
      <c r="J6" t="s">
        <v>890</v>
      </c>
      <c r="K6">
        <v>111</v>
      </c>
      <c r="L6">
        <v>4.0599999999999996</v>
      </c>
    </row>
    <row r="7" spans="1:23" ht="34" x14ac:dyDescent="0.2">
      <c r="A7" t="str">
        <f t="shared" si="0"/>
        <v>Parks and Rec S6</v>
      </c>
      <c r="B7" s="1" t="s">
        <v>859</v>
      </c>
      <c r="C7">
        <v>6</v>
      </c>
      <c r="D7" s="2" t="s">
        <v>885</v>
      </c>
      <c r="E7">
        <v>22</v>
      </c>
      <c r="F7" t="s">
        <v>903</v>
      </c>
      <c r="G7">
        <v>3.27</v>
      </c>
      <c r="H7" t="s">
        <v>904</v>
      </c>
      <c r="I7">
        <v>2.71</v>
      </c>
      <c r="J7" t="s">
        <v>891</v>
      </c>
      <c r="K7">
        <v>115</v>
      </c>
      <c r="L7">
        <v>3.76</v>
      </c>
    </row>
    <row r="8" spans="1:23" x14ac:dyDescent="0.2">
      <c r="A8" t="str">
        <f t="shared" si="0"/>
        <v>Parks and Rec S7</v>
      </c>
      <c r="B8" s="1" t="s">
        <v>859</v>
      </c>
      <c r="C8">
        <v>7</v>
      </c>
      <c r="D8" t="s">
        <v>881</v>
      </c>
      <c r="E8">
        <v>13</v>
      </c>
      <c r="F8" t="s">
        <v>905</v>
      </c>
      <c r="G8">
        <v>3.75</v>
      </c>
      <c r="H8" t="s">
        <v>906</v>
      </c>
      <c r="I8">
        <v>4.1500000000000004</v>
      </c>
      <c r="J8" t="s">
        <v>892</v>
      </c>
      <c r="K8">
        <v>119</v>
      </c>
      <c r="L8">
        <v>4.57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D4B8E-4FA1-054D-9996-2E634C9EEE07}">
  <sheetPr codeName="Sheet6"/>
  <dimension ref="A1:L10"/>
  <sheetViews>
    <sheetView workbookViewId="0">
      <selection activeCell="K21" sqref="K21"/>
    </sheetView>
  </sheetViews>
  <sheetFormatPr baseColWidth="10" defaultRowHeight="16" x14ac:dyDescent="0.2"/>
  <cols>
    <col min="1" max="1" width="12.83203125" customWidth="1"/>
    <col min="4" max="4" width="25.6640625" customWidth="1"/>
    <col min="6" max="6" width="30.1640625" customWidth="1"/>
  </cols>
  <sheetData>
    <row r="1" spans="1:12" ht="68" x14ac:dyDescent="0.2">
      <c r="A1" t="s">
        <v>933</v>
      </c>
      <c r="B1" t="s">
        <v>505</v>
      </c>
      <c r="C1" t="s">
        <v>504</v>
      </c>
      <c r="D1" t="s">
        <v>864</v>
      </c>
      <c r="E1" t="s">
        <v>878</v>
      </c>
      <c r="F1" t="s">
        <v>869</v>
      </c>
      <c r="G1" s="2" t="s">
        <v>865</v>
      </c>
      <c r="H1" t="s">
        <v>870</v>
      </c>
      <c r="I1" s="2" t="s">
        <v>866</v>
      </c>
      <c r="J1" t="s">
        <v>867</v>
      </c>
      <c r="K1" t="s">
        <v>868</v>
      </c>
      <c r="L1" s="2" t="s">
        <v>882</v>
      </c>
    </row>
    <row r="2" spans="1:12" ht="34" x14ac:dyDescent="0.2">
      <c r="A2" t="str">
        <f>B2 &amp; " S" &amp; C2</f>
        <v>The Office S1</v>
      </c>
      <c r="B2" t="s">
        <v>243</v>
      </c>
      <c r="C2">
        <v>1</v>
      </c>
      <c r="D2" s="2" t="s">
        <v>919</v>
      </c>
      <c r="E2">
        <v>6</v>
      </c>
      <c r="F2" t="s">
        <v>907</v>
      </c>
      <c r="G2">
        <v>11.23</v>
      </c>
      <c r="H2" t="s">
        <v>908</v>
      </c>
      <c r="I2">
        <v>4.83</v>
      </c>
      <c r="J2" t="s">
        <v>1037</v>
      </c>
      <c r="K2">
        <v>102</v>
      </c>
      <c r="L2">
        <v>5.4</v>
      </c>
    </row>
    <row r="3" spans="1:12" ht="34" x14ac:dyDescent="0.2">
      <c r="A3" t="str">
        <f t="shared" ref="A3:A10" si="0">B3 &amp; " S" &amp; C3</f>
        <v>The Office S2</v>
      </c>
      <c r="B3" t="s">
        <v>243</v>
      </c>
      <c r="C3">
        <v>2</v>
      </c>
      <c r="D3" s="2" t="s">
        <v>920</v>
      </c>
      <c r="E3">
        <v>22</v>
      </c>
      <c r="F3" t="s">
        <v>909</v>
      </c>
      <c r="G3">
        <v>9</v>
      </c>
      <c r="H3" t="s">
        <v>910</v>
      </c>
      <c r="I3">
        <v>7.66</v>
      </c>
      <c r="J3" t="s">
        <v>1038</v>
      </c>
      <c r="K3">
        <v>67</v>
      </c>
      <c r="L3">
        <v>8</v>
      </c>
    </row>
    <row r="4" spans="1:12" x14ac:dyDescent="0.2">
      <c r="A4" t="str">
        <f t="shared" si="0"/>
        <v>The Office S3</v>
      </c>
      <c r="B4" t="s">
        <v>243</v>
      </c>
      <c r="C4">
        <v>3</v>
      </c>
      <c r="D4" t="s">
        <v>879</v>
      </c>
      <c r="E4">
        <v>25</v>
      </c>
      <c r="F4" t="s">
        <v>911</v>
      </c>
      <c r="G4">
        <v>9.11</v>
      </c>
      <c r="H4" t="s">
        <v>912</v>
      </c>
      <c r="I4">
        <v>7.88</v>
      </c>
      <c r="J4" t="s">
        <v>1039</v>
      </c>
      <c r="K4">
        <v>68</v>
      </c>
      <c r="L4">
        <v>8.3000000000000007</v>
      </c>
    </row>
    <row r="5" spans="1:12" x14ac:dyDescent="0.2">
      <c r="A5" t="str">
        <f t="shared" si="0"/>
        <v>The Office S4</v>
      </c>
      <c r="B5" t="s">
        <v>243</v>
      </c>
      <c r="C5">
        <v>4</v>
      </c>
      <c r="D5" t="s">
        <v>913</v>
      </c>
      <c r="E5">
        <v>19</v>
      </c>
      <c r="F5" t="s">
        <v>914</v>
      </c>
      <c r="G5">
        <v>9.65</v>
      </c>
      <c r="H5" t="s">
        <v>915</v>
      </c>
      <c r="I5">
        <v>8.2100000000000009</v>
      </c>
      <c r="J5" t="s">
        <v>1040</v>
      </c>
      <c r="K5">
        <v>77</v>
      </c>
      <c r="L5">
        <v>8.0399999999999991</v>
      </c>
    </row>
    <row r="6" spans="1:12" x14ac:dyDescent="0.2">
      <c r="A6" t="str">
        <f t="shared" si="0"/>
        <v>The Office S5</v>
      </c>
      <c r="B6" t="s">
        <v>243</v>
      </c>
      <c r="C6">
        <v>5</v>
      </c>
      <c r="D6" t="s">
        <v>913</v>
      </c>
      <c r="E6">
        <v>28</v>
      </c>
      <c r="F6" t="s">
        <v>916</v>
      </c>
      <c r="G6">
        <v>9.34</v>
      </c>
      <c r="H6" t="s">
        <v>894</v>
      </c>
      <c r="I6">
        <v>6.77</v>
      </c>
      <c r="J6" t="s">
        <v>886</v>
      </c>
      <c r="K6">
        <v>52</v>
      </c>
      <c r="L6">
        <v>9.0399999999999991</v>
      </c>
    </row>
    <row r="7" spans="1:12" x14ac:dyDescent="0.2">
      <c r="A7" t="str">
        <f t="shared" si="0"/>
        <v>The Office S6</v>
      </c>
      <c r="B7" t="s">
        <v>243</v>
      </c>
      <c r="C7">
        <v>6</v>
      </c>
      <c r="D7" t="s">
        <v>913</v>
      </c>
      <c r="E7">
        <v>26</v>
      </c>
      <c r="F7" t="s">
        <v>895</v>
      </c>
      <c r="G7">
        <v>8.2100000000000009</v>
      </c>
      <c r="H7" t="s">
        <v>896</v>
      </c>
      <c r="I7">
        <v>6.64</v>
      </c>
      <c r="J7" t="s">
        <v>887</v>
      </c>
      <c r="K7">
        <v>41</v>
      </c>
      <c r="L7">
        <v>8.73</v>
      </c>
    </row>
    <row r="8" spans="1:12" x14ac:dyDescent="0.2">
      <c r="A8" t="str">
        <f t="shared" si="0"/>
        <v>The Office S7</v>
      </c>
      <c r="B8" t="s">
        <v>243</v>
      </c>
      <c r="C8">
        <v>7</v>
      </c>
      <c r="D8" t="s">
        <v>913</v>
      </c>
      <c r="E8">
        <v>26</v>
      </c>
      <c r="F8" t="s">
        <v>917</v>
      </c>
      <c r="G8">
        <v>8.48</v>
      </c>
      <c r="H8" t="s">
        <v>898</v>
      </c>
      <c r="I8">
        <v>7.29</v>
      </c>
      <c r="J8" t="s">
        <v>888</v>
      </c>
      <c r="K8">
        <v>53</v>
      </c>
      <c r="L8">
        <v>7.73</v>
      </c>
    </row>
    <row r="9" spans="1:12" x14ac:dyDescent="0.2">
      <c r="A9" t="str">
        <f t="shared" si="0"/>
        <v>The Office S8</v>
      </c>
      <c r="B9" t="s">
        <v>243</v>
      </c>
      <c r="C9">
        <v>8</v>
      </c>
      <c r="D9" t="s">
        <v>913</v>
      </c>
      <c r="E9">
        <v>24</v>
      </c>
      <c r="F9" t="s">
        <v>899</v>
      </c>
      <c r="G9">
        <v>7.64</v>
      </c>
      <c r="H9" t="s">
        <v>900</v>
      </c>
      <c r="I9">
        <v>4.49</v>
      </c>
      <c r="J9" t="s">
        <v>889</v>
      </c>
      <c r="K9">
        <v>78</v>
      </c>
      <c r="L9">
        <v>6.51</v>
      </c>
    </row>
    <row r="10" spans="1:12" x14ac:dyDescent="0.2">
      <c r="A10" t="str">
        <f t="shared" si="0"/>
        <v>The Office S9</v>
      </c>
      <c r="B10" t="s">
        <v>243</v>
      </c>
      <c r="C10">
        <v>9</v>
      </c>
      <c r="D10" t="s">
        <v>913</v>
      </c>
      <c r="E10">
        <v>25</v>
      </c>
      <c r="F10" t="s">
        <v>901</v>
      </c>
      <c r="G10">
        <v>4.28</v>
      </c>
      <c r="H10" t="s">
        <v>918</v>
      </c>
      <c r="I10">
        <v>5.69</v>
      </c>
      <c r="J10" t="s">
        <v>890</v>
      </c>
      <c r="K10">
        <v>88</v>
      </c>
      <c r="L10">
        <v>5.0599999999999996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0AAAB-FC04-E549-BC08-40CED30C3D0D}">
  <sheetPr codeName="Sheet7"/>
  <dimension ref="A1:L7"/>
  <sheetViews>
    <sheetView workbookViewId="0">
      <selection activeCell="F16" sqref="F16"/>
    </sheetView>
  </sheetViews>
  <sheetFormatPr baseColWidth="10" defaultRowHeight="16" x14ac:dyDescent="0.2"/>
  <cols>
    <col min="1" max="1" width="17.6640625" customWidth="1"/>
    <col min="4" max="4" width="30.1640625" customWidth="1"/>
    <col min="6" max="6" width="35.1640625" customWidth="1"/>
    <col min="8" max="8" width="30.83203125" customWidth="1"/>
  </cols>
  <sheetData>
    <row r="1" spans="1:12" ht="68" x14ac:dyDescent="0.2">
      <c r="A1" t="s">
        <v>933</v>
      </c>
      <c r="B1" t="s">
        <v>505</v>
      </c>
      <c r="C1" t="s">
        <v>504</v>
      </c>
      <c r="D1" t="s">
        <v>864</v>
      </c>
      <c r="E1" t="s">
        <v>878</v>
      </c>
      <c r="F1" t="s">
        <v>869</v>
      </c>
      <c r="G1" s="2" t="s">
        <v>865</v>
      </c>
      <c r="H1" t="s">
        <v>870</v>
      </c>
      <c r="I1" s="2" t="s">
        <v>866</v>
      </c>
      <c r="J1" t="s">
        <v>867</v>
      </c>
      <c r="K1" t="s">
        <v>868</v>
      </c>
      <c r="L1" s="2" t="s">
        <v>882</v>
      </c>
    </row>
    <row r="2" spans="1:12" ht="34" x14ac:dyDescent="0.2">
      <c r="A2" t="str">
        <f>B2 &amp; " S" &amp; C2</f>
        <v>Community S1</v>
      </c>
      <c r="B2" t="s">
        <v>687</v>
      </c>
      <c r="C2">
        <v>1</v>
      </c>
      <c r="D2" s="2" t="s">
        <v>922</v>
      </c>
      <c r="E2">
        <v>25</v>
      </c>
      <c r="F2" t="s">
        <v>923</v>
      </c>
      <c r="G2">
        <v>7.89</v>
      </c>
      <c r="H2" t="s">
        <v>924</v>
      </c>
      <c r="I2">
        <v>4.43</v>
      </c>
      <c r="J2" t="s">
        <v>887</v>
      </c>
      <c r="K2">
        <v>97</v>
      </c>
      <c r="L2">
        <v>5</v>
      </c>
    </row>
    <row r="3" spans="1:12" x14ac:dyDescent="0.2">
      <c r="A3" t="str">
        <f t="shared" ref="A3:A6" si="0">B3 &amp; " S" &amp; C3</f>
        <v>Community S2</v>
      </c>
      <c r="B3" t="s">
        <v>687</v>
      </c>
      <c r="C3">
        <v>2</v>
      </c>
      <c r="D3" t="s">
        <v>921</v>
      </c>
      <c r="E3">
        <v>24</v>
      </c>
      <c r="F3" t="s">
        <v>925</v>
      </c>
      <c r="G3">
        <v>5.01</v>
      </c>
      <c r="H3" t="s">
        <v>926</v>
      </c>
      <c r="I3">
        <v>3.32</v>
      </c>
      <c r="J3" t="s">
        <v>888</v>
      </c>
      <c r="K3">
        <v>138</v>
      </c>
      <c r="L3">
        <v>4.4400000000000004</v>
      </c>
    </row>
    <row r="4" spans="1:12" x14ac:dyDescent="0.2">
      <c r="A4" t="str">
        <f t="shared" si="0"/>
        <v>Community S3</v>
      </c>
      <c r="B4" t="s">
        <v>687</v>
      </c>
      <c r="C4">
        <v>3</v>
      </c>
      <c r="D4" t="s">
        <v>921</v>
      </c>
      <c r="E4">
        <v>22</v>
      </c>
      <c r="F4" t="s">
        <v>927</v>
      </c>
      <c r="G4">
        <v>3.93</v>
      </c>
      <c r="H4" t="s">
        <v>928</v>
      </c>
      <c r="I4">
        <v>2.48</v>
      </c>
      <c r="J4" t="s">
        <v>889</v>
      </c>
      <c r="K4">
        <v>144</v>
      </c>
      <c r="L4">
        <v>4.03</v>
      </c>
    </row>
    <row r="5" spans="1:12" x14ac:dyDescent="0.2">
      <c r="A5" t="str">
        <f t="shared" si="0"/>
        <v>Community S4</v>
      </c>
      <c r="B5" t="s">
        <v>687</v>
      </c>
      <c r="C5">
        <v>4</v>
      </c>
      <c r="D5" t="s">
        <v>921</v>
      </c>
      <c r="E5">
        <v>13</v>
      </c>
      <c r="F5" t="s">
        <v>929</v>
      </c>
      <c r="G5">
        <v>3.88</v>
      </c>
      <c r="H5" t="s">
        <v>930</v>
      </c>
      <c r="I5">
        <v>3.08</v>
      </c>
      <c r="J5" t="s">
        <v>890</v>
      </c>
      <c r="K5">
        <v>133</v>
      </c>
      <c r="L5">
        <v>3.58</v>
      </c>
    </row>
    <row r="6" spans="1:12" x14ac:dyDescent="0.2">
      <c r="A6" t="str">
        <f t="shared" si="0"/>
        <v>Community S5</v>
      </c>
      <c r="B6" t="s">
        <v>687</v>
      </c>
      <c r="C6">
        <v>5</v>
      </c>
      <c r="D6" t="s">
        <v>921</v>
      </c>
      <c r="E6">
        <v>13</v>
      </c>
      <c r="F6" t="s">
        <v>931</v>
      </c>
      <c r="G6">
        <v>3.49</v>
      </c>
      <c r="H6" t="s">
        <v>932</v>
      </c>
      <c r="I6">
        <v>2.87</v>
      </c>
      <c r="J6" t="s">
        <v>891</v>
      </c>
      <c r="K6">
        <v>96</v>
      </c>
      <c r="L6">
        <v>3</v>
      </c>
    </row>
    <row r="7" spans="1:12" x14ac:dyDescent="0.2">
      <c r="A7" t="s">
        <v>960</v>
      </c>
      <c r="B7" t="s">
        <v>687</v>
      </c>
      <c r="C7">
        <v>6</v>
      </c>
      <c r="D7" t="s">
        <v>959</v>
      </c>
      <c r="E7">
        <v>13</v>
      </c>
      <c r="F7" s="3" t="s">
        <v>961</v>
      </c>
      <c r="H7" s="3" t="s">
        <v>962</v>
      </c>
      <c r="J7" t="s">
        <v>892</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Workbook Guide</vt:lpstr>
      <vt:lpstr>Episode List</vt:lpstr>
      <vt:lpstr>Color Values</vt:lpstr>
      <vt:lpstr>Graphs</vt:lpstr>
      <vt:lpstr>30 Rock Season Info</vt:lpstr>
      <vt:lpstr>Parks and Rec Season Info</vt:lpstr>
      <vt:lpstr>The Office Season Info</vt:lpstr>
      <vt:lpstr>Community Season Info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Lena Burdick</dc:creator>
  <cp:lastModifiedBy>Dave Burdick</cp:lastModifiedBy>
  <dcterms:created xsi:type="dcterms:W3CDTF">2021-03-30T22:26:51Z</dcterms:created>
  <dcterms:modified xsi:type="dcterms:W3CDTF">2025-03-03T21:54:59Z</dcterms:modified>
</cp:coreProperties>
</file>